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al Estate Projects\Project - Masar Al-Haram\Financial Model\"/>
    </mc:Choice>
  </mc:AlternateContent>
  <xr:revisionPtr revIDLastSave="0" documentId="13_ncr:1_{E1E8457F-8C02-40C3-B9AF-64F10F8DE7A3}" xr6:coauthVersionLast="47" xr6:coauthVersionMax="47" xr10:uidLastSave="{00000000-0000-0000-0000-000000000000}"/>
  <bookViews>
    <workbookView xWindow="-108" yWindow="-108" windowWidth="23256" windowHeight="12456" activeTab="2" xr2:uid="{4AA76E83-A362-4048-9779-20F77A236839}"/>
  </bookViews>
  <sheets>
    <sheet name="Area Program - BR" sheetId="1" r:id="rId1"/>
    <sheet name="Area Program - 5 Star Hotel" sheetId="2" r:id="rId2"/>
    <sheet name="Project DAS" sheetId="3" r:id="rId3"/>
  </sheets>
  <externalReferences>
    <externalReference r:id="rId4"/>
    <externalReference r:id="rId5"/>
    <externalReference r:id="rId6"/>
    <externalReference r:id="rId7"/>
  </externalReferences>
  <definedNames>
    <definedName name="_Key1" hidden="1">[1]Incstat!$L$1833</definedName>
    <definedName name="_Order1" hidden="1">255</definedName>
    <definedName name="_Sort" hidden="1">[1]Incstat!$F$1833:$Z$2124</definedName>
    <definedName name="aa" hidden="1">{#N/A,#N/A,FALSE,"Primary";#N/A,#N/A,FALSE,"Secondary";#N/A,#N/A,FALSE,"Latent";#N/A,#N/A,FALSE,"Demand Inputs";#N/A,#N/A,FALSE,"Supply Addn";#N/A,#N/A,FALSE,"Mkt Pen"}</definedName>
    <definedName name="AccessDatabase" hidden="1">"G:\EXCEL\PETTER\VAKANS\1996\VAK9609\VAK9609.mdb"</definedName>
    <definedName name="ADR_Escalation">'[2]Input Sheet - Phasing'!$G$48:$Q$48</definedName>
    <definedName name="AllowChange">[3]Settings!$I$52</definedName>
    <definedName name="Area_Info_Header">#REF!</definedName>
    <definedName name="Area_Info_Header_Units">#REF!</definedName>
    <definedName name="Area_Info_Inputs">#REF!</definedName>
    <definedName name="Area_Program">'[2]Development Brief (Dev)'!$B$4:$AD$19</definedName>
    <definedName name="Asset_Details_Summary">#REF!</definedName>
    <definedName name="Asset_Details_Summary_Header">#REF!</definedName>
    <definedName name="Asset_Summary">#REF!</definedName>
    <definedName name="Asset_Type">'[2]Development Brief (Dev)'!$D$4:$D$19</definedName>
    <definedName name="Asset_type_1">'Area Program - 5 Star Hotel'!$D$5:$D$7</definedName>
    <definedName name="Asset_Type_2">'[2]Development Brief'!$B$9:$B$37</definedName>
    <definedName name="Asset_type_2.1">'Area Program - BR'!$D$5:$D$9</definedName>
    <definedName name="bone" hidden="1">{#N/A,#N/A,FALSE,"intag";#N/A,#N/A,FALSE,"budg";#N/A,#N/A,FALSE,"samtl"}</definedName>
    <definedName name="CIQWBGuid" hidden="1">"UAQ RLV template.xlsx"</definedName>
    <definedName name="Cost_Escalation_Input">'[2]Input Sheet - Phasing'!$G$9:$Q$17</definedName>
    <definedName name="Cost_Phasing_Input">'[2]Input Sheet - Phasing'!$G$23:$Q$38</definedName>
    <definedName name="Costs_Hard_Header">#REF!</definedName>
    <definedName name="Costs_Hard_Header_Units">#REF!</definedName>
    <definedName name="Costs_Hard_Input">#REF!</definedName>
    <definedName name="Costs_Land_Header">#REF!</definedName>
    <definedName name="Costs_Land_Header_Units">#REF!</definedName>
    <definedName name="Costs_Land_Input">#REF!</definedName>
    <definedName name="Costs_Soft_Header">#REF!</definedName>
    <definedName name="Costs_Soft_Header_Units">#REF!</definedName>
    <definedName name="Costs_Soft_Input">#REF!</definedName>
    <definedName name="Expenses_Operating_Header">#REF!</definedName>
    <definedName name="Expenses_Operating_Header_Units">#REF!</definedName>
    <definedName name="Expenses_Operating_Input">#REF!</definedName>
    <definedName name="Fund_Fee_F">[4]Financials!$G$74:$J$74</definedName>
    <definedName name="Fund_Fee_V">[4]Financials!$G$72:$J$72</definedName>
    <definedName name="GFA_Parking_Residential">'[2]Development Brief (Dev)'!#REF!</definedName>
    <definedName name="GROUP" hidden="1">"bissql"</definedName>
    <definedName name="Header1" hidden="1">IF(COUNTA(#REF!)=0,0,INDEX(#REF!,MATCH(ROW(#REF!),#REF!,TRUE)))+1</definedName>
    <definedName name="Header2" localSheetId="1" hidden="1">[0]!Header1-1 &amp; "." &amp; MAX(1,COUNTA(INDEX(#REF!,MATCH([0]!Header1-1,#REF!,FALSE)):#REF!))</definedName>
    <definedName name="Header2" hidden="1">[0]!Header1-1 &amp; "." &amp; MAX(1,COUNTA(INDEX(#REF!,MATCH([0]!Header1-1,#REF!,FALSE)):#REF!))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44292.9453125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Land">'[2]Development Brief'!$C$9:$C$37</definedName>
    <definedName name="Land_1">'Area Program - BR'!$B$5:$B$9</definedName>
    <definedName name="Land_1.1">'Area Program - 5 Star Hotel'!$B$5:$B$7</definedName>
    <definedName name="Land_2">'Area Program - BR'!$B$5:$B$9</definedName>
    <definedName name="Land_Area_Summary">#REF!</definedName>
    <definedName name="Leasing_Occupancy_Input">'[2]Input Sheet - Phasing'!$G$93:$Q$108</definedName>
    <definedName name="Operate_Occupancy_Input">'[2]Input Sheet - Phasing'!$G$112:$Q$116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eriod">_xlfn.ANCHORARRAY(#REF!)</definedName>
    <definedName name="Period_Row">_xlfn.ANCHORARRAY(#REF!)</definedName>
    <definedName name="Phase">_xlfn.ANCHORARRAY(#REF!)</definedName>
    <definedName name="Primary_Strategy">'[2]Development Brief (Dev)'!$E$4:$E$19</definedName>
    <definedName name="Primary_Strategy_Allocation">'[2]Development Brief (Dev)'!$F$4:$F$19</definedName>
    <definedName name="READ" hidden="1">FALSE</definedName>
    <definedName name="Revenue_Operating_Header">#REF!</definedName>
    <definedName name="Revenue_Operating_Header_Units">#REF!</definedName>
    <definedName name="Revenue_Operating_Input">#REF!</definedName>
    <definedName name="Sales_Absorbtion_Input">'[2]Input Sheet - Phasing'!$G$55:$Q$70</definedName>
    <definedName name="Sales_Payment_Terms">'[2]Input Sheet - Phasing'!$G$73:$Q$88</definedName>
    <definedName name="SAPBEXrevision" hidden="1">3</definedName>
    <definedName name="SAPBEXsysID" hidden="1">"B01"</definedName>
    <definedName name="SAPBEXwbID" hidden="1">"1OKLBDAAGJ3NPBUSNNGRFDKQH"</definedName>
    <definedName name="Secondary_Strategy">'[2]Development Brief (Dev)'!$G$4:$G$19</definedName>
    <definedName name="Secondary_Strategy_Allocation">'[2]Development Brief (Dev)'!$H$4:$H$19</definedName>
    <definedName name="Segement_1">'Area Program - 5 Star Hotel'!$C$5:$C$7</definedName>
    <definedName name="Segement_2">'Area Program - BR'!$C$5:$C$9</definedName>
    <definedName name="Segment">'[2]Development Brief'!$D$9:$D$37</definedName>
    <definedName name="Serial_Number">#REF!</definedName>
    <definedName name="Strategy">'[2]Development Brief'!$E$9:$E$37</definedName>
    <definedName name="sw" hidden="1">{"LTV Output",#N/A,FALSE,"Output";"DCR Output",#N/A,FALSE,"Output"}</definedName>
    <definedName name="Valuation_date">[3]START!$I$15</definedName>
    <definedName name="wrn.All._.Inputs." hidden="1">{#N/A,#N/A,FALSE,"Primary";#N/A,#N/A,FALSE,"Secondary";#N/A,#N/A,FALSE,"Latent";#N/A,#N/A,FALSE,"Demand Inputs";#N/A,#N/A,FALSE,"Supply Addn";#N/A,#N/A,FALSE,"Mkt Pen"}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Secondary._.Competition." hidden="1">{#N/A,#N/A,FALSE,"Secondary"}</definedName>
    <definedName name="wrn.Supply._.Additions." hidden="1">{#N/A,#N/A,FALSE,"Supply Addn"}</definedName>
    <definedName name="Z_0E5612F1_1C5C_4147_BE42_908BDE0B1405_.wvu.FilterData" hidden="1">#REF!</definedName>
    <definedName name="Z_0E5612F1_1C5C_4147_BE42_908BDE0B1405_.wvu.PrintTitles" hidden="1">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F8A287BF_980C_4986_B08C_54EAB9AA17CB_.wvu.FilterData" hidden="1">#REF!</definedName>
    <definedName name="Z_F8A287BF_980C_4986_B08C_54EAB9AA17CB_.wvu.PrintTitle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3" l="1"/>
  <c r="M40" i="3"/>
  <c r="M38" i="3"/>
  <c r="G39" i="3"/>
  <c r="G40" i="3"/>
  <c r="G38" i="3"/>
  <c r="F39" i="3"/>
  <c r="F40" i="3"/>
  <c r="F38" i="3"/>
  <c r="J39" i="3"/>
  <c r="J40" i="3"/>
  <c r="J38" i="3"/>
  <c r="H57" i="3"/>
  <c r="H59" i="3" s="1"/>
  <c r="H55" i="3"/>
  <c r="G55" i="3"/>
  <c r="G57" i="3" s="1"/>
  <c r="G59" i="3" s="1"/>
  <c r="F55" i="3"/>
  <c r="F57" i="3" s="1"/>
  <c r="F59" i="3" s="1"/>
  <c r="E55" i="3"/>
  <c r="E57" i="3" s="1"/>
  <c r="D57" i="3" s="1"/>
  <c r="D55" i="3"/>
  <c r="E48" i="3"/>
  <c r="G47" i="3"/>
  <c r="F47" i="3"/>
  <c r="G46" i="3"/>
  <c r="G45" i="3"/>
  <c r="F45" i="3"/>
  <c r="F48" i="3" s="1"/>
  <c r="F41" i="3"/>
  <c r="E41" i="3"/>
  <c r="H28" i="3"/>
  <c r="G28" i="3"/>
  <c r="F28" i="3"/>
  <c r="E28" i="3"/>
  <c r="H26" i="3"/>
  <c r="G26" i="3"/>
  <c r="F26" i="3"/>
  <c r="E26" i="3"/>
  <c r="H20" i="3"/>
  <c r="H21" i="3" s="1"/>
  <c r="H51" i="3" s="1"/>
  <c r="H53" i="3" s="1"/>
  <c r="G20" i="3"/>
  <c r="G21" i="3" s="1"/>
  <c r="G51" i="3" s="1"/>
  <c r="G53" i="3" s="1"/>
  <c r="F20" i="3"/>
  <c r="F21" i="3" s="1"/>
  <c r="F51" i="3" s="1"/>
  <c r="F53" i="3" s="1"/>
  <c r="E20" i="3"/>
  <c r="E21" i="3" s="1"/>
  <c r="E51" i="3" s="1"/>
  <c r="H18" i="3"/>
  <c r="G18" i="3"/>
  <c r="F18" i="3"/>
  <c r="H14" i="3"/>
  <c r="G14" i="3"/>
  <c r="F14" i="3"/>
  <c r="E14" i="3"/>
  <c r="D14" i="3"/>
  <c r="D13" i="3" s="1"/>
  <c r="H11" i="3"/>
  <c r="G11" i="3"/>
  <c r="F46" i="3" s="1"/>
  <c r="F11" i="3"/>
  <c r="E11" i="3"/>
  <c r="E18" i="3" s="1"/>
  <c r="D11" i="3"/>
  <c r="D5" i="3"/>
  <c r="E53" i="3" l="1"/>
  <c r="D51" i="3"/>
  <c r="D26" i="3"/>
  <c r="D56" i="3"/>
  <c r="E30" i="3"/>
  <c r="E31" i="3" s="1"/>
  <c r="E15" i="3"/>
  <c r="F33" i="3"/>
  <c r="G33" i="3"/>
  <c r="H30" i="3"/>
  <c r="H31" i="3" s="1"/>
  <c r="H33" i="3" s="1"/>
  <c r="H15" i="3"/>
  <c r="E59" i="3"/>
  <c r="D59" i="3" s="1"/>
  <c r="D60" i="3" s="1"/>
  <c r="F30" i="3"/>
  <c r="F31" i="3" s="1"/>
  <c r="F15" i="3"/>
  <c r="G30" i="3"/>
  <c r="G31" i="3" s="1"/>
  <c r="G15" i="3"/>
  <c r="J47" i="3" l="1"/>
  <c r="H34" i="3"/>
  <c r="D31" i="3"/>
  <c r="E33" i="3"/>
  <c r="E34" i="3" s="1"/>
  <c r="G34" i="3"/>
  <c r="J46" i="3"/>
  <c r="D15" i="3"/>
  <c r="D33" i="3"/>
  <c r="D34" i="3" s="1"/>
  <c r="D52" i="3"/>
  <c r="H39" i="3"/>
  <c r="L39" i="3"/>
  <c r="S39" i="3" s="1"/>
  <c r="J41" i="3"/>
  <c r="L38" i="3"/>
  <c r="H38" i="3"/>
  <c r="D53" i="3"/>
  <c r="H40" i="3"/>
  <c r="L40" i="3"/>
  <c r="S40" i="3" s="1"/>
  <c r="F34" i="3"/>
  <c r="J45" i="3"/>
  <c r="D58" i="3"/>
  <c r="J48" i="3" l="1"/>
  <c r="L45" i="3"/>
  <c r="H45" i="3"/>
  <c r="L46" i="3"/>
  <c r="Q46" i="3" s="1"/>
  <c r="S46" i="3" s="1"/>
  <c r="G62" i="3" s="1"/>
  <c r="H46" i="3"/>
  <c r="N40" i="3"/>
  <c r="H41" i="3"/>
  <c r="I41" i="3" s="1"/>
  <c r="L41" i="3"/>
  <c r="K41" i="3" s="1"/>
  <c r="Q38" i="3"/>
  <c r="S38" i="3" s="1"/>
  <c r="N39" i="3"/>
  <c r="H47" i="3"/>
  <c r="L47" i="3"/>
  <c r="Q47" i="3" s="1"/>
  <c r="S47" i="3" s="1"/>
  <c r="H62" i="3" s="1"/>
  <c r="S41" i="3" l="1"/>
  <c r="E62" i="3" s="1"/>
  <c r="G64" i="3"/>
  <c r="G66" i="3" s="1"/>
  <c r="G69" i="3"/>
  <c r="H48" i="3"/>
  <c r="H64" i="3"/>
  <c r="H66" i="3" s="1"/>
  <c r="H69" i="3"/>
  <c r="L48" i="3"/>
  <c r="K48" i="3" s="1"/>
  <c r="Q45" i="3"/>
  <c r="S45" i="3" l="1"/>
  <c r="Q48" i="3"/>
  <c r="H67" i="3"/>
  <c r="H72" i="3" s="1"/>
  <c r="M47" i="3"/>
  <c r="N47" i="3" s="1"/>
  <c r="E64" i="3"/>
  <c r="E69" i="3"/>
  <c r="G67" i="3"/>
  <c r="G72" i="3" s="1"/>
  <c r="M46" i="3"/>
  <c r="N46" i="3" s="1"/>
  <c r="M41" i="3"/>
  <c r="N38" i="3"/>
  <c r="N41" i="3" s="1"/>
  <c r="E66" i="3" l="1"/>
  <c r="F62" i="3"/>
  <c r="S48" i="3"/>
  <c r="F64" i="3" l="1"/>
  <c r="F69" i="3"/>
  <c r="D62" i="3"/>
  <c r="D69" i="3" s="1"/>
  <c r="E67" i="3"/>
  <c r="F66" i="3" l="1"/>
  <c r="D64" i="3"/>
  <c r="D63" i="3" l="1"/>
  <c r="M45" i="3"/>
  <c r="F67" i="3"/>
  <c r="E72" i="3"/>
  <c r="D66" i="3"/>
  <c r="D67" i="3" s="1"/>
  <c r="M48" i="3" l="1"/>
  <c r="N45" i="3"/>
  <c r="N48" i="3" s="1"/>
  <c r="D65" i="3"/>
  <c r="H5" i="2" l="1"/>
  <c r="H6" i="2"/>
  <c r="H7" i="2"/>
  <c r="Q9" i="2"/>
  <c r="E14" i="2"/>
  <c r="F32" i="2" s="1"/>
  <c r="Q18" i="2"/>
  <c r="H23" i="2"/>
  <c r="U24" i="2"/>
  <c r="X24" i="2"/>
  <c r="F28" i="2"/>
  <c r="N28" i="2" s="1"/>
  <c r="F29" i="2"/>
  <c r="H29" i="2" s="1"/>
  <c r="J29" i="2" s="1"/>
  <c r="F30" i="2"/>
  <c r="F31" i="2"/>
  <c r="H31" i="2" s="1"/>
  <c r="J31" i="2" s="1"/>
  <c r="E32" i="2"/>
  <c r="Q32" i="2"/>
  <c r="U32" i="2"/>
  <c r="X32" i="2"/>
  <c r="U36" i="2"/>
  <c r="U37" i="2" s="1"/>
  <c r="E37" i="2"/>
  <c r="G37" i="2"/>
  <c r="Q37" i="2"/>
  <c r="R6" i="2" s="1"/>
  <c r="R37" i="2"/>
  <c r="X37" i="2"/>
  <c r="E42" i="2"/>
  <c r="G42" i="2"/>
  <c r="X42" i="2"/>
  <c r="E47" i="2"/>
  <c r="F21" i="2" s="1"/>
  <c r="N31" i="2" l="1"/>
  <c r="H28" i="2"/>
  <c r="J28" i="2" s="1"/>
  <c r="L41" i="2"/>
  <c r="L42" i="2" s="1"/>
  <c r="P7" i="2" s="1"/>
  <c r="N29" i="2"/>
  <c r="L36" i="2"/>
  <c r="L37" i="2" s="1"/>
  <c r="P6" i="2" s="1"/>
  <c r="R5" i="2"/>
  <c r="Q19" i="2"/>
  <c r="S37" i="2"/>
  <c r="H21" i="2"/>
  <c r="S6" i="2"/>
  <c r="R18" i="2"/>
  <c r="H30" i="2"/>
  <c r="J30" i="2" s="1"/>
  <c r="N30" i="2"/>
  <c r="L5" i="2"/>
  <c r="E19" i="2"/>
  <c r="E50" i="2"/>
  <c r="E49" i="2"/>
  <c r="F41" i="2"/>
  <c r="F36" i="2"/>
  <c r="F42" i="2"/>
  <c r="F37" i="2"/>
  <c r="E44" i="1"/>
  <c r="L38" i="1" s="1"/>
  <c r="G39" i="1"/>
  <c r="E39" i="1"/>
  <c r="Q34" i="1"/>
  <c r="Q21" i="1" s="1"/>
  <c r="E34" i="1"/>
  <c r="Y33" i="1"/>
  <c r="U33" i="1"/>
  <c r="F33" i="1"/>
  <c r="N33" i="1" s="1"/>
  <c r="J8" i="1" s="1"/>
  <c r="Y32" i="1"/>
  <c r="U32" i="1"/>
  <c r="F32" i="1"/>
  <c r="N32" i="1" s="1"/>
  <c r="J7" i="1" s="1"/>
  <c r="Y31" i="1"/>
  <c r="U31" i="1"/>
  <c r="F31" i="1"/>
  <c r="H31" i="1" s="1"/>
  <c r="Y30" i="1"/>
  <c r="F30" i="1"/>
  <c r="H30" i="1" s="1"/>
  <c r="E16" i="1"/>
  <c r="E47" i="1" s="1"/>
  <c r="F25" i="1" s="1"/>
  <c r="H25" i="1" s="1"/>
  <c r="Q11" i="1"/>
  <c r="H9" i="1"/>
  <c r="S8" i="1"/>
  <c r="R8" i="1"/>
  <c r="H8" i="1"/>
  <c r="S7" i="1"/>
  <c r="R7" i="1"/>
  <c r="H7" i="1"/>
  <c r="S6" i="1"/>
  <c r="R6" i="1"/>
  <c r="H6" i="1"/>
  <c r="R5" i="1"/>
  <c r="H5" i="1"/>
  <c r="N32" i="2" l="1"/>
  <c r="R28" i="2"/>
  <c r="R32" i="2" s="1"/>
  <c r="J32" i="2"/>
  <c r="L28" i="2"/>
  <c r="L29" i="2"/>
  <c r="L31" i="2"/>
  <c r="K19" i="2"/>
  <c r="L19" i="2"/>
  <c r="M19" i="2" s="1"/>
  <c r="L6" i="2"/>
  <c r="E18" i="2"/>
  <c r="L30" i="2"/>
  <c r="H32" i="2"/>
  <c r="L7" i="2"/>
  <c r="E20" i="2"/>
  <c r="H36" i="2"/>
  <c r="H41" i="2"/>
  <c r="K30" i="2"/>
  <c r="F22" i="2"/>
  <c r="K29" i="2"/>
  <c r="K36" i="2"/>
  <c r="K37" i="2" s="1"/>
  <c r="O6" i="2" s="1"/>
  <c r="K41" i="2"/>
  <c r="K42" i="2" s="1"/>
  <c r="O7" i="2" s="1"/>
  <c r="K28" i="2"/>
  <c r="K31" i="2"/>
  <c r="J5" i="2"/>
  <c r="N19" i="2"/>
  <c r="O19" i="2" s="1"/>
  <c r="O20" i="2" s="1"/>
  <c r="O32" i="2"/>
  <c r="L39" i="1"/>
  <c r="P9" i="1"/>
  <c r="X38" i="1"/>
  <c r="X39" i="1" s="1"/>
  <c r="F23" i="1"/>
  <c r="H23" i="1" s="1"/>
  <c r="N30" i="1"/>
  <c r="J5" i="1" s="1"/>
  <c r="M5" i="1"/>
  <c r="J30" i="1"/>
  <c r="J31" i="1"/>
  <c r="N6" i="1" s="1"/>
  <c r="M6" i="1"/>
  <c r="N31" i="1"/>
  <c r="J6" i="1" s="1"/>
  <c r="L5" i="1"/>
  <c r="F34" i="1"/>
  <c r="L8" i="1"/>
  <c r="H32" i="1"/>
  <c r="F39" i="1"/>
  <c r="L7" i="1"/>
  <c r="E22" i="1"/>
  <c r="H33" i="1"/>
  <c r="F38" i="1"/>
  <c r="L6" i="1"/>
  <c r="E46" i="1"/>
  <c r="K6" i="2" l="1"/>
  <c r="M41" i="2"/>
  <c r="M42" i="2" s="1"/>
  <c r="M36" i="2"/>
  <c r="M37" i="2" s="1"/>
  <c r="M29" i="2"/>
  <c r="H22" i="2"/>
  <c r="F24" i="2"/>
  <c r="K18" i="2"/>
  <c r="E24" i="2"/>
  <c r="L18" i="2"/>
  <c r="H42" i="2"/>
  <c r="J41" i="2"/>
  <c r="N41" i="2"/>
  <c r="N42" i="2" s="1"/>
  <c r="L9" i="2"/>
  <c r="H37" i="2"/>
  <c r="J36" i="2"/>
  <c r="J37" i="2" s="1"/>
  <c r="N36" i="2"/>
  <c r="N37" i="2" s="1"/>
  <c r="M31" i="2"/>
  <c r="K32" i="2"/>
  <c r="O5" i="2" s="1"/>
  <c r="O9" i="2" s="1"/>
  <c r="K20" i="2"/>
  <c r="L20" i="2"/>
  <c r="M20" i="2" s="1"/>
  <c r="K7" i="2"/>
  <c r="L32" i="2"/>
  <c r="P5" i="2" s="1"/>
  <c r="M28" i="2"/>
  <c r="M5" i="2"/>
  <c r="H19" i="2"/>
  <c r="J19" i="2" s="1"/>
  <c r="I32" i="2"/>
  <c r="N5" i="2"/>
  <c r="M30" i="2"/>
  <c r="S5" i="2"/>
  <c r="S9" i="2" s="1"/>
  <c r="R19" i="2"/>
  <c r="S32" i="2"/>
  <c r="X22" i="1"/>
  <c r="J32" i="1"/>
  <c r="N7" i="1" s="1"/>
  <c r="M7" i="1"/>
  <c r="K38" i="1"/>
  <c r="M38" i="1" s="1"/>
  <c r="M39" i="1" s="1"/>
  <c r="F24" i="1"/>
  <c r="N34" i="1"/>
  <c r="N21" i="1" s="1"/>
  <c r="E21" i="1"/>
  <c r="K30" i="1" s="1"/>
  <c r="H34" i="1"/>
  <c r="L9" i="1"/>
  <c r="H38" i="1"/>
  <c r="N5" i="1"/>
  <c r="R30" i="1"/>
  <c r="M8" i="1"/>
  <c r="J33" i="1"/>
  <c r="N8" i="1" s="1"/>
  <c r="L22" i="1"/>
  <c r="K22" i="1"/>
  <c r="K24" i="2" l="1"/>
  <c r="N18" i="2"/>
  <c r="J6" i="2"/>
  <c r="O37" i="2"/>
  <c r="I37" i="2"/>
  <c r="N6" i="2"/>
  <c r="M6" i="2"/>
  <c r="H18" i="2"/>
  <c r="M9" i="2"/>
  <c r="G32" i="2"/>
  <c r="M32" i="2"/>
  <c r="P9" i="2"/>
  <c r="K5" i="2"/>
  <c r="K9" i="2" s="1"/>
  <c r="J7" i="2"/>
  <c r="N20" i="2"/>
  <c r="O42" i="2"/>
  <c r="J42" i="2"/>
  <c r="R41" i="2"/>
  <c r="M7" i="2"/>
  <c r="H20" i="2"/>
  <c r="J20" i="2" s="1"/>
  <c r="R20" i="2" s="1"/>
  <c r="R24" i="2"/>
  <c r="M18" i="2"/>
  <c r="M24" i="2" s="1"/>
  <c r="L24" i="2"/>
  <c r="K31" i="1"/>
  <c r="O6" i="1" s="1"/>
  <c r="K32" i="1"/>
  <c r="O7" i="1" s="1"/>
  <c r="K33" i="1"/>
  <c r="O8" i="1" s="1"/>
  <c r="O21" i="1"/>
  <c r="O22" i="1" s="1"/>
  <c r="M9" i="1"/>
  <c r="M11" i="1" s="1"/>
  <c r="N38" i="1"/>
  <c r="H39" i="1"/>
  <c r="H22" i="1" s="1"/>
  <c r="J22" i="1" s="1"/>
  <c r="R22" i="1" s="1"/>
  <c r="J38" i="1"/>
  <c r="H24" i="1"/>
  <c r="F26" i="1"/>
  <c r="M22" i="1"/>
  <c r="K39" i="1"/>
  <c r="O9" i="1"/>
  <c r="K9" i="1" s="1"/>
  <c r="L11" i="1"/>
  <c r="O5" i="1"/>
  <c r="H21" i="1"/>
  <c r="J34" i="1"/>
  <c r="I34" i="1" s="1"/>
  <c r="L31" i="1"/>
  <c r="K21" i="1"/>
  <c r="K26" i="1" s="1"/>
  <c r="L33" i="1"/>
  <c r="L21" i="1"/>
  <c r="L30" i="1"/>
  <c r="L32" i="1"/>
  <c r="E26" i="1"/>
  <c r="U30" i="1"/>
  <c r="S5" i="1"/>
  <c r="S11" i="1" s="1"/>
  <c r="R34" i="1"/>
  <c r="R21" i="1" s="1"/>
  <c r="O34" i="1"/>
  <c r="J9" i="2" l="1"/>
  <c r="I5" i="2" s="1"/>
  <c r="I7" i="2"/>
  <c r="O18" i="2"/>
  <c r="N24" i="2"/>
  <c r="J18" i="2"/>
  <c r="J24" i="2" s="1"/>
  <c r="H24" i="2"/>
  <c r="G24" i="2" s="1"/>
  <c r="R42" i="2"/>
  <c r="U41" i="2"/>
  <c r="U42" i="2" s="1"/>
  <c r="I42" i="2"/>
  <c r="N7" i="2"/>
  <c r="N9" i="2" s="1"/>
  <c r="O11" i="1"/>
  <c r="K34" i="1"/>
  <c r="M21" i="1"/>
  <c r="M26" i="1" s="1"/>
  <c r="L26" i="1"/>
  <c r="M31" i="1"/>
  <c r="P6" i="1"/>
  <c r="K6" i="1" s="1"/>
  <c r="L34" i="1"/>
  <c r="P5" i="1"/>
  <c r="M30" i="1"/>
  <c r="P8" i="1"/>
  <c r="K8" i="1" s="1"/>
  <c r="M33" i="1"/>
  <c r="N9" i="1"/>
  <c r="N11" i="1" s="1"/>
  <c r="J39" i="1"/>
  <c r="R38" i="1"/>
  <c r="H26" i="1"/>
  <c r="G26" i="1" s="1"/>
  <c r="J21" i="1"/>
  <c r="J26" i="1" s="1"/>
  <c r="G34" i="1"/>
  <c r="J9" i="1"/>
  <c r="N39" i="1"/>
  <c r="U34" i="1"/>
  <c r="P7" i="1"/>
  <c r="K7" i="1" s="1"/>
  <c r="M32" i="1"/>
  <c r="I6" i="2" l="1"/>
  <c r="I9" i="2" s="1"/>
  <c r="I24" i="2"/>
  <c r="I26" i="1"/>
  <c r="I39" i="1"/>
  <c r="S34" i="1"/>
  <c r="S21" i="1" s="1"/>
  <c r="U21" i="1"/>
  <c r="M34" i="1"/>
  <c r="P11" i="1"/>
  <c r="K5" i="1"/>
  <c r="K11" i="1" s="1"/>
  <c r="N22" i="1"/>
  <c r="N26" i="1" s="1"/>
  <c r="O39" i="1"/>
  <c r="J11" i="1"/>
  <c r="Y21" i="1"/>
  <c r="R39" i="1"/>
  <c r="Q39" i="1" s="1"/>
  <c r="U38" i="1"/>
  <c r="X33" i="1" l="1"/>
  <c r="X31" i="1"/>
  <c r="X32" i="1"/>
  <c r="X30" i="1"/>
  <c r="I8" i="1"/>
  <c r="I7" i="1"/>
  <c r="I5" i="1"/>
  <c r="I6" i="1"/>
  <c r="I9" i="1"/>
  <c r="U39" i="1"/>
  <c r="Y38" i="1"/>
  <c r="X34" i="1" l="1"/>
  <c r="X21" i="1" s="1"/>
  <c r="X26" i="1" s="1"/>
  <c r="U22" i="1"/>
  <c r="U26" i="1" s="1"/>
  <c r="S39" i="1"/>
  <c r="Y39" i="1"/>
  <c r="I11" i="1"/>
  <c r="Y34" i="1" l="1"/>
</calcChain>
</file>

<file path=xl/sharedStrings.xml><?xml version="1.0" encoding="utf-8"?>
<sst xmlns="http://schemas.openxmlformats.org/spreadsheetml/2006/main" count="414" uniqueCount="126">
  <si>
    <t>Land</t>
  </si>
  <si>
    <t>Segment / Cluster</t>
  </si>
  <si>
    <t>Asset Type</t>
  </si>
  <si>
    <t>Primary Strategy</t>
  </si>
  <si>
    <t>Primary Strategy Allocation</t>
  </si>
  <si>
    <t xml:space="preserve"> Secondary Strategy</t>
  </si>
  <si>
    <t>Secondary Strategy Allocation</t>
  </si>
  <si>
    <t>Land Allocation</t>
  </si>
  <si>
    <t>Land Area</t>
  </si>
  <si>
    <t>TBA</t>
  </si>
  <si>
    <t>BUA Exl. (MEP &amp; Basement)</t>
  </si>
  <si>
    <t>GFA</t>
  </si>
  <si>
    <t>GSA/GLA</t>
  </si>
  <si>
    <t>MEP</t>
  </si>
  <si>
    <t>Basement Parking</t>
  </si>
  <si>
    <t>Landscape  Hardscape</t>
  </si>
  <si>
    <t>Average Unit Size (GLA)</t>
  </si>
  <si>
    <t>Units/Keys</t>
  </si>
  <si>
    <t>Land 1</t>
  </si>
  <si>
    <t>Residential</t>
  </si>
  <si>
    <t>Studios</t>
  </si>
  <si>
    <t>Develop &amp; Sell</t>
  </si>
  <si>
    <t>Develop &amp; Lease</t>
  </si>
  <si>
    <t>1BR Apartments</t>
  </si>
  <si>
    <t>2BR Apartments</t>
  </si>
  <si>
    <t>3BR Apartments</t>
  </si>
  <si>
    <t>Retail</t>
  </si>
  <si>
    <t>Stores &amp; Outlets</t>
  </si>
  <si>
    <t>Area Info</t>
  </si>
  <si>
    <t>Plot Size</t>
  </si>
  <si>
    <t>sqm</t>
  </si>
  <si>
    <t>Max FAR</t>
  </si>
  <si>
    <t>x</t>
  </si>
  <si>
    <t>Max GFA</t>
  </si>
  <si>
    <t>Asset Mix</t>
  </si>
  <si>
    <t>Asset</t>
  </si>
  <si>
    <t>% of Total BUA</t>
  </si>
  <si>
    <t>BUA</t>
  </si>
  <si>
    <t>GFA/BUA</t>
  </si>
  <si>
    <t>GLA/GFA</t>
  </si>
  <si>
    <t>Basement</t>
  </si>
  <si>
    <t>Total BUA</t>
  </si>
  <si>
    <t>FAR</t>
  </si>
  <si>
    <t>Size</t>
  </si>
  <si>
    <t># of Units</t>
  </si>
  <si>
    <t>Parking Bays/Unit</t>
  </si>
  <si>
    <t>Parking Bays/Type</t>
  </si>
  <si>
    <t>Parking Area</t>
  </si>
  <si>
    <t>Bay Size</t>
  </si>
  <si>
    <t>Branded Residences</t>
  </si>
  <si>
    <t xml:space="preserve">Basement </t>
  </si>
  <si>
    <t>Other Technical Floors</t>
  </si>
  <si>
    <t>Back of House &amp; Circulation</t>
  </si>
  <si>
    <t>Total</t>
  </si>
  <si>
    <t>Type</t>
  </si>
  <si>
    <t>Studio</t>
  </si>
  <si>
    <t>1BR</t>
  </si>
  <si>
    <t>2BR</t>
  </si>
  <si>
    <t>3BR</t>
  </si>
  <si>
    <t>Total/Average</t>
  </si>
  <si>
    <t>Number of Floors</t>
  </si>
  <si>
    <t>#</t>
  </si>
  <si>
    <t>Basement Efficiency</t>
  </si>
  <si>
    <t>%</t>
  </si>
  <si>
    <t>Area</t>
  </si>
  <si>
    <t>Other Technical Floor Area</t>
  </si>
  <si>
    <t>Back of the House &amp; Circulation</t>
  </si>
  <si>
    <t>Area Program - Branded Residences</t>
  </si>
  <si>
    <t>Other Technical floor (of Main Use GFA)</t>
  </si>
  <si>
    <t xml:space="preserve">Other Technical floor </t>
  </si>
  <si>
    <t>Hospitality</t>
  </si>
  <si>
    <t>5 Star Hotel</t>
  </si>
  <si>
    <t xml:space="preserve">Hospitality </t>
  </si>
  <si>
    <t>Land 2</t>
  </si>
  <si>
    <t>FAR (Max)</t>
  </si>
  <si>
    <t>GFA (Max)</t>
  </si>
  <si>
    <t>Zone</t>
  </si>
  <si>
    <t>1A</t>
  </si>
  <si>
    <t>1B</t>
  </si>
  <si>
    <t>L</t>
  </si>
  <si>
    <t>W</t>
  </si>
  <si>
    <t>Coverage</t>
  </si>
  <si>
    <t>Footprint</t>
  </si>
  <si>
    <t>Public Area</t>
  </si>
  <si>
    <t>Lanscape/Softscape</t>
  </si>
  <si>
    <t>Lanscape/Softscape Area</t>
  </si>
  <si>
    <t>Hardscape/Surface Parking Area</t>
  </si>
  <si>
    <t>No. of Floors</t>
  </si>
  <si>
    <t>No. Podiums</t>
  </si>
  <si>
    <t>Podium GFA</t>
  </si>
  <si>
    <t>No. Typical Floors</t>
  </si>
  <si>
    <t>Typical Floor Coverage</t>
  </si>
  <si>
    <t>Typical Floor Area</t>
  </si>
  <si>
    <t>Typcal Floor GFA</t>
  </si>
  <si>
    <t>Zone 1A Breakdown</t>
  </si>
  <si>
    <t>Required</t>
  </si>
  <si>
    <t>% of GFA</t>
  </si>
  <si>
    <t>BUA/GFA</t>
  </si>
  <si>
    <t>Hotel</t>
  </si>
  <si>
    <t xml:space="preserve">Offices </t>
  </si>
  <si>
    <t>Residences Breakdown</t>
  </si>
  <si>
    <t>Apartments Type 1</t>
  </si>
  <si>
    <t>Apartments Type 2</t>
  </si>
  <si>
    <t>Apartments Type 3</t>
  </si>
  <si>
    <t>Breakdown of Parking Area</t>
  </si>
  <si>
    <t>Surface Parking Area</t>
  </si>
  <si>
    <t>Surface Parking Bay Size</t>
  </si>
  <si>
    <t>Surface Parking Bays</t>
  </si>
  <si>
    <t>Vertical Parking Bays</t>
  </si>
  <si>
    <t>Vertical Parking Bay Size</t>
  </si>
  <si>
    <t>Vertical Parking Area</t>
  </si>
  <si>
    <t>Podium Efficency</t>
  </si>
  <si>
    <t>Podium Area</t>
  </si>
  <si>
    <t>Number of Podium Floors</t>
  </si>
  <si>
    <t>Basement Parking Bays</t>
  </si>
  <si>
    <t>Basement Parking Bay Size</t>
  </si>
  <si>
    <t>Basement Parking Area</t>
  </si>
  <si>
    <t>Basement Efficency</t>
  </si>
  <si>
    <t>Basement Area</t>
  </si>
  <si>
    <t>Number of Basements</t>
  </si>
  <si>
    <t>Total Parking Bays</t>
  </si>
  <si>
    <t>Zone 1</t>
  </si>
  <si>
    <t>Zone 2</t>
  </si>
  <si>
    <t>Zone 3</t>
  </si>
  <si>
    <t>Number of Basement</t>
  </si>
  <si>
    <t>Area Program - 5 Star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</si>
</sst>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#,##0.0"/>
    <numFmt numFmtId="165" formatCode="0.00%&quot; of Size&quot;"/>
    <numFmt numFmtId="166" formatCode="#,##0.00&quot;x&quot;"/>
    <numFmt numFmtId="167" formatCode="#,##0.0000"/>
    <numFmt numFmtId="168" formatCode="0.00%&quot; of Total GFA&quot;"/>
    <numFmt numFmtId="169" formatCode="#,##0.00&quot; per Unit&quot;"/>
    <numFmt numFmtId="170" formatCode="&quot;1 per &quot;#,##0.00&quot; of GLA&quot;"/>
    <numFmt numFmtId="171" formatCode="0%&quot; of Residential BUA&quot;"/>
    <numFmt numFmtId="172" formatCode="mmm\ yyyy"/>
    <numFmt numFmtId="173" formatCode="_-* #,##0.00_-;\-* #,##0.00_-;_-* &quot;-&quot;??_-;_-@_-"/>
    <numFmt numFmtId="174" formatCode="&quot;1 per &quot;#,##0&quot; sqm GLA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rgb="FFFFFFFF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Aptos Narrow"/>
      <family val="2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b/>
      <sz val="12"/>
      <color rgb="FF484541"/>
      <name val="Arial"/>
      <family val="2"/>
    </font>
    <font>
      <sz val="9"/>
      <name val="Aptos Narrow"/>
      <family val="2"/>
    </font>
    <font>
      <sz val="9"/>
      <color rgb="FF0000FF"/>
      <name val="Aptos Narrow"/>
      <family val="2"/>
    </font>
    <font>
      <b/>
      <sz val="9"/>
      <name val="Aptos Narrow"/>
      <family val="2"/>
    </font>
    <font>
      <b/>
      <sz val="9"/>
      <color rgb="FF0000FF"/>
      <name val="Aptos Narrow"/>
      <family val="2"/>
    </font>
    <font>
      <b/>
      <sz val="9"/>
      <color rgb="FF484541"/>
      <name val="Aptos Narrow"/>
      <family val="2"/>
    </font>
    <font>
      <sz val="9"/>
      <color rgb="FF48454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484541"/>
        <bgColor rgb="FF000000"/>
      </patternFill>
    </fill>
    <fill>
      <patternFill patternType="solid">
        <fgColor rgb="FF48454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theme="0"/>
      </right>
      <top/>
      <bottom style="hair">
        <color indexed="64"/>
      </bottom>
      <diagonal/>
    </border>
    <border>
      <left style="hair">
        <color theme="0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theme="0"/>
      </right>
      <top style="hair">
        <color indexed="64"/>
      </top>
      <bottom style="hair">
        <color indexed="64"/>
      </bottom>
      <diagonal/>
    </border>
    <border>
      <left style="hair">
        <color theme="0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</cellStyleXfs>
  <cellXfs count="152">
    <xf numFmtId="0" fontId="0" fillId="0" borderId="0" xfId="0"/>
    <xf numFmtId="0" fontId="3" fillId="2" borderId="0" xfId="2" applyFont="1" applyFill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164" fontId="4" fillId="0" borderId="3" xfId="2" applyNumberFormat="1" applyFont="1" applyBorder="1" applyAlignment="1">
      <alignment horizontal="center" vertical="center" wrapText="1"/>
    </xf>
    <xf numFmtId="9" fontId="5" fillId="0" borderId="2" xfId="1" applyFont="1" applyFill="1" applyBorder="1" applyAlignment="1">
      <alignment horizontal="center" vertical="center" wrapText="1"/>
    </xf>
    <xf numFmtId="10" fontId="4" fillId="0" borderId="1" xfId="1" applyNumberFormat="1" applyFont="1" applyFill="1" applyBorder="1" applyAlignment="1">
      <alignment horizontal="center" vertical="center" wrapText="1"/>
    </xf>
    <xf numFmtId="3" fontId="4" fillId="0" borderId="1" xfId="2" applyNumberFormat="1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164" fontId="4" fillId="0" borderId="6" xfId="2" applyNumberFormat="1" applyFont="1" applyBorder="1" applyAlignment="1">
      <alignment horizontal="center" vertical="center" wrapText="1"/>
    </xf>
    <xf numFmtId="9" fontId="5" fillId="0" borderId="5" xfId="1" applyFont="1" applyFill="1" applyBorder="1" applyAlignment="1">
      <alignment horizontal="center" vertical="center" wrapText="1"/>
    </xf>
    <xf numFmtId="10" fontId="4" fillId="0" borderId="4" xfId="1" applyNumberFormat="1" applyFont="1" applyFill="1" applyBorder="1" applyAlignment="1">
      <alignment horizontal="center" vertical="center" wrapText="1"/>
    </xf>
    <xf numFmtId="3" fontId="4" fillId="0" borderId="4" xfId="2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3" applyAlignment="1">
      <alignment vertical="center" wrapText="1"/>
    </xf>
    <xf numFmtId="3" fontId="7" fillId="2" borderId="7" xfId="2" applyNumberFormat="1" applyFont="1" applyFill="1" applyBorder="1" applyAlignment="1">
      <alignment horizontal="center" vertical="center" wrapText="1"/>
    </xf>
    <xf numFmtId="3" fontId="8" fillId="2" borderId="7" xfId="2" applyNumberFormat="1" applyFont="1" applyFill="1" applyBorder="1" applyAlignment="1">
      <alignment horizontal="center" vertical="center" wrapText="1"/>
    </xf>
    <xf numFmtId="9" fontId="9" fillId="3" borderId="0" xfId="1" applyFont="1" applyFill="1" applyBorder="1" applyAlignment="1">
      <alignment horizontal="center" vertical="center" wrapText="1"/>
    </xf>
    <xf numFmtId="3" fontId="9" fillId="3" borderId="0" xfId="4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3" fontId="12" fillId="0" borderId="0" xfId="2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65" fontId="13" fillId="0" borderId="0" xfId="1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7" fontId="12" fillId="0" borderId="0" xfId="2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168" fontId="14" fillId="0" borderId="0" xfId="1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center" vertical="center"/>
    </xf>
    <xf numFmtId="9" fontId="11" fillId="0" borderId="0" xfId="1" applyFont="1" applyBorder="1" applyAlignment="1">
      <alignment horizontal="center" vertical="center"/>
    </xf>
    <xf numFmtId="9" fontId="14" fillId="0" borderId="0" xfId="1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70" fontId="14" fillId="0" borderId="0" xfId="0" applyNumberFormat="1" applyFont="1" applyAlignment="1">
      <alignment horizontal="center" vertical="center"/>
    </xf>
    <xf numFmtId="9" fontId="14" fillId="0" borderId="0" xfId="1" applyFont="1" applyFill="1" applyBorder="1" applyAlignment="1">
      <alignment horizontal="center" vertical="center"/>
    </xf>
    <xf numFmtId="9" fontId="10" fillId="0" borderId="8" xfId="0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4" fontId="10" fillId="0" borderId="8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71" fontId="14" fillId="0" borderId="7" xfId="1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9" fontId="14" fillId="0" borderId="0" xfId="0" applyNumberFormat="1" applyFont="1" applyAlignment="1">
      <alignment horizontal="center" vertical="center"/>
    </xf>
    <xf numFmtId="0" fontId="10" fillId="0" borderId="8" xfId="0" applyFont="1" applyBorder="1" applyAlignment="1">
      <alignment vertical="center"/>
    </xf>
    <xf numFmtId="165" fontId="15" fillId="0" borderId="7" xfId="1" applyNumberFormat="1" applyFont="1" applyBorder="1" applyAlignment="1">
      <alignment horizontal="center" vertical="center"/>
    </xf>
    <xf numFmtId="3" fontId="16" fillId="0" borderId="7" xfId="0" applyNumberFormat="1" applyFont="1" applyBorder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9" fontId="14" fillId="0" borderId="0" xfId="1" applyFont="1" applyAlignment="1">
      <alignment horizontal="center" vertical="center"/>
    </xf>
    <xf numFmtId="3" fontId="11" fillId="0" borderId="0" xfId="0" applyNumberFormat="1" applyFont="1" applyAlignment="1">
      <alignment vertical="center"/>
    </xf>
    <xf numFmtId="172" fontId="13" fillId="0" borderId="0" xfId="0" applyNumberFormat="1" applyFont="1" applyAlignment="1">
      <alignment horizontal="center" vertical="center"/>
    </xf>
    <xf numFmtId="0" fontId="1" fillId="0" borderId="0" xfId="3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3" fontId="14" fillId="6" borderId="0" xfId="0" applyNumberFormat="1" applyFont="1" applyFill="1" applyAlignment="1">
      <alignment horizontal="center" vertical="center"/>
    </xf>
    <xf numFmtId="1" fontId="14" fillId="6" borderId="0" xfId="0" applyNumberFormat="1" applyFont="1" applyFill="1" applyAlignment="1">
      <alignment horizontal="center" vertical="center"/>
    </xf>
    <xf numFmtId="3" fontId="13" fillId="6" borderId="0" xfId="0" applyNumberFormat="1" applyFont="1" applyFill="1" applyAlignment="1">
      <alignment horizontal="center" vertical="center"/>
    </xf>
    <xf numFmtId="1" fontId="13" fillId="6" borderId="0" xfId="0" applyNumberFormat="1" applyFont="1" applyFill="1" applyAlignment="1">
      <alignment horizontal="center" vertical="center"/>
    </xf>
    <xf numFmtId="1" fontId="10" fillId="6" borderId="8" xfId="0" applyNumberFormat="1" applyFont="1" applyFill="1" applyBorder="1" applyAlignment="1">
      <alignment horizontal="center" vertical="center"/>
    </xf>
    <xf numFmtId="3" fontId="10" fillId="6" borderId="8" xfId="0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3" fontId="11" fillId="0" borderId="0" xfId="0" applyNumberFormat="1" applyFont="1" applyAlignment="1">
      <alignment horizontal="center" vertical="center"/>
    </xf>
    <xf numFmtId="9" fontId="11" fillId="0" borderId="0" xfId="1" applyFont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2" fontId="10" fillId="6" borderId="8" xfId="0" applyNumberFormat="1" applyFont="1" applyFill="1" applyBorder="1" applyAlignment="1">
      <alignment horizontal="center" vertical="center"/>
    </xf>
    <xf numFmtId="1" fontId="10" fillId="6" borderId="8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1" fontId="11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0" fontId="14" fillId="5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69" fontId="13" fillId="5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0" fontId="14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0" fontId="11" fillId="0" borderId="0" xfId="3" applyFont="1" applyAlignment="1">
      <alignment vertical="center"/>
    </xf>
    <xf numFmtId="3" fontId="17" fillId="0" borderId="0" xfId="2" applyNumberFormat="1" applyFont="1" applyAlignment="1">
      <alignment horizontal="center" vertical="center" wrapText="1"/>
    </xf>
    <xf numFmtId="4" fontId="17" fillId="0" borderId="0" xfId="2" applyNumberFormat="1" applyFont="1" applyAlignment="1">
      <alignment horizontal="center" vertical="center" wrapText="1"/>
    </xf>
    <xf numFmtId="166" fontId="14" fillId="6" borderId="0" xfId="0" applyNumberFormat="1" applyFont="1" applyFill="1" applyAlignment="1">
      <alignment horizontal="center" vertical="center"/>
    </xf>
    <xf numFmtId="167" fontId="17" fillId="0" borderId="0" xfId="2" applyNumberFormat="1" applyFont="1" applyAlignment="1">
      <alignment horizontal="center" vertical="center" wrapText="1"/>
    </xf>
    <xf numFmtId="0" fontId="10" fillId="0" borderId="0" xfId="3" applyFont="1" applyAlignment="1">
      <alignment vertical="center"/>
    </xf>
    <xf numFmtId="0" fontId="10" fillId="8" borderId="0" xfId="0" applyFont="1" applyFill="1" applyAlignment="1">
      <alignment horizontal="left" vertical="center"/>
    </xf>
    <xf numFmtId="0" fontId="10" fillId="8" borderId="0" xfId="3" applyFont="1" applyFill="1" applyAlignment="1">
      <alignment horizontal="center" vertical="center"/>
    </xf>
    <xf numFmtId="165" fontId="15" fillId="8" borderId="0" xfId="1" applyNumberFormat="1" applyFont="1" applyFill="1" applyBorder="1" applyAlignment="1">
      <alignment horizontal="center" vertical="center"/>
    </xf>
    <xf numFmtId="3" fontId="15" fillId="8" borderId="0" xfId="0" applyNumberFormat="1" applyFont="1" applyFill="1" applyAlignment="1">
      <alignment horizontal="center" vertical="center"/>
    </xf>
    <xf numFmtId="3" fontId="17" fillId="8" borderId="0" xfId="2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3" fontId="11" fillId="0" borderId="8" xfId="0" applyNumberFormat="1" applyFont="1" applyBorder="1" applyAlignment="1">
      <alignment horizontal="center" vertical="center"/>
    </xf>
    <xf numFmtId="3" fontId="13" fillId="0" borderId="8" xfId="0" applyNumberFormat="1" applyFont="1" applyBorder="1" applyAlignment="1">
      <alignment horizontal="center" vertical="center"/>
    </xf>
    <xf numFmtId="10" fontId="11" fillId="0" borderId="0" xfId="1" applyNumberFormat="1" applyFont="1" applyAlignment="1">
      <alignment horizontal="center" vertical="center"/>
    </xf>
    <xf numFmtId="10" fontId="14" fillId="0" borderId="0" xfId="1" applyNumberFormat="1" applyFont="1" applyAlignment="1">
      <alignment horizontal="center" vertical="center"/>
    </xf>
    <xf numFmtId="3" fontId="11" fillId="0" borderId="0" xfId="3" applyNumberFormat="1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10" fontId="14" fillId="0" borderId="0" xfId="1" applyNumberFormat="1" applyFont="1" applyBorder="1" applyAlignment="1">
      <alignment horizontal="center" vertical="center"/>
    </xf>
    <xf numFmtId="3" fontId="13" fillId="0" borderId="0" xfId="3" applyNumberFormat="1" applyFont="1" applyAlignment="1">
      <alignment horizontal="center" vertical="center"/>
    </xf>
    <xf numFmtId="9" fontId="13" fillId="0" borderId="0" xfId="1" applyFont="1" applyAlignment="1">
      <alignment horizontal="center" vertical="center"/>
    </xf>
    <xf numFmtId="164" fontId="14" fillId="0" borderId="0" xfId="3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18" fillId="0" borderId="0" xfId="2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10" fontId="14" fillId="0" borderId="0" xfId="1" applyNumberFormat="1" applyFont="1" applyAlignment="1">
      <alignment horizontal="center" vertical="center" wrapText="1"/>
    </xf>
    <xf numFmtId="166" fontId="13" fillId="6" borderId="0" xfId="0" applyNumberFormat="1" applyFont="1" applyFill="1" applyAlignment="1">
      <alignment horizontal="center" vertical="center"/>
    </xf>
    <xf numFmtId="1" fontId="11" fillId="0" borderId="7" xfId="0" applyNumberFormat="1" applyFont="1" applyBorder="1" applyAlignment="1">
      <alignment vertical="center"/>
    </xf>
    <xf numFmtId="0" fontId="10" fillId="0" borderId="8" xfId="0" applyFont="1" applyBorder="1" applyAlignment="1">
      <alignment horizontal="left" vertical="center"/>
    </xf>
    <xf numFmtId="10" fontId="14" fillId="0" borderId="0" xfId="1" applyNumberFormat="1" applyFont="1" applyFill="1" applyBorder="1" applyAlignment="1">
      <alignment horizontal="center" vertical="center"/>
    </xf>
    <xf numFmtId="169" fontId="14" fillId="0" borderId="0" xfId="0" applyNumberFormat="1" applyFont="1" applyAlignment="1">
      <alignment horizontal="center" vertical="center"/>
    </xf>
    <xf numFmtId="174" fontId="14" fillId="0" borderId="0" xfId="0" applyNumberFormat="1" applyFont="1" applyAlignment="1">
      <alignment horizontal="center" vertical="center"/>
    </xf>
    <xf numFmtId="10" fontId="10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 vertical="center"/>
    </xf>
    <xf numFmtId="9" fontId="11" fillId="0" borderId="0" xfId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1" fillId="0" borderId="7" xfId="3" applyFont="1" applyBorder="1" applyAlignment="1">
      <alignment horizontal="left" vertical="center"/>
    </xf>
    <xf numFmtId="0" fontId="11" fillId="0" borderId="7" xfId="3" applyFont="1" applyBorder="1" applyAlignment="1">
      <alignment vertical="center"/>
    </xf>
    <xf numFmtId="0" fontId="11" fillId="0" borderId="0" xfId="3" applyFont="1" applyAlignment="1">
      <alignment horizontal="left" vertical="center"/>
    </xf>
    <xf numFmtId="3" fontId="14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left" vertical="center"/>
    </xf>
    <xf numFmtId="9" fontId="13" fillId="0" borderId="0" xfId="1" applyFont="1" applyBorder="1" applyAlignment="1">
      <alignment horizontal="center" vertical="center"/>
    </xf>
    <xf numFmtId="4" fontId="13" fillId="0" borderId="0" xfId="3" applyNumberFormat="1" applyFont="1" applyAlignment="1">
      <alignment horizontal="center" vertical="center"/>
    </xf>
    <xf numFmtId="0" fontId="13" fillId="0" borderId="0" xfId="3" applyFont="1" applyAlignment="1">
      <alignment vertical="center"/>
    </xf>
    <xf numFmtId="1" fontId="11" fillId="0" borderId="0" xfId="3" applyNumberFormat="1" applyFont="1" applyAlignment="1">
      <alignment horizontal="center" vertical="center"/>
    </xf>
    <xf numFmtId="4" fontId="14" fillId="0" borderId="0" xfId="3" applyNumberFormat="1" applyFont="1" applyAlignment="1">
      <alignment horizontal="center" vertical="center"/>
    </xf>
    <xf numFmtId="4" fontId="11" fillId="0" borderId="0" xfId="3" applyNumberFormat="1" applyFont="1" applyAlignment="1">
      <alignment horizontal="center" vertical="center"/>
    </xf>
    <xf numFmtId="4" fontId="11" fillId="0" borderId="0" xfId="3" applyNumberFormat="1" applyFont="1" applyAlignment="1">
      <alignment horizontal="center" vertical="center"/>
    </xf>
  </cellXfs>
  <cellStyles count="6">
    <cellStyle name="Comma 2" xfId="5" xr:uid="{9E6915FD-DFE0-40F5-9039-B5E4BA5C79DC}"/>
    <cellStyle name="Comma 2 2" xfId="4" xr:uid="{72812F8F-A38F-4318-A585-25ACD34FCCFD}"/>
    <cellStyle name="Normal" xfId="0" builtinId="0"/>
    <cellStyle name="Normal 2 2" xfId="2" xr:uid="{9A409575-353F-40E5-AFE3-FF6DD8A77CDC}"/>
    <cellStyle name="Normal 2 3" xfId="3" xr:uid="{ADF5C40C-5AE4-4342-8096-4DB01062B905}"/>
    <cellStyle name="Percent" xfId="1" builtinId="5"/>
  </cellStyles>
  <dxfs count="2"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nightfrank-my.sharepoint.com/Documents%20and%20Settings/mn/My%20Documents/Copy%20of%20PHRB%20Forecast%20Feb2007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al%20Estate%20Projects\Project%20-%20Dar%20Al%20-%20Salam%20(Takhassusi)\Financial%20-%20Investment\NRI%20x%20Amara%20-%20Riyadh%20-%20Dar%20Al-Salam%20-%20Business%20Plan%20-%20FM%20-%20v.3.1%202025.03.05%20Option%20I.xlsx" TargetMode="External"/><Relationship Id="rId1" Type="http://schemas.openxmlformats.org/officeDocument/2006/relationships/externalLinkPath" Target="/Real%20Estate%20Projects/Project%20-%20Dar%20Al%20-%20Salam%20(Takhassusi)/Financial%20-%20Investment/NRI%20x%20Amara%20-%20Riyadh%20-%20Dar%20Al-Salam%20-%20Business%20Plan%20-%20FM%20-%20v.3.1%202025.03.05%20Option%20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X999SY\AppData\Local\Microsoft\Windows\INetCache\Content.Outlook\Y3SCO8DR\Copy%20of%20Vista%20model_MENA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_West\Business%20Plan\Financial%20Model%20-%20Investor%20Returns%20(Final%20Discussion%207%207%20%2025)%20v2.%202025.07.09.xlsm" TargetMode="External"/><Relationship Id="rId1" Type="http://schemas.openxmlformats.org/officeDocument/2006/relationships/externalLinkPath" Target="Financial%20Model%20-%20Investor%20Returns%20(Final%20Discussion%207%207%20%2025)%20v2.%202025.07.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copies"/>
      <sheetName val="Macro for Owner"/>
      <sheetName val="Instruct"/>
      <sheetName val="Instructions"/>
      <sheetName val="Input"/>
      <sheetName val="TrialBal"/>
      <sheetName val="DebtorsDetail"/>
      <sheetName val="FrontOfficePosting"/>
      <sheetName val="Index"/>
      <sheetName val="GM's Overview"/>
      <sheetName val="SalesMix"/>
      <sheetName val="Georgph"/>
      <sheetName val="Incstat"/>
      <sheetName val="BalSht"/>
      <sheetName val="Cashflow"/>
      <sheetName val="FCast"/>
      <sheetName val="Debtors"/>
      <sheetName val="HistoricCashFlow"/>
      <sheetName val="Trading Summaries"/>
      <sheetName val="ManCompInc"/>
      <sheetName val="STAFFMove"/>
      <sheetName val="Staff Headcount"/>
      <sheetName val="Audit"/>
      <sheetName val="Audit Review"/>
      <sheetName val="Comps"/>
      <sheetName val="PromotionalComps"/>
      <sheetName val="SpecialPromotions"/>
      <sheetName val="SummaryISPage"/>
      <sheetName val="Incentive"/>
      <sheetName val="Matrix"/>
      <sheetName val="Extract"/>
      <sheetName val="Extract 2"/>
      <sheetName val="Matrix2"/>
      <sheetName val="ProgramPlan"/>
      <sheetName val="Dropdowns"/>
      <sheetName val="Macro_copies"/>
      <sheetName val="Macro_for_Owner"/>
      <sheetName val="GM's_Overview"/>
      <sheetName val="Trading_Summaries"/>
      <sheetName val="Staff_Headcount"/>
      <sheetName val="Audit_Review"/>
      <sheetName val="Extract_2"/>
      <sheetName val="Lists"/>
      <sheetName val="Inputs"/>
      <sheetName val="Input Sheet"/>
      <sheetName val="Macro_copies2"/>
      <sheetName val="Macro_for_Owner2"/>
      <sheetName val="GM's_Overview2"/>
      <sheetName val="Trading_Summaries2"/>
      <sheetName val="Staff_Headcount2"/>
      <sheetName val="Audit_Review2"/>
      <sheetName val="Extract_22"/>
      <sheetName val="Macro_copies1"/>
      <sheetName val="Macro_for_Owner1"/>
      <sheetName val="GM's_Overview1"/>
      <sheetName val="Trading_Summaries1"/>
      <sheetName val="Staff_Headcount1"/>
      <sheetName val="Audit_Review1"/>
      <sheetName val="Extract_2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833">
          <cell r="G1833" t="str">
            <v>INP75</v>
          </cell>
          <cell r="M1833" t="str">
            <v>INCOME STATEMENT FOR THE MONTH ENDED</v>
          </cell>
          <cell r="O1833" t="str">
            <v>30 SEPTEMBER 2005</v>
          </cell>
        </row>
        <row r="1835">
          <cell r="Q1835" t="str">
            <v xml:space="preserve">         M O N T H</v>
          </cell>
          <cell r="W1835" t="str">
            <v xml:space="preserve">  Y E A R   T O   D A T E</v>
          </cell>
        </row>
        <row r="1836">
          <cell r="M1836" t="str">
            <v>SUNDRY3 DEPARTMENT</v>
          </cell>
          <cell r="O1836" t="str">
            <v>Last Year</v>
          </cell>
          <cell r="P1836" t="str">
            <v>% Var.</v>
          </cell>
          <cell r="Q1836" t="str">
            <v>Actual</v>
          </cell>
          <cell r="R1836" t="str">
            <v>Budget</v>
          </cell>
          <cell r="S1836" t="str">
            <v>Variance</v>
          </cell>
          <cell r="T1836" t="str">
            <v>% Var.</v>
          </cell>
          <cell r="U1836" t="str">
            <v>Last Year</v>
          </cell>
          <cell r="V1836" t="str">
            <v>% Var.</v>
          </cell>
          <cell r="W1836" t="str">
            <v>Actual</v>
          </cell>
          <cell r="X1836" t="str">
            <v>Budget</v>
          </cell>
          <cell r="Y1836" t="str">
            <v>Variance</v>
          </cell>
          <cell r="Z1836" t="str">
            <v>% Var.</v>
          </cell>
        </row>
        <row r="1838">
          <cell r="M1838" t="str">
            <v>SALES</v>
          </cell>
        </row>
        <row r="1840">
          <cell r="G1840" t="str">
            <v>SDYDEP3010</v>
          </cell>
          <cell r="J1840" t="str">
            <v>Sdy 3 Dep</v>
          </cell>
          <cell r="M1840" t="str">
            <v>Sdy 3 Dep: Revenue Item 1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</row>
        <row r="1841">
          <cell r="G1841" t="str">
            <v>SDYDEP3020</v>
          </cell>
          <cell r="J1841" t="str">
            <v>Sdy 3 Dep</v>
          </cell>
          <cell r="M1841" t="str">
            <v>Sdy 3 Dep: Revenue Item 2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</row>
        <row r="1842">
          <cell r="G1842" t="str">
            <v>SDYDEP3030</v>
          </cell>
          <cell r="J1842" t="str">
            <v>Sdy 3 Dep</v>
          </cell>
          <cell r="M1842" t="str">
            <v>Sdy 3 Dep: Revenue Item 3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</row>
        <row r="1843">
          <cell r="G1843" t="str">
            <v>SDYDEP3040</v>
          </cell>
          <cell r="J1843" t="str">
            <v>Sdy 3 Dep</v>
          </cell>
          <cell r="M1843" t="str">
            <v>Sdy 3 Dep: Revenue Item 4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</row>
        <row r="1844">
          <cell r="G1844" t="str">
            <v>SDYDEP3050</v>
          </cell>
          <cell r="J1844" t="str">
            <v>Sdy 3 Dep</v>
          </cell>
          <cell r="M1844" t="str">
            <v>Sdy 3 Dep: Revenue Item 5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</row>
        <row r="1845">
          <cell r="G1845" t="str">
            <v>SDYDEP3060</v>
          </cell>
          <cell r="J1845" t="str">
            <v>Sdy 3 Dep</v>
          </cell>
          <cell r="M1845" t="str">
            <v>Sdy 3 Dep: Revenue Item 6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</row>
        <row r="1846">
          <cell r="J1846" t="str">
            <v>Sdy 3 Dep</v>
          </cell>
        </row>
        <row r="1847">
          <cell r="G1847" t="str">
            <v>SDYDEP3100</v>
          </cell>
          <cell r="J1847" t="str">
            <v>Sdy 3 Dep</v>
          </cell>
          <cell r="M1847" t="str">
            <v>TOTAL SUNDRY2 DEPARTMENT REVENUE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</row>
        <row r="1848">
          <cell r="J1848" t="str">
            <v>Sdy 3 Dep</v>
          </cell>
        </row>
        <row r="1849">
          <cell r="J1849" t="str">
            <v>Sdy 3 Dep</v>
          </cell>
          <cell r="M1849" t="str">
            <v>COST OF SALES</v>
          </cell>
        </row>
        <row r="1850">
          <cell r="G1850" t="str">
            <v>SDYDEP3210</v>
          </cell>
          <cell r="J1850" t="str">
            <v>Sdy 3 Dep</v>
          </cell>
          <cell r="M1850" t="str">
            <v>Sdy 3 Dep: COS Item 1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</row>
        <row r="1851">
          <cell r="G1851" t="str">
            <v>SDYDEP3220</v>
          </cell>
          <cell r="J1851" t="str">
            <v>Sdy 3 Dep</v>
          </cell>
          <cell r="M1851" t="str">
            <v>Sdy 3 Dep: COS Item 2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</row>
        <row r="1852">
          <cell r="G1852" t="str">
            <v>SDYDEP3230</v>
          </cell>
          <cell r="J1852" t="str">
            <v>Sdy 3 Dep</v>
          </cell>
          <cell r="M1852" t="str">
            <v>Sdy 3 Dep: COS Item 3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</row>
        <row r="1853">
          <cell r="G1853" t="str">
            <v>SDYDEP3240</v>
          </cell>
          <cell r="J1853" t="str">
            <v>Sdy 3 Dep</v>
          </cell>
          <cell r="M1853" t="str">
            <v>Sdy 3 Dep: COS Item 4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</row>
        <row r="1854">
          <cell r="G1854" t="str">
            <v>SDYDEP3250</v>
          </cell>
          <cell r="J1854" t="str">
            <v>Sdy 3 Dep</v>
          </cell>
          <cell r="M1854" t="str">
            <v>Sdy 3 Dep: COS Item 5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</row>
        <row r="1855">
          <cell r="G1855" t="str">
            <v>SDYDEP3260</v>
          </cell>
          <cell r="J1855" t="str">
            <v>Sdy 3 Dep</v>
          </cell>
          <cell r="M1855" t="str">
            <v>Sdy 3 Dep: COS Item 6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</row>
        <row r="1856">
          <cell r="J1856" t="str">
            <v>Sdy 3 Dep</v>
          </cell>
        </row>
        <row r="1857">
          <cell r="G1857" t="str">
            <v>SDYDEP3300</v>
          </cell>
          <cell r="J1857" t="str">
            <v>Sdy 3 Dep</v>
          </cell>
          <cell r="M1857" t="str">
            <v>TOTAL COST OF SALES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</row>
        <row r="1858">
          <cell r="J1858" t="str">
            <v>Sdy 3 Dep</v>
          </cell>
        </row>
        <row r="1859">
          <cell r="J1859" t="str">
            <v>Sdy 3 Dep</v>
          </cell>
          <cell r="M1859" t="str">
            <v>STAFF EXPENSES</v>
          </cell>
        </row>
        <row r="1860">
          <cell r="J1860" t="str">
            <v>Sdy 3 Dep</v>
          </cell>
        </row>
        <row r="1861">
          <cell r="G1861" t="str">
            <v>SDYDEP3400</v>
          </cell>
          <cell r="J1861" t="str">
            <v>Sdy 3 Dep</v>
          </cell>
          <cell r="M1861" t="str">
            <v xml:space="preserve"> Salaries &amp; Wages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</row>
        <row r="1862">
          <cell r="G1862" t="str">
            <v>SDYDEP3410</v>
          </cell>
          <cell r="J1862" t="str">
            <v>Sdy 3 Dep</v>
          </cell>
          <cell r="M1862" t="str">
            <v xml:space="preserve"> Payroll Burden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</row>
        <row r="1863">
          <cell r="J1863" t="str">
            <v>Sdy 3 Dep</v>
          </cell>
        </row>
        <row r="1864">
          <cell r="G1864" t="str">
            <v>SDYDEP3500</v>
          </cell>
          <cell r="J1864" t="str">
            <v>Sdy 3 Dep</v>
          </cell>
          <cell r="M1864" t="str">
            <v>TOTAL STAFF EXPENSES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</row>
        <row r="1865">
          <cell r="J1865" t="str">
            <v>Sdy 3 Dep</v>
          </cell>
        </row>
        <row r="1866">
          <cell r="J1866" t="str">
            <v>Sdy 3 Dep</v>
          </cell>
          <cell r="M1866" t="str">
            <v>OTHER EXPENSES</v>
          </cell>
        </row>
        <row r="1867">
          <cell r="J1867" t="str">
            <v>Sdy 3 Dep</v>
          </cell>
        </row>
        <row r="1868">
          <cell r="G1868" t="str">
            <v>SDYDEP3610</v>
          </cell>
          <cell r="J1868" t="str">
            <v>Sdy 3 Dep</v>
          </cell>
          <cell r="M1868" t="str">
            <v>Sdy 3 Dep: Expense1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</row>
        <row r="1869">
          <cell r="G1869" t="str">
            <v>SDYDEP3620</v>
          </cell>
          <cell r="J1869" t="str">
            <v>Sdy 3 Dep</v>
          </cell>
          <cell r="M1869" t="str">
            <v>Sdy 3 Dep: Expense2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</row>
        <row r="1870">
          <cell r="G1870" t="str">
            <v>SDYDEP3630</v>
          </cell>
          <cell r="J1870" t="str">
            <v>Sdy 3 Dep</v>
          </cell>
          <cell r="M1870" t="str">
            <v>Sdy 3 Dep: Expense3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</row>
        <row r="1871">
          <cell r="G1871" t="str">
            <v>SDYDEP3640</v>
          </cell>
          <cell r="J1871" t="str">
            <v>Sdy 3 Dep</v>
          </cell>
          <cell r="M1871" t="str">
            <v>Sdy 3 Dep: Expense4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</row>
        <row r="1872">
          <cell r="G1872" t="str">
            <v>SDYDEP3650</v>
          </cell>
          <cell r="J1872" t="str">
            <v>Sdy 3 Dep</v>
          </cell>
          <cell r="M1872" t="str">
            <v>Sdy 3 Dep: Expense5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</row>
        <row r="1873">
          <cell r="G1873" t="str">
            <v>SDYDEP3660</v>
          </cell>
          <cell r="J1873" t="str">
            <v>Sdy 3 Dep</v>
          </cell>
          <cell r="M1873" t="str">
            <v>Sdy 3 Dep: Expense6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</row>
        <row r="1874">
          <cell r="G1874" t="str">
            <v>SDYDEP3670</v>
          </cell>
          <cell r="J1874" t="str">
            <v>Sdy 3 Dep</v>
          </cell>
          <cell r="M1874" t="str">
            <v>Sdy 3 Dep: Expense7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</row>
        <row r="1875">
          <cell r="G1875" t="str">
            <v>SDYDEP3680</v>
          </cell>
          <cell r="J1875" t="str">
            <v>Sdy 3 Dep</v>
          </cell>
          <cell r="M1875" t="str">
            <v>Sdy 3 Dep: Expense8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</row>
        <row r="1876">
          <cell r="G1876" t="str">
            <v>SDYDEP3690</v>
          </cell>
          <cell r="J1876" t="str">
            <v>Sdy 3 Dep</v>
          </cell>
          <cell r="M1876" t="str">
            <v>Sdy 3 Dep: Expense9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</row>
        <row r="1877">
          <cell r="G1877" t="str">
            <v>SDYDEP3700</v>
          </cell>
          <cell r="J1877" t="str">
            <v>Sdy 3 Dep</v>
          </cell>
          <cell r="M1877" t="str">
            <v>Sdy 3 Dep: Expense10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</row>
        <row r="1878">
          <cell r="G1878" t="str">
            <v>SDYDEP3710</v>
          </cell>
          <cell r="J1878" t="str">
            <v>Sdy 3 Dep</v>
          </cell>
          <cell r="M1878" t="str">
            <v>Sdy 3 Dep: Expense11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</row>
        <row r="1879">
          <cell r="G1879" t="str">
            <v>SDYDEP3720</v>
          </cell>
          <cell r="J1879" t="str">
            <v>Sdy 3 Dep</v>
          </cell>
          <cell r="M1879" t="str">
            <v>Sdy 3 Dep: Expense12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</row>
        <row r="1880">
          <cell r="G1880" t="str">
            <v>SDYDEP3730</v>
          </cell>
          <cell r="J1880" t="str">
            <v>Sdy 3 Dep</v>
          </cell>
          <cell r="M1880" t="str">
            <v>Sdy 3 Dep: Expense13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</row>
        <row r="1881">
          <cell r="G1881" t="str">
            <v>SDYDEP3740</v>
          </cell>
          <cell r="J1881" t="str">
            <v>Sdy 3 Dep</v>
          </cell>
          <cell r="M1881" t="str">
            <v>Sdy 3 Dep: Expense14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</row>
        <row r="1882">
          <cell r="G1882" t="str">
            <v>SDYDEP3750</v>
          </cell>
          <cell r="J1882" t="str">
            <v>Sdy 3 Dep</v>
          </cell>
          <cell r="M1882" t="str">
            <v>Sdy 3 Dep: Expense15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</row>
        <row r="1883">
          <cell r="G1883" t="str">
            <v>SDYDEP3760</v>
          </cell>
          <cell r="J1883" t="str">
            <v>Sdy 3 Dep</v>
          </cell>
          <cell r="M1883" t="str">
            <v>Sdy 3 Dep: Expense16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</row>
        <row r="1884">
          <cell r="G1884" t="str">
            <v>SDYDEP3770</v>
          </cell>
          <cell r="J1884" t="str">
            <v>Sdy 3 Dep</v>
          </cell>
          <cell r="M1884" t="str">
            <v>Sdy 3 Dep: Expense17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</row>
        <row r="1885">
          <cell r="G1885" t="str">
            <v>SDYDEP3780</v>
          </cell>
          <cell r="J1885" t="str">
            <v>Sdy 3 Dep</v>
          </cell>
          <cell r="M1885" t="str">
            <v>Sdy 3 Dep: Expense18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</row>
        <row r="1886">
          <cell r="G1886" t="str">
            <v>SDYDEP3790</v>
          </cell>
          <cell r="J1886" t="str">
            <v>Sdy 3 Dep</v>
          </cell>
          <cell r="M1886" t="str">
            <v>Sdy 3 Dep: Expense19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</row>
        <row r="1887">
          <cell r="G1887" t="str">
            <v>SDYDEP3800</v>
          </cell>
          <cell r="J1887" t="str">
            <v>Sdy 3 Dep</v>
          </cell>
          <cell r="M1887" t="str">
            <v>Sdy 3 Dep: Expense20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</row>
        <row r="1888">
          <cell r="J1888" t="str">
            <v>Sdy 3 Dep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</row>
        <row r="1889">
          <cell r="G1889" t="str">
            <v>SDYDEP3810</v>
          </cell>
          <cell r="J1889" t="str">
            <v>Sdy 3 Dep</v>
          </cell>
          <cell r="M1889" t="str">
            <v>TOTAL OTHER EXPENSES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</row>
        <row r="1890">
          <cell r="J1890" t="str">
            <v>Sdy 3 Dep</v>
          </cell>
        </row>
        <row r="1891">
          <cell r="G1891" t="str">
            <v>SDYDEP3850</v>
          </cell>
          <cell r="J1891" t="str">
            <v>Sdy 3 Dep</v>
          </cell>
          <cell r="M1891" t="str">
            <v>TOTAL SUNDRY2 DEPARTMENT EXPENSES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</row>
        <row r="1892">
          <cell r="J1892" t="str">
            <v>Sdy 3 Dep</v>
          </cell>
        </row>
        <row r="1893">
          <cell r="G1893" t="str">
            <v>SDYDEP3860</v>
          </cell>
          <cell r="J1893" t="str">
            <v>Sdy 3 Dep</v>
          </cell>
          <cell r="M1893" t="str">
            <v>SUNDRY2 DEPARTMENTAL PROFIT / (LOSS)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</row>
        <row r="1894">
          <cell r="J1894" t="str">
            <v>Sdy 3 Dep</v>
          </cell>
          <cell r="M1894" t="str">
            <v>PERCENTAGE OF TOTAL SUNDRY2 REVENUE</v>
          </cell>
        </row>
        <row r="1895">
          <cell r="G1895" t="str">
            <v>SDYDEP3900</v>
          </cell>
          <cell r="J1895" t="str">
            <v>Sdy 3 Dep</v>
          </cell>
          <cell r="M1895" t="str">
            <v>Sdy 3 Dep: COS Item 1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</row>
        <row r="1896">
          <cell r="G1896" t="str">
            <v>SDYDEP3910</v>
          </cell>
          <cell r="J1896" t="str">
            <v>Sdy 3 Dep</v>
          </cell>
          <cell r="M1896" t="str">
            <v>Sdy 3 Dep: COS Item 2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</row>
        <row r="1897">
          <cell r="G1897" t="str">
            <v>SDYDEP3920</v>
          </cell>
          <cell r="J1897" t="str">
            <v>Sdy 3 Dep</v>
          </cell>
          <cell r="M1897" t="str">
            <v>Sdy 3 Dep: COS Item 3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</row>
        <row r="1898">
          <cell r="G1898" t="str">
            <v>SDYDEP3930</v>
          </cell>
          <cell r="J1898" t="str">
            <v>Sdy 3 Dep</v>
          </cell>
          <cell r="M1898" t="str">
            <v>Sdy 3 Dep: COS Item 4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</row>
        <row r="1899">
          <cell r="G1899" t="str">
            <v>SDYDEP3940</v>
          </cell>
          <cell r="J1899" t="str">
            <v>Sdy 3 Dep</v>
          </cell>
          <cell r="M1899" t="str">
            <v>Sdy 3 Dep: COS Item 5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</row>
        <row r="1900">
          <cell r="G1900" t="str">
            <v>SDYDEP3950</v>
          </cell>
          <cell r="J1900" t="str">
            <v>Sdy 3 Dep</v>
          </cell>
          <cell r="M1900" t="str">
            <v>Sdy 3 Dep: COS Item 6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</row>
        <row r="1901">
          <cell r="G1901" t="str">
            <v>SDYDEP3960</v>
          </cell>
          <cell r="J1901" t="str">
            <v>Sdy 3 Dep</v>
          </cell>
          <cell r="M1901" t="str">
            <v xml:space="preserve">  Staff expenses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</row>
        <row r="1902">
          <cell r="G1902" t="str">
            <v>SDYDEP3970</v>
          </cell>
          <cell r="J1902" t="str">
            <v>Sdy 3 Dep</v>
          </cell>
          <cell r="M1902" t="str">
            <v xml:space="preserve">  Other expenses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</row>
        <row r="1903">
          <cell r="G1903" t="str">
            <v>SDYDEP3980</v>
          </cell>
          <cell r="J1903" t="str">
            <v>Sdy 3 Dep</v>
          </cell>
          <cell r="M1903" t="str">
            <v xml:space="preserve">  Departmental profit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</row>
      </sheetData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velopment Brief (Dev)"/>
      <sheetName val="Development Brief"/>
      <sheetName val="Lists"/>
      <sheetName val="Summary - Input"/>
      <sheetName val="Input Sheet - Phasing"/>
      <sheetName val="Performance Summary"/>
      <sheetName val="Consolidated Cash Flow"/>
      <sheetName val="Workin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LS"/>
      <sheetName val="CA"/>
    </sheetNames>
    <sheetDataSet>
      <sheetData sheetId="0">
        <row r="4">
          <cell r="B4" t="str">
            <v>Land</v>
          </cell>
          <cell r="C4" t="str">
            <v>Segment / Cluster</v>
          </cell>
          <cell r="D4" t="str">
            <v>Asset Type</v>
          </cell>
          <cell r="E4" t="str">
            <v>Primary Strategy</v>
          </cell>
          <cell r="F4" t="str">
            <v>Primary Strategy Allocation</v>
          </cell>
          <cell r="G4" t="str">
            <v xml:space="preserve"> Secondary Strategy</v>
          </cell>
          <cell r="H4" t="str">
            <v>Secondary Strategy Allocation</v>
          </cell>
          <cell r="I4" t="str">
            <v>FAR</v>
          </cell>
          <cell r="J4" t="str">
            <v>Coverage</v>
          </cell>
          <cell r="K4" t="str">
            <v>Land Allocation</v>
          </cell>
          <cell r="L4" t="str">
            <v>Land Area</v>
          </cell>
          <cell r="M4" t="str">
            <v>Foot Print</v>
          </cell>
          <cell r="N4" t="str">
            <v>Height</v>
          </cell>
          <cell r="O4" t="str">
            <v>Typical Floors</v>
          </cell>
          <cell r="P4" t="str">
            <v>BUA Allocation of Max</v>
          </cell>
          <cell r="Q4" t="str">
            <v>TBA</v>
          </cell>
          <cell r="R4" t="str">
            <v>BUA</v>
          </cell>
          <cell r="S4" t="str">
            <v>GFA excl Podium</v>
          </cell>
          <cell r="T4" t="str">
            <v>GFA</v>
          </cell>
          <cell r="U4" t="str">
            <v>Efficency</v>
          </cell>
          <cell r="V4" t="str">
            <v>GSA/GLA</v>
          </cell>
          <cell r="W4" t="str">
            <v>MEP</v>
          </cell>
          <cell r="X4" t="str">
            <v>Podium Parking</v>
          </cell>
          <cell r="Y4" t="str">
            <v>Basement Parking</v>
          </cell>
          <cell r="Z4" t="str">
            <v>Surface Parking</v>
          </cell>
          <cell r="AA4" t="str">
            <v>Total Parking</v>
          </cell>
          <cell r="AB4" t="str">
            <v>Landscape  Hardscape</v>
          </cell>
          <cell r="AC4" t="str">
            <v>Average Unit Size (GLA)</v>
          </cell>
          <cell r="AD4" t="str">
            <v>Units/Keys</v>
          </cell>
        </row>
        <row r="5">
          <cell r="B5" t="str">
            <v>Land 1</v>
          </cell>
          <cell r="C5" t="str">
            <v>Residential</v>
          </cell>
          <cell r="D5" t="str">
            <v>Studios</v>
          </cell>
          <cell r="E5" t="str">
            <v>Develop &amp; Sell</v>
          </cell>
          <cell r="F5">
            <v>1</v>
          </cell>
          <cell r="G5" t="str">
            <v>Develop &amp; Lease</v>
          </cell>
          <cell r="H5">
            <v>0</v>
          </cell>
          <cell r="I5"/>
          <cell r="J5"/>
          <cell r="K5">
            <v>0</v>
          </cell>
          <cell r="L5">
            <v>0</v>
          </cell>
          <cell r="M5"/>
          <cell r="N5"/>
          <cell r="O5"/>
          <cell r="P5"/>
          <cell r="Q5">
            <v>0</v>
          </cell>
          <cell r="R5">
            <v>0</v>
          </cell>
          <cell r="S5">
            <v>0</v>
          </cell>
          <cell r="T5">
            <v>0</v>
          </cell>
          <cell r="U5"/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65</v>
          </cell>
          <cell r="AD5">
            <v>0</v>
          </cell>
        </row>
        <row r="6">
          <cell r="B6" t="str">
            <v>Land 1</v>
          </cell>
          <cell r="C6" t="str">
            <v>Residential</v>
          </cell>
          <cell r="D6" t="str">
            <v>1BR Apartments</v>
          </cell>
          <cell r="E6" t="str">
            <v>Develop &amp; Sell</v>
          </cell>
          <cell r="F6">
            <v>1</v>
          </cell>
          <cell r="G6" t="str">
            <v>Develop &amp; Lease</v>
          </cell>
          <cell r="H6">
            <v>0</v>
          </cell>
          <cell r="I6"/>
          <cell r="J6"/>
          <cell r="K6">
            <v>0.17499999999999999</v>
          </cell>
          <cell r="L6">
            <v>5600</v>
          </cell>
          <cell r="M6"/>
          <cell r="N6"/>
          <cell r="O6"/>
          <cell r="P6"/>
          <cell r="Q6">
            <v>24574.362026541043</v>
          </cell>
          <cell r="R6">
            <v>19600</v>
          </cell>
          <cell r="S6">
            <v>16660</v>
          </cell>
          <cell r="T6">
            <v>16660</v>
          </cell>
          <cell r="U6"/>
          <cell r="V6">
            <v>13328</v>
          </cell>
          <cell r="W6">
            <v>395.71810132705212</v>
          </cell>
          <cell r="X6">
            <v>0</v>
          </cell>
          <cell r="Y6">
            <v>7914.3620265410418</v>
          </cell>
          <cell r="Z6">
            <v>0</v>
          </cell>
          <cell r="AA6">
            <v>7914.3620265410418</v>
          </cell>
          <cell r="AB6">
            <v>2800</v>
          </cell>
          <cell r="AC6">
            <v>80</v>
          </cell>
          <cell r="AD6">
            <v>166.6</v>
          </cell>
        </row>
        <row r="7">
          <cell r="B7" t="str">
            <v>Land 1</v>
          </cell>
          <cell r="C7" t="str">
            <v>Residential</v>
          </cell>
          <cell r="D7" t="str">
            <v>2BR Apartments</v>
          </cell>
          <cell r="E7" t="str">
            <v>Develop &amp; Sell</v>
          </cell>
          <cell r="F7">
            <v>1</v>
          </cell>
          <cell r="G7" t="str">
            <v>Develop &amp; Lease</v>
          </cell>
          <cell r="H7">
            <v>0</v>
          </cell>
          <cell r="I7"/>
          <cell r="J7"/>
          <cell r="K7">
            <v>0.4375</v>
          </cell>
          <cell r="L7">
            <v>14000</v>
          </cell>
          <cell r="M7"/>
          <cell r="N7"/>
          <cell r="O7"/>
          <cell r="P7"/>
          <cell r="Q7">
            <v>65769.960461839364</v>
          </cell>
          <cell r="R7">
            <v>49000</v>
          </cell>
          <cell r="S7">
            <v>41650</v>
          </cell>
          <cell r="T7">
            <v>41650</v>
          </cell>
          <cell r="U7"/>
          <cell r="V7">
            <v>33320</v>
          </cell>
          <cell r="W7">
            <v>1205.9980230919684</v>
          </cell>
          <cell r="X7">
            <v>0</v>
          </cell>
          <cell r="Y7">
            <v>24119.960461839368</v>
          </cell>
          <cell r="Z7">
            <v>0</v>
          </cell>
          <cell r="AA7">
            <v>24119.960461839368</v>
          </cell>
          <cell r="AB7">
            <v>7000</v>
          </cell>
          <cell r="AC7">
            <v>105</v>
          </cell>
          <cell r="AD7">
            <v>317.33333333333331</v>
          </cell>
        </row>
        <row r="8">
          <cell r="B8" t="str">
            <v>Land 1</v>
          </cell>
          <cell r="C8" t="str">
            <v>Residential</v>
          </cell>
          <cell r="D8" t="str">
            <v>3BR Apartments</v>
          </cell>
          <cell r="E8" t="str">
            <v>Develop &amp; Sell</v>
          </cell>
          <cell r="F8">
            <v>1</v>
          </cell>
          <cell r="G8" t="str">
            <v>Develop &amp; Lease</v>
          </cell>
          <cell r="H8">
            <v>0</v>
          </cell>
          <cell r="I8"/>
          <cell r="J8"/>
          <cell r="K8">
            <v>0.26250000000000001</v>
          </cell>
          <cell r="L8">
            <v>8400</v>
          </cell>
          <cell r="M8"/>
          <cell r="N8"/>
          <cell r="O8"/>
          <cell r="P8"/>
          <cell r="Q8">
            <v>38557.477759784641</v>
          </cell>
          <cell r="R8">
            <v>29400</v>
          </cell>
          <cell r="S8">
            <v>24990</v>
          </cell>
          <cell r="T8">
            <v>24990</v>
          </cell>
          <cell r="U8"/>
          <cell r="V8">
            <v>19992</v>
          </cell>
          <cell r="W8">
            <v>678.37388798923223</v>
          </cell>
          <cell r="X8">
            <v>0</v>
          </cell>
          <cell r="Y8">
            <v>13567.477759784644</v>
          </cell>
          <cell r="Z8">
            <v>0</v>
          </cell>
          <cell r="AA8">
            <v>13567.477759784644</v>
          </cell>
          <cell r="AB8">
            <v>4200</v>
          </cell>
          <cell r="AC8">
            <v>140</v>
          </cell>
          <cell r="AD8">
            <v>142.80000000000001</v>
          </cell>
        </row>
        <row r="9">
          <cell r="B9" t="str">
            <v>Land 1</v>
          </cell>
          <cell r="C9" t="str">
            <v>Residential</v>
          </cell>
          <cell r="D9" t="str">
            <v>4BR Apartments</v>
          </cell>
          <cell r="E9" t="str">
            <v>Develop &amp; Sell</v>
          </cell>
          <cell r="F9">
            <v>1</v>
          </cell>
          <cell r="G9" t="str">
            <v>Develop &amp; Lease</v>
          </cell>
          <cell r="H9">
            <v>0</v>
          </cell>
          <cell r="I9"/>
          <cell r="J9"/>
          <cell r="K9">
            <v>0</v>
          </cell>
          <cell r="L9">
            <v>0</v>
          </cell>
          <cell r="M9"/>
          <cell r="N9"/>
          <cell r="O9"/>
          <cell r="P9"/>
          <cell r="Q9">
            <v>0</v>
          </cell>
          <cell r="R9">
            <v>0</v>
          </cell>
          <cell r="S9">
            <v>0</v>
          </cell>
          <cell r="T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200</v>
          </cell>
          <cell r="AD9">
            <v>0</v>
          </cell>
        </row>
        <row r="10">
          <cell r="B10" t="str">
            <v>Land 1</v>
          </cell>
          <cell r="C10" t="str">
            <v>Residential</v>
          </cell>
          <cell r="D10" t="str">
            <v>5BR Apartments</v>
          </cell>
          <cell r="E10" t="str">
            <v>Develop &amp; Sell</v>
          </cell>
          <cell r="F10">
            <v>1</v>
          </cell>
          <cell r="G10" t="str">
            <v>Develop &amp; Lease</v>
          </cell>
          <cell r="H10">
            <v>0</v>
          </cell>
          <cell r="I10"/>
          <cell r="J10"/>
          <cell r="K10">
            <v>0</v>
          </cell>
          <cell r="L10">
            <v>0</v>
          </cell>
          <cell r="M10"/>
          <cell r="N10"/>
          <cell r="O10"/>
          <cell r="P10"/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280</v>
          </cell>
          <cell r="AD10">
            <v>0</v>
          </cell>
        </row>
        <row r="11">
          <cell r="B11" t="str">
            <v>Land 1</v>
          </cell>
          <cell r="C11" t="str">
            <v>Residential</v>
          </cell>
          <cell r="D11" t="str">
            <v>Penthouse</v>
          </cell>
          <cell r="E11" t="str">
            <v>Develop &amp; Sell</v>
          </cell>
          <cell r="F11">
            <v>1</v>
          </cell>
          <cell r="G11" t="str">
            <v>Develop &amp; Lease</v>
          </cell>
          <cell r="H11">
            <v>0</v>
          </cell>
          <cell r="I11"/>
          <cell r="J11"/>
          <cell r="K11">
            <v>0</v>
          </cell>
          <cell r="L11">
            <v>0</v>
          </cell>
          <cell r="M11"/>
          <cell r="N11"/>
          <cell r="O11"/>
          <cell r="P11"/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350</v>
          </cell>
          <cell r="AD11">
            <v>0</v>
          </cell>
        </row>
        <row r="12">
          <cell r="B12" t="str">
            <v>Land 1</v>
          </cell>
          <cell r="C12" t="str">
            <v>Residential</v>
          </cell>
          <cell r="D12" t="str">
            <v>Townhouse Type 1</v>
          </cell>
          <cell r="E12" t="str">
            <v>Develop &amp; Sell</v>
          </cell>
          <cell r="F12">
            <v>1</v>
          </cell>
          <cell r="G12" t="str">
            <v>Develop &amp; Lease</v>
          </cell>
          <cell r="H12">
            <v>0</v>
          </cell>
          <cell r="I12"/>
          <cell r="J12"/>
          <cell r="K12">
            <v>0</v>
          </cell>
          <cell r="L12">
            <v>0</v>
          </cell>
          <cell r="M12"/>
          <cell r="N12"/>
          <cell r="O12"/>
          <cell r="P12"/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350</v>
          </cell>
          <cell r="AD12">
            <v>0</v>
          </cell>
        </row>
        <row r="13">
          <cell r="B13" t="str">
            <v>Land 1</v>
          </cell>
          <cell r="C13" t="str">
            <v>Residential</v>
          </cell>
          <cell r="D13" t="str">
            <v>Townhouse Type 2</v>
          </cell>
          <cell r="E13" t="str">
            <v>Develop &amp; Sell</v>
          </cell>
          <cell r="F13">
            <v>1</v>
          </cell>
          <cell r="G13" t="str">
            <v>Develop &amp; Lease</v>
          </cell>
          <cell r="H13">
            <v>0</v>
          </cell>
          <cell r="I13"/>
          <cell r="J13"/>
          <cell r="K13">
            <v>0</v>
          </cell>
          <cell r="L13">
            <v>0</v>
          </cell>
          <cell r="M13"/>
          <cell r="N13"/>
          <cell r="O13"/>
          <cell r="P13"/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/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450</v>
          </cell>
          <cell r="AD13">
            <v>0</v>
          </cell>
        </row>
        <row r="14">
          <cell r="B14" t="str">
            <v>Land 1</v>
          </cell>
          <cell r="C14" t="str">
            <v>Residential</v>
          </cell>
          <cell r="D14" t="str">
            <v>Villa Type 1</v>
          </cell>
          <cell r="E14" t="str">
            <v>Develop &amp; Sell</v>
          </cell>
          <cell r="F14">
            <v>1</v>
          </cell>
          <cell r="G14" t="str">
            <v>Develop &amp; Lease</v>
          </cell>
          <cell r="H14">
            <v>0</v>
          </cell>
          <cell r="I14"/>
          <cell r="J14"/>
          <cell r="K14">
            <v>0</v>
          </cell>
          <cell r="L14">
            <v>0</v>
          </cell>
          <cell r="M14"/>
          <cell r="N14"/>
          <cell r="O14"/>
          <cell r="P14"/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/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350</v>
          </cell>
          <cell r="AD14">
            <v>0</v>
          </cell>
        </row>
        <row r="15">
          <cell r="B15" t="str">
            <v>Land 1</v>
          </cell>
          <cell r="C15" t="str">
            <v>Residential</v>
          </cell>
          <cell r="D15" t="str">
            <v>Villa Type 2</v>
          </cell>
          <cell r="E15" t="str">
            <v>Develop &amp; Sell</v>
          </cell>
          <cell r="F15">
            <v>1</v>
          </cell>
          <cell r="G15" t="str">
            <v>Develop &amp; Lease</v>
          </cell>
          <cell r="H15">
            <v>0</v>
          </cell>
          <cell r="I15"/>
          <cell r="J15"/>
          <cell r="K15">
            <v>0</v>
          </cell>
          <cell r="L15">
            <v>0</v>
          </cell>
          <cell r="M15"/>
          <cell r="N15"/>
          <cell r="O15"/>
          <cell r="P15"/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/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525</v>
          </cell>
          <cell r="AD15">
            <v>0</v>
          </cell>
        </row>
        <row r="16">
          <cell r="B16" t="str">
            <v>Land 1</v>
          </cell>
          <cell r="C16" t="str">
            <v>Office</v>
          </cell>
          <cell r="D16" t="str">
            <v>Flexi Office</v>
          </cell>
          <cell r="E16" t="str">
            <v>Develop &amp; Sell</v>
          </cell>
          <cell r="F16">
            <v>0</v>
          </cell>
          <cell r="G16" t="str">
            <v>Develop &amp; Lease</v>
          </cell>
          <cell r="H16">
            <v>1</v>
          </cell>
          <cell r="I16"/>
          <cell r="J16"/>
          <cell r="K16">
            <v>4.1666666666666664E-2</v>
          </cell>
          <cell r="L16">
            <v>1333.3333333333333</v>
          </cell>
          <cell r="M16"/>
          <cell r="N16"/>
          <cell r="O16"/>
          <cell r="P16"/>
          <cell r="Q16">
            <v>21421.407390271088</v>
          </cell>
          <cell r="R16">
            <v>10000</v>
          </cell>
          <cell r="S16">
            <v>8500</v>
          </cell>
          <cell r="T16">
            <v>8500</v>
          </cell>
          <cell r="U16"/>
          <cell r="V16">
            <v>6800</v>
          </cell>
          <cell r="W16">
            <v>646.0703695135544</v>
          </cell>
          <cell r="X16">
            <v>0</v>
          </cell>
          <cell r="Y16">
            <v>12921.407390271088</v>
          </cell>
          <cell r="Z16">
            <v>0</v>
          </cell>
          <cell r="AA16">
            <v>12921.407390271088</v>
          </cell>
          <cell r="AB16">
            <v>666.66666666666663</v>
          </cell>
          <cell r="AC16">
            <v>0</v>
          </cell>
          <cell r="AD16">
            <v>0</v>
          </cell>
        </row>
        <row r="17">
          <cell r="B17" t="str">
            <v>Land 1</v>
          </cell>
          <cell r="C17" t="str">
            <v>Retail</v>
          </cell>
          <cell r="D17" t="str">
            <v>Stores &amp; Outlets</v>
          </cell>
          <cell r="E17" t="str">
            <v>Develop &amp; Sell</v>
          </cell>
          <cell r="F17">
            <v>0</v>
          </cell>
          <cell r="G17" t="str">
            <v>Develop &amp; Lease</v>
          </cell>
          <cell r="H17">
            <v>1</v>
          </cell>
          <cell r="I17"/>
          <cell r="J17"/>
          <cell r="K17">
            <v>1.2500000000000001E-2</v>
          </cell>
          <cell r="L17">
            <v>400</v>
          </cell>
          <cell r="M17"/>
          <cell r="N17"/>
          <cell r="O17"/>
          <cell r="P17"/>
          <cell r="Q17">
            <v>9010.703695135544</v>
          </cell>
          <cell r="R17">
            <v>3000</v>
          </cell>
          <cell r="S17">
            <v>2550</v>
          </cell>
          <cell r="T17">
            <v>2550</v>
          </cell>
          <cell r="U17"/>
          <cell r="V17">
            <v>2040</v>
          </cell>
          <cell r="W17">
            <v>323.0351847567772</v>
          </cell>
          <cell r="X17">
            <v>0</v>
          </cell>
          <cell r="Y17">
            <v>6460.703695135544</v>
          </cell>
          <cell r="Z17">
            <v>0</v>
          </cell>
          <cell r="AA17">
            <v>6460.703695135544</v>
          </cell>
          <cell r="AB17">
            <v>200</v>
          </cell>
          <cell r="AC17">
            <v>0</v>
          </cell>
          <cell r="AD17">
            <v>0</v>
          </cell>
        </row>
        <row r="18">
          <cell r="B18" t="str">
            <v>Land 1</v>
          </cell>
          <cell r="C18" t="str">
            <v>Hospitality</v>
          </cell>
          <cell r="D18" t="str">
            <v>Boutique Hotel</v>
          </cell>
          <cell r="E18" t="str">
            <v>Develop &amp; Sell</v>
          </cell>
          <cell r="F18">
            <v>0</v>
          </cell>
          <cell r="G18" t="str">
            <v>Develop &amp; Operate</v>
          </cell>
          <cell r="H18">
            <v>1</v>
          </cell>
          <cell r="I18"/>
          <cell r="J18"/>
          <cell r="K18">
            <v>7.0833333333333331E-2</v>
          </cell>
          <cell r="L18">
            <v>2266.6666666666665</v>
          </cell>
          <cell r="M18"/>
          <cell r="N18"/>
          <cell r="O18"/>
          <cell r="P18"/>
          <cell r="Q18">
            <v>29466.088666428317</v>
          </cell>
          <cell r="R18">
            <v>17000</v>
          </cell>
          <cell r="S18">
            <v>14450</v>
          </cell>
          <cell r="T18">
            <v>14450</v>
          </cell>
          <cell r="U18"/>
          <cell r="V18">
            <v>7947.5000000000009</v>
          </cell>
          <cell r="W18">
            <v>750.8044333214159</v>
          </cell>
          <cell r="X18">
            <v>0</v>
          </cell>
          <cell r="Y18">
            <v>15016.088666428317</v>
          </cell>
          <cell r="Z18">
            <v>0</v>
          </cell>
          <cell r="AA18">
            <v>15016.088666428317</v>
          </cell>
          <cell r="AB18">
            <v>1133.3333333333333</v>
          </cell>
          <cell r="AC18">
            <v>44</v>
          </cell>
          <cell r="AD18">
            <v>180.62500000000003</v>
          </cell>
        </row>
        <row r="19">
          <cell r="B19" t="str">
            <v>Land 1</v>
          </cell>
          <cell r="C19" t="str">
            <v>Landscape</v>
          </cell>
          <cell r="D19" t="str">
            <v>Greenery&amp;Pathway</v>
          </cell>
          <cell r="E19" t="str">
            <v>Develop</v>
          </cell>
          <cell r="F19">
            <v>1</v>
          </cell>
          <cell r="G19" t="str">
            <v>N/A</v>
          </cell>
          <cell r="H19">
            <v>0</v>
          </cell>
          <cell r="I19"/>
          <cell r="J19"/>
          <cell r="K19">
            <v>0</v>
          </cell>
          <cell r="L19">
            <v>0</v>
          </cell>
          <cell r="M19"/>
          <cell r="N19"/>
          <cell r="O19"/>
          <cell r="P19"/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</row>
      </sheetData>
      <sheetData sheetId="1">
        <row r="9">
          <cell r="B9" t="str">
            <v>Studios</v>
          </cell>
          <cell r="C9" t="str">
            <v>Land 1</v>
          </cell>
          <cell r="D9" t="str">
            <v>Residential</v>
          </cell>
          <cell r="E9" t="str">
            <v>Develop &amp; Sell</v>
          </cell>
        </row>
        <row r="10">
          <cell r="B10" t="str">
            <v>Studios</v>
          </cell>
          <cell r="C10" t="str">
            <v>Land 1</v>
          </cell>
          <cell r="D10" t="str">
            <v>Residential</v>
          </cell>
          <cell r="E10" t="str">
            <v>Develop &amp; Lease</v>
          </cell>
        </row>
        <row r="11">
          <cell r="B11" t="str">
            <v>1BR Apartments</v>
          </cell>
          <cell r="C11" t="str">
            <v>Land 1</v>
          </cell>
          <cell r="D11" t="str">
            <v>Residential</v>
          </cell>
          <cell r="E11" t="str">
            <v>Develop &amp; Sell</v>
          </cell>
        </row>
        <row r="12">
          <cell r="B12" t="str">
            <v>1BR Apartments</v>
          </cell>
          <cell r="C12" t="str">
            <v>Land 1</v>
          </cell>
          <cell r="D12" t="str">
            <v>Residential</v>
          </cell>
          <cell r="E12" t="str">
            <v>Develop &amp; Lease</v>
          </cell>
        </row>
        <row r="13">
          <cell r="B13" t="str">
            <v>2BR Apartments</v>
          </cell>
          <cell r="C13" t="str">
            <v>Land 2</v>
          </cell>
          <cell r="D13" t="str">
            <v>Residential</v>
          </cell>
          <cell r="E13" t="str">
            <v>Develop &amp; Sell</v>
          </cell>
        </row>
        <row r="14">
          <cell r="B14" t="str">
            <v>2BR Apartments</v>
          </cell>
          <cell r="C14" t="str">
            <v>Land 2</v>
          </cell>
          <cell r="D14" t="str">
            <v>Residential</v>
          </cell>
          <cell r="E14" t="str">
            <v>Develop &amp; Lease</v>
          </cell>
        </row>
        <row r="15">
          <cell r="B15" t="str">
            <v>3BR Apartments</v>
          </cell>
          <cell r="C15" t="str">
            <v>Land 1</v>
          </cell>
          <cell r="D15" t="str">
            <v>Residential</v>
          </cell>
          <cell r="E15" t="str">
            <v>Develop &amp; Sell</v>
          </cell>
        </row>
        <row r="16">
          <cell r="B16" t="str">
            <v>3BR Apartments</v>
          </cell>
          <cell r="C16" t="str">
            <v>Land 1</v>
          </cell>
          <cell r="D16" t="str">
            <v>Residential</v>
          </cell>
          <cell r="E16" t="str">
            <v>Develop &amp; Lease</v>
          </cell>
        </row>
        <row r="17">
          <cell r="B17" t="str">
            <v>4BR Apartments</v>
          </cell>
          <cell r="C17" t="str">
            <v>Land 1</v>
          </cell>
          <cell r="D17" t="str">
            <v>Residential</v>
          </cell>
          <cell r="E17" t="str">
            <v>Develop &amp; Sell</v>
          </cell>
        </row>
        <row r="18">
          <cell r="B18" t="str">
            <v>4BR Apartments</v>
          </cell>
          <cell r="C18" t="str">
            <v>Land 1</v>
          </cell>
          <cell r="D18" t="str">
            <v>Residential</v>
          </cell>
          <cell r="E18" t="str">
            <v>Develop &amp; Lease</v>
          </cell>
        </row>
        <row r="19">
          <cell r="B19" t="str">
            <v>5BR Apartments</v>
          </cell>
          <cell r="C19" t="str">
            <v>Land 1</v>
          </cell>
          <cell r="D19" t="str">
            <v>Residential</v>
          </cell>
          <cell r="E19" t="str">
            <v>Develop &amp; Sell</v>
          </cell>
        </row>
        <row r="20">
          <cell r="B20" t="str">
            <v>5BR Apartments</v>
          </cell>
          <cell r="C20" t="str">
            <v>Land 1</v>
          </cell>
          <cell r="D20" t="str">
            <v>Residential</v>
          </cell>
          <cell r="E20" t="str">
            <v>Develop &amp; Lease</v>
          </cell>
        </row>
        <row r="21">
          <cell r="B21" t="str">
            <v>Penthouse</v>
          </cell>
          <cell r="C21" t="str">
            <v>Land 1</v>
          </cell>
          <cell r="D21" t="str">
            <v>Residential</v>
          </cell>
          <cell r="E21" t="str">
            <v>Develop &amp; Sell</v>
          </cell>
        </row>
        <row r="22">
          <cell r="B22" t="str">
            <v>Penthouse</v>
          </cell>
          <cell r="C22" t="str">
            <v>Land 1</v>
          </cell>
          <cell r="D22" t="str">
            <v>Residential</v>
          </cell>
          <cell r="E22" t="str">
            <v>Develop &amp; Lease</v>
          </cell>
        </row>
        <row r="23">
          <cell r="B23" t="str">
            <v>Townhouse Type 1</v>
          </cell>
          <cell r="C23" t="str">
            <v>Land 1</v>
          </cell>
          <cell r="D23" t="str">
            <v>Residential</v>
          </cell>
          <cell r="E23" t="str">
            <v>Develop &amp; Sell</v>
          </cell>
        </row>
        <row r="24">
          <cell r="B24" t="str">
            <v>Townhouse Type 1</v>
          </cell>
          <cell r="C24" t="str">
            <v>Land 1</v>
          </cell>
          <cell r="D24" t="str">
            <v>Residential</v>
          </cell>
          <cell r="E24" t="str">
            <v>Develop &amp; Lease</v>
          </cell>
        </row>
        <row r="25">
          <cell r="B25" t="str">
            <v>Townhouse Type 2</v>
          </cell>
          <cell r="C25" t="str">
            <v>Land 1</v>
          </cell>
          <cell r="D25" t="str">
            <v>Residential</v>
          </cell>
          <cell r="E25" t="str">
            <v>Develop &amp; Sell</v>
          </cell>
        </row>
        <row r="26">
          <cell r="B26" t="str">
            <v>Townhouse Type 2</v>
          </cell>
          <cell r="C26" t="str">
            <v>Land 1</v>
          </cell>
          <cell r="D26" t="str">
            <v>Residential</v>
          </cell>
          <cell r="E26" t="str">
            <v>Develop &amp; Lease</v>
          </cell>
        </row>
        <row r="27">
          <cell r="B27" t="str">
            <v>Villa Type 1</v>
          </cell>
          <cell r="C27" t="str">
            <v>Land 1</v>
          </cell>
          <cell r="D27" t="str">
            <v>Residential</v>
          </cell>
          <cell r="E27" t="str">
            <v>Develop &amp; Sell</v>
          </cell>
        </row>
        <row r="28">
          <cell r="B28" t="str">
            <v>Villa Type 1</v>
          </cell>
          <cell r="C28" t="str">
            <v>Land 1</v>
          </cell>
          <cell r="D28" t="str">
            <v>Residential</v>
          </cell>
          <cell r="E28" t="str">
            <v>Develop &amp; Lease</v>
          </cell>
        </row>
        <row r="29">
          <cell r="B29" t="str">
            <v>Villa Type 2</v>
          </cell>
          <cell r="C29" t="str">
            <v>Land 1</v>
          </cell>
          <cell r="D29" t="str">
            <v>Residential</v>
          </cell>
          <cell r="E29" t="str">
            <v>Develop &amp; Sell</v>
          </cell>
        </row>
        <row r="30">
          <cell r="B30" t="str">
            <v>Villa Type 2</v>
          </cell>
          <cell r="C30" t="str">
            <v>Land 1</v>
          </cell>
          <cell r="D30" t="str">
            <v>Residential</v>
          </cell>
          <cell r="E30" t="str">
            <v>Develop &amp; Lease</v>
          </cell>
        </row>
        <row r="31">
          <cell r="B31" t="str">
            <v>Flexi Office</v>
          </cell>
          <cell r="C31" t="str">
            <v>Land 1</v>
          </cell>
          <cell r="D31" t="str">
            <v>Office</v>
          </cell>
          <cell r="E31" t="str">
            <v>Develop &amp; Sell</v>
          </cell>
        </row>
        <row r="32">
          <cell r="B32" t="str">
            <v>Flexi Office</v>
          </cell>
          <cell r="C32" t="str">
            <v>Land 1</v>
          </cell>
          <cell r="D32" t="str">
            <v>Office</v>
          </cell>
          <cell r="E32" t="str">
            <v>Develop &amp; Lease</v>
          </cell>
        </row>
        <row r="33">
          <cell r="B33" t="str">
            <v>Stores &amp; Outlets</v>
          </cell>
          <cell r="C33" t="str">
            <v>Land 1</v>
          </cell>
          <cell r="D33" t="str">
            <v>Retail</v>
          </cell>
          <cell r="E33" t="str">
            <v>Develop &amp; Sell</v>
          </cell>
        </row>
        <row r="34">
          <cell r="B34" t="str">
            <v>Stores &amp; Outlets</v>
          </cell>
          <cell r="C34" t="str">
            <v>Land 1</v>
          </cell>
          <cell r="D34" t="str">
            <v>Retail</v>
          </cell>
          <cell r="E34" t="str">
            <v>Develop &amp; Lease</v>
          </cell>
        </row>
        <row r="35">
          <cell r="B35" t="str">
            <v>Boutique Hotel</v>
          </cell>
          <cell r="C35" t="str">
            <v>Land 1</v>
          </cell>
          <cell r="D35" t="str">
            <v>Hospitality</v>
          </cell>
          <cell r="E35" t="str">
            <v>Develop &amp; Operate</v>
          </cell>
        </row>
        <row r="36">
          <cell r="B36" t="str">
            <v>Boutique Hotel</v>
          </cell>
          <cell r="C36" t="str">
            <v>Land 1</v>
          </cell>
          <cell r="D36" t="str">
            <v>Hospitality</v>
          </cell>
          <cell r="E36" t="str">
            <v>Develop &amp; Lease</v>
          </cell>
        </row>
        <row r="37">
          <cell r="B37" t="str">
            <v>Greenery&amp;Pathway</v>
          </cell>
          <cell r="C37" t="str">
            <v>Land 1</v>
          </cell>
          <cell r="D37" t="str">
            <v>Lanscape</v>
          </cell>
          <cell r="E37" t="str">
            <v>Develop</v>
          </cell>
        </row>
      </sheetData>
      <sheetData sheetId="2">
        <row r="5">
          <cell r="W5" t="str">
            <v>Month(s)</v>
          </cell>
        </row>
      </sheetData>
      <sheetData sheetId="3">
        <row r="5">
          <cell r="B5" t="str">
            <v>Sr. No</v>
          </cell>
        </row>
      </sheetData>
      <sheetData sheetId="4"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</row>
        <row r="11"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</row>
        <row r="12">
          <cell r="G12">
            <v>0</v>
          </cell>
          <cell r="H12">
            <v>0</v>
          </cell>
          <cell r="I12">
            <v>2.5000000000000001E-2</v>
          </cell>
          <cell r="J12">
            <v>2.5000000000000001E-2</v>
          </cell>
          <cell r="K12">
            <v>2.5000000000000001E-2</v>
          </cell>
          <cell r="L12">
            <v>2.5000000000000001E-2</v>
          </cell>
          <cell r="M12">
            <v>2.5000000000000001E-2</v>
          </cell>
          <cell r="N12">
            <v>2.5000000000000001E-2</v>
          </cell>
          <cell r="O12">
            <v>2.5000000000000001E-2</v>
          </cell>
          <cell r="P12">
            <v>2.5000000000000001E-2</v>
          </cell>
          <cell r="Q12">
            <v>2.5000000000000001E-2</v>
          </cell>
        </row>
        <row r="13">
          <cell r="G13">
            <v>0</v>
          </cell>
          <cell r="H13">
            <v>0</v>
          </cell>
          <cell r="I13">
            <v>2.5000000000000001E-2</v>
          </cell>
          <cell r="J13">
            <v>2.5000000000000001E-2</v>
          </cell>
          <cell r="K13">
            <v>2.5000000000000001E-2</v>
          </cell>
          <cell r="L13">
            <v>2.5000000000000001E-2</v>
          </cell>
          <cell r="M13">
            <v>2.5000000000000001E-2</v>
          </cell>
          <cell r="N13">
            <v>2.5000000000000001E-2</v>
          </cell>
          <cell r="O13">
            <v>2.5000000000000001E-2</v>
          </cell>
          <cell r="P13">
            <v>2.5000000000000001E-2</v>
          </cell>
          <cell r="Q13">
            <v>2.5000000000000001E-2</v>
          </cell>
        </row>
        <row r="14">
          <cell r="G14">
            <v>0</v>
          </cell>
          <cell r="H14">
            <v>0</v>
          </cell>
          <cell r="I14">
            <v>2.5000000000000001E-2</v>
          </cell>
          <cell r="J14">
            <v>2.5000000000000001E-2</v>
          </cell>
          <cell r="K14">
            <v>2.5000000000000001E-2</v>
          </cell>
          <cell r="L14">
            <v>2.5000000000000001E-2</v>
          </cell>
          <cell r="M14">
            <v>2.5000000000000001E-2</v>
          </cell>
          <cell r="N14">
            <v>2.5000000000000001E-2</v>
          </cell>
          <cell r="O14">
            <v>2.5000000000000001E-2</v>
          </cell>
          <cell r="P14">
            <v>2.5000000000000001E-2</v>
          </cell>
          <cell r="Q14">
            <v>2.5000000000000001E-2</v>
          </cell>
        </row>
        <row r="15">
          <cell r="G15">
            <v>0</v>
          </cell>
          <cell r="H15">
            <v>0</v>
          </cell>
          <cell r="I15">
            <v>2.5000000000000001E-2</v>
          </cell>
          <cell r="J15">
            <v>2.5000000000000001E-2</v>
          </cell>
          <cell r="K15">
            <v>2.5000000000000001E-2</v>
          </cell>
          <cell r="L15">
            <v>2.5000000000000001E-2</v>
          </cell>
          <cell r="M15">
            <v>2.5000000000000001E-2</v>
          </cell>
          <cell r="N15">
            <v>2.5000000000000001E-2</v>
          </cell>
          <cell r="O15">
            <v>2.5000000000000001E-2</v>
          </cell>
          <cell r="P15">
            <v>2.5000000000000001E-2</v>
          </cell>
          <cell r="Q15">
            <v>2.5000000000000001E-2</v>
          </cell>
        </row>
        <row r="16">
          <cell r="G16">
            <v>0</v>
          </cell>
          <cell r="H16">
            <v>0</v>
          </cell>
          <cell r="I16">
            <v>2.5000000000000001E-2</v>
          </cell>
          <cell r="J16">
            <v>2.5000000000000001E-2</v>
          </cell>
          <cell r="K16">
            <v>2.5000000000000001E-2</v>
          </cell>
          <cell r="L16">
            <v>2.5000000000000001E-2</v>
          </cell>
          <cell r="M16">
            <v>2.5000000000000001E-2</v>
          </cell>
          <cell r="N16">
            <v>2.5000000000000001E-2</v>
          </cell>
          <cell r="O16">
            <v>2.5000000000000001E-2</v>
          </cell>
          <cell r="P16">
            <v>2.5000000000000001E-2</v>
          </cell>
          <cell r="Q16">
            <v>2.5000000000000001E-2</v>
          </cell>
        </row>
        <row r="17">
          <cell r="G17">
            <v>0</v>
          </cell>
          <cell r="H17">
            <v>0</v>
          </cell>
          <cell r="I17">
            <v>2.5000000000000001E-2</v>
          </cell>
          <cell r="J17">
            <v>2.5000000000000001E-2</v>
          </cell>
          <cell r="K17">
            <v>2.5000000000000001E-2</v>
          </cell>
          <cell r="L17">
            <v>2.5000000000000001E-2</v>
          </cell>
          <cell r="M17">
            <v>2.5000000000000001E-2</v>
          </cell>
          <cell r="N17">
            <v>2.5000000000000001E-2</v>
          </cell>
          <cell r="O17">
            <v>2.5000000000000001E-2</v>
          </cell>
          <cell r="P17">
            <v>2.5000000000000001E-2</v>
          </cell>
          <cell r="Q17">
            <v>2.5000000000000001E-2</v>
          </cell>
        </row>
        <row r="23">
          <cell r="G23">
            <v>1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</row>
        <row r="24">
          <cell r="G24">
            <v>1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</row>
        <row r="25">
          <cell r="G25">
            <v>1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</row>
        <row r="26">
          <cell r="G26"/>
          <cell r="H26">
            <v>0.3</v>
          </cell>
          <cell r="I26">
            <v>0.5</v>
          </cell>
          <cell r="J26">
            <v>0.2</v>
          </cell>
          <cell r="K26"/>
          <cell r="L26"/>
          <cell r="M26"/>
          <cell r="N26"/>
          <cell r="O26"/>
          <cell r="P26"/>
          <cell r="Q26"/>
        </row>
        <row r="27">
          <cell r="G27"/>
          <cell r="H27">
            <v>0.3</v>
          </cell>
          <cell r="I27">
            <v>0.45</v>
          </cell>
          <cell r="J27">
            <v>0.25</v>
          </cell>
          <cell r="K27"/>
          <cell r="L27"/>
          <cell r="M27"/>
          <cell r="N27"/>
          <cell r="O27"/>
          <cell r="P27"/>
          <cell r="Q27"/>
        </row>
        <row r="28">
          <cell r="G28"/>
          <cell r="H28">
            <v>0.4</v>
          </cell>
          <cell r="I28">
            <v>0.4</v>
          </cell>
          <cell r="J28">
            <v>0.2</v>
          </cell>
          <cell r="K28"/>
          <cell r="L28"/>
          <cell r="M28"/>
          <cell r="N28"/>
          <cell r="O28"/>
          <cell r="P28"/>
          <cell r="Q28"/>
        </row>
        <row r="29">
          <cell r="G29"/>
          <cell r="H29">
            <v>0.1</v>
          </cell>
          <cell r="I29">
            <v>0.7</v>
          </cell>
          <cell r="J29">
            <v>0.2</v>
          </cell>
          <cell r="K29"/>
          <cell r="L29"/>
          <cell r="M29"/>
          <cell r="N29"/>
          <cell r="O29"/>
          <cell r="P29"/>
          <cell r="Q29"/>
        </row>
        <row r="30">
          <cell r="G30"/>
          <cell r="H30">
            <v>0</v>
          </cell>
          <cell r="I30">
            <v>0.25</v>
          </cell>
          <cell r="J30">
            <v>0.75</v>
          </cell>
          <cell r="K30"/>
          <cell r="L30"/>
          <cell r="M30"/>
          <cell r="N30"/>
          <cell r="O30"/>
          <cell r="P30"/>
          <cell r="Q30"/>
        </row>
        <row r="31">
          <cell r="G31"/>
          <cell r="H31">
            <v>0</v>
          </cell>
          <cell r="I31">
            <v>0.25</v>
          </cell>
          <cell r="J31">
            <v>0.75</v>
          </cell>
          <cell r="K31"/>
          <cell r="L31"/>
          <cell r="M31"/>
          <cell r="N31"/>
          <cell r="O31"/>
          <cell r="P31"/>
          <cell r="Q31"/>
        </row>
        <row r="32">
          <cell r="G32"/>
          <cell r="H32">
            <v>0.8</v>
          </cell>
          <cell r="I32">
            <v>0.1</v>
          </cell>
          <cell r="J32">
            <v>0.1</v>
          </cell>
          <cell r="K32"/>
          <cell r="L32"/>
          <cell r="M32"/>
          <cell r="N32"/>
          <cell r="O32"/>
          <cell r="P32"/>
          <cell r="Q32"/>
        </row>
        <row r="33"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</row>
        <row r="34"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</row>
        <row r="35"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</row>
        <row r="38"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</row>
        <row r="48">
          <cell r="G48">
            <v>0</v>
          </cell>
          <cell r="H48">
            <v>2.5000000000000001E-2</v>
          </cell>
          <cell r="I48">
            <v>2.5000000000000001E-2</v>
          </cell>
          <cell r="J48">
            <v>2.5000000000000001E-2</v>
          </cell>
          <cell r="K48">
            <v>2.5000000000000001E-2</v>
          </cell>
          <cell r="L48">
            <v>2.5000000000000001E-2</v>
          </cell>
          <cell r="M48">
            <v>2.5000000000000001E-2</v>
          </cell>
          <cell r="N48">
            <v>2.5000000000000001E-2</v>
          </cell>
          <cell r="O48">
            <v>2.5000000000000001E-2</v>
          </cell>
          <cell r="P48">
            <v>2.5000000000000001E-2</v>
          </cell>
          <cell r="Q48">
            <v>2.5000000000000001E-2</v>
          </cell>
        </row>
        <row r="55">
          <cell r="G55">
            <v>45838</v>
          </cell>
          <cell r="H55">
            <v>46203</v>
          </cell>
          <cell r="I55">
            <v>46568</v>
          </cell>
          <cell r="J55">
            <v>46934</v>
          </cell>
          <cell r="K55">
            <v>47299</v>
          </cell>
          <cell r="L55">
            <v>47664</v>
          </cell>
          <cell r="M55">
            <v>48029</v>
          </cell>
          <cell r="N55">
            <v>48395</v>
          </cell>
          <cell r="O55">
            <v>48760</v>
          </cell>
          <cell r="P55">
            <v>49125</v>
          </cell>
          <cell r="Q55">
            <v>49490</v>
          </cell>
        </row>
        <row r="56">
          <cell r="G56" t="str">
            <v>Base</v>
          </cell>
          <cell r="H56" t="str">
            <v>Const.</v>
          </cell>
          <cell r="I56" t="str">
            <v>Const.</v>
          </cell>
          <cell r="J56" t="str">
            <v>Const.</v>
          </cell>
          <cell r="K56" t="str">
            <v>Post-Const.</v>
          </cell>
          <cell r="L56" t="str">
            <v>Post-Const.</v>
          </cell>
          <cell r="M56" t="str">
            <v>Post-Const.</v>
          </cell>
          <cell r="N56" t="str">
            <v>Post-Const.</v>
          </cell>
          <cell r="O56" t="str">
            <v>Post-Const.</v>
          </cell>
          <cell r="P56" t="str">
            <v>Post-Const.</v>
          </cell>
          <cell r="Q56" t="str">
            <v>Post-Const.</v>
          </cell>
        </row>
        <row r="57">
          <cell r="G57"/>
          <cell r="H57">
            <v>0</v>
          </cell>
          <cell r="I57">
            <v>0.3</v>
          </cell>
          <cell r="J57">
            <v>0.5</v>
          </cell>
          <cell r="K57">
            <v>0.2</v>
          </cell>
          <cell r="L57">
            <v>0</v>
          </cell>
          <cell r="M57"/>
          <cell r="N57"/>
          <cell r="O57"/>
          <cell r="P57"/>
          <cell r="Q57"/>
        </row>
        <row r="58">
          <cell r="G58"/>
          <cell r="H58">
            <v>0</v>
          </cell>
          <cell r="I58">
            <v>0.3</v>
          </cell>
          <cell r="J58">
            <v>0.5</v>
          </cell>
          <cell r="K58">
            <v>0.2</v>
          </cell>
          <cell r="L58">
            <v>0</v>
          </cell>
          <cell r="M58"/>
          <cell r="N58"/>
          <cell r="O58"/>
          <cell r="P58"/>
          <cell r="Q58"/>
        </row>
        <row r="59">
          <cell r="G59"/>
          <cell r="H59">
            <v>0</v>
          </cell>
          <cell r="I59">
            <v>0.3</v>
          </cell>
          <cell r="J59">
            <v>0.5</v>
          </cell>
          <cell r="K59">
            <v>0.2</v>
          </cell>
          <cell r="L59">
            <v>0</v>
          </cell>
          <cell r="M59"/>
          <cell r="N59"/>
          <cell r="O59"/>
          <cell r="P59"/>
          <cell r="Q59"/>
        </row>
        <row r="60">
          <cell r="G60"/>
          <cell r="H60">
            <v>0</v>
          </cell>
          <cell r="I60">
            <v>0.3</v>
          </cell>
          <cell r="J60">
            <v>0.5</v>
          </cell>
          <cell r="K60">
            <v>0.2</v>
          </cell>
          <cell r="L60">
            <v>0</v>
          </cell>
          <cell r="M60"/>
          <cell r="N60"/>
          <cell r="O60"/>
          <cell r="P60"/>
          <cell r="Q60"/>
        </row>
        <row r="61">
          <cell r="G61"/>
          <cell r="H61">
            <v>0</v>
          </cell>
          <cell r="I61">
            <v>0.3</v>
          </cell>
          <cell r="J61">
            <v>0.5</v>
          </cell>
          <cell r="K61">
            <v>0.2</v>
          </cell>
          <cell r="L61">
            <v>0</v>
          </cell>
          <cell r="M61"/>
          <cell r="N61"/>
          <cell r="O61"/>
          <cell r="P61"/>
          <cell r="Q61"/>
        </row>
        <row r="62">
          <cell r="G62"/>
          <cell r="H62">
            <v>0</v>
          </cell>
          <cell r="I62">
            <v>0.3</v>
          </cell>
          <cell r="J62">
            <v>0.5</v>
          </cell>
          <cell r="K62">
            <v>0.2</v>
          </cell>
          <cell r="L62">
            <v>0</v>
          </cell>
          <cell r="M62"/>
          <cell r="N62"/>
          <cell r="O62"/>
          <cell r="P62"/>
          <cell r="Q62"/>
        </row>
        <row r="63">
          <cell r="G63"/>
          <cell r="H63">
            <v>0</v>
          </cell>
          <cell r="I63">
            <v>0.3</v>
          </cell>
          <cell r="J63">
            <v>0.5</v>
          </cell>
          <cell r="K63">
            <v>0.2</v>
          </cell>
          <cell r="L63">
            <v>0</v>
          </cell>
          <cell r="M63"/>
          <cell r="N63"/>
          <cell r="O63"/>
          <cell r="P63"/>
          <cell r="Q63"/>
        </row>
        <row r="64">
          <cell r="G64"/>
          <cell r="H64">
            <v>0</v>
          </cell>
          <cell r="I64">
            <v>0.3</v>
          </cell>
          <cell r="J64">
            <v>0.5</v>
          </cell>
          <cell r="K64">
            <v>0.2</v>
          </cell>
          <cell r="L64">
            <v>0</v>
          </cell>
          <cell r="M64"/>
          <cell r="N64"/>
          <cell r="O64"/>
          <cell r="P64"/>
          <cell r="Q64"/>
        </row>
        <row r="65">
          <cell r="G65"/>
          <cell r="H65">
            <v>0</v>
          </cell>
          <cell r="I65">
            <v>0.3</v>
          </cell>
          <cell r="J65">
            <v>0.5</v>
          </cell>
          <cell r="K65">
            <v>0.2</v>
          </cell>
          <cell r="L65">
            <v>0</v>
          </cell>
          <cell r="M65"/>
          <cell r="N65"/>
          <cell r="O65"/>
          <cell r="P65"/>
          <cell r="Q65"/>
        </row>
        <row r="66">
          <cell r="G66"/>
          <cell r="H66">
            <v>0</v>
          </cell>
          <cell r="I66">
            <v>0.3</v>
          </cell>
          <cell r="J66">
            <v>0.5</v>
          </cell>
          <cell r="K66">
            <v>0.2</v>
          </cell>
          <cell r="L66">
            <v>0</v>
          </cell>
          <cell r="M66"/>
          <cell r="N66"/>
          <cell r="O66"/>
          <cell r="P66"/>
          <cell r="Q66"/>
        </row>
        <row r="67">
          <cell r="G67"/>
          <cell r="H67">
            <v>0</v>
          </cell>
          <cell r="I67">
            <v>0.3</v>
          </cell>
          <cell r="J67">
            <v>0.5</v>
          </cell>
          <cell r="K67">
            <v>0.2</v>
          </cell>
          <cell r="L67">
            <v>0</v>
          </cell>
          <cell r="M67"/>
          <cell r="N67"/>
          <cell r="O67"/>
          <cell r="P67"/>
          <cell r="Q67"/>
        </row>
        <row r="68">
          <cell r="G68"/>
          <cell r="H68">
            <v>0</v>
          </cell>
          <cell r="I68">
            <v>0.3</v>
          </cell>
          <cell r="J68">
            <v>0.5</v>
          </cell>
          <cell r="K68">
            <v>0.2</v>
          </cell>
          <cell r="L68">
            <v>0</v>
          </cell>
          <cell r="M68"/>
          <cell r="N68"/>
          <cell r="O68"/>
          <cell r="P68"/>
          <cell r="Q68"/>
        </row>
        <row r="69">
          <cell r="G69"/>
          <cell r="H69">
            <v>0</v>
          </cell>
          <cell r="I69">
            <v>0.3</v>
          </cell>
          <cell r="J69">
            <v>0.5</v>
          </cell>
          <cell r="K69">
            <v>0.2</v>
          </cell>
          <cell r="L69">
            <v>0</v>
          </cell>
          <cell r="M69"/>
          <cell r="N69"/>
          <cell r="O69"/>
          <cell r="P69"/>
          <cell r="Q69"/>
        </row>
        <row r="70"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</row>
        <row r="73">
          <cell r="G73">
            <v>45838</v>
          </cell>
          <cell r="H73">
            <v>46203</v>
          </cell>
          <cell r="I73">
            <v>46568</v>
          </cell>
          <cell r="J73">
            <v>46934</v>
          </cell>
          <cell r="K73">
            <v>47299</v>
          </cell>
          <cell r="L73">
            <v>47664</v>
          </cell>
          <cell r="M73">
            <v>48029</v>
          </cell>
          <cell r="N73">
            <v>48395</v>
          </cell>
          <cell r="O73">
            <v>48760</v>
          </cell>
          <cell r="P73">
            <v>49125</v>
          </cell>
          <cell r="Q73">
            <v>49490</v>
          </cell>
        </row>
        <row r="74">
          <cell r="G74" t="str">
            <v>Base</v>
          </cell>
          <cell r="H74" t="str">
            <v>Const.</v>
          </cell>
          <cell r="I74" t="str">
            <v>Const.</v>
          </cell>
          <cell r="J74" t="str">
            <v>Const.</v>
          </cell>
          <cell r="K74" t="str">
            <v>Post-Const.</v>
          </cell>
          <cell r="L74" t="str">
            <v>Post-Const.</v>
          </cell>
          <cell r="M74" t="str">
            <v>Post-Const.</v>
          </cell>
          <cell r="N74" t="str">
            <v>Post-Const.</v>
          </cell>
          <cell r="O74" t="str">
            <v>Post-Const.</v>
          </cell>
          <cell r="P74" t="str">
            <v>Post-Const.</v>
          </cell>
          <cell r="Q74" t="str">
            <v>Post-Const.</v>
          </cell>
        </row>
        <row r="75">
          <cell r="G75"/>
          <cell r="H75">
            <v>0.3</v>
          </cell>
          <cell r="I75">
            <v>0.3</v>
          </cell>
          <cell r="J75">
            <v>0.3</v>
          </cell>
          <cell r="K75">
            <v>0.1</v>
          </cell>
          <cell r="L75"/>
          <cell r="M75"/>
          <cell r="N75"/>
          <cell r="O75"/>
          <cell r="P75"/>
          <cell r="Q75"/>
        </row>
        <row r="76">
          <cell r="G76"/>
          <cell r="H76">
            <v>0.3</v>
          </cell>
          <cell r="I76">
            <v>0.3</v>
          </cell>
          <cell r="J76">
            <v>0.3</v>
          </cell>
          <cell r="K76">
            <v>0.1</v>
          </cell>
          <cell r="L76"/>
          <cell r="M76"/>
          <cell r="N76"/>
          <cell r="O76"/>
          <cell r="P76"/>
          <cell r="Q76"/>
        </row>
        <row r="77">
          <cell r="G77"/>
          <cell r="H77">
            <v>0.3</v>
          </cell>
          <cell r="I77">
            <v>0.3</v>
          </cell>
          <cell r="J77">
            <v>0.3</v>
          </cell>
          <cell r="K77">
            <v>0.1</v>
          </cell>
          <cell r="L77"/>
          <cell r="M77"/>
          <cell r="N77"/>
          <cell r="O77"/>
          <cell r="P77"/>
          <cell r="Q77"/>
        </row>
        <row r="78">
          <cell r="G78"/>
          <cell r="H78">
            <v>0.3</v>
          </cell>
          <cell r="I78">
            <v>0.3</v>
          </cell>
          <cell r="J78">
            <v>0.3</v>
          </cell>
          <cell r="K78">
            <v>0.1</v>
          </cell>
          <cell r="L78"/>
          <cell r="M78"/>
          <cell r="N78"/>
          <cell r="O78"/>
          <cell r="P78"/>
          <cell r="Q78"/>
        </row>
        <row r="79">
          <cell r="G79"/>
          <cell r="H79">
            <v>0.3</v>
          </cell>
          <cell r="I79">
            <v>0.3</v>
          </cell>
          <cell r="J79">
            <v>0.3</v>
          </cell>
          <cell r="K79">
            <v>0.1</v>
          </cell>
          <cell r="L79"/>
          <cell r="M79"/>
          <cell r="N79"/>
          <cell r="O79"/>
          <cell r="P79"/>
          <cell r="Q79"/>
        </row>
        <row r="80">
          <cell r="G80"/>
          <cell r="H80">
            <v>0.3</v>
          </cell>
          <cell r="I80">
            <v>0.3</v>
          </cell>
          <cell r="J80">
            <v>0.3</v>
          </cell>
          <cell r="K80">
            <v>0.1</v>
          </cell>
          <cell r="L80"/>
          <cell r="M80"/>
          <cell r="N80"/>
          <cell r="O80"/>
          <cell r="P80"/>
          <cell r="Q80"/>
        </row>
        <row r="81">
          <cell r="G81"/>
          <cell r="H81">
            <v>0.3</v>
          </cell>
          <cell r="I81">
            <v>0.3</v>
          </cell>
          <cell r="J81">
            <v>0.3</v>
          </cell>
          <cell r="K81">
            <v>0.1</v>
          </cell>
          <cell r="L81"/>
          <cell r="M81"/>
          <cell r="N81"/>
          <cell r="O81"/>
          <cell r="P81"/>
          <cell r="Q81"/>
        </row>
        <row r="82">
          <cell r="G82"/>
          <cell r="H82">
            <v>0.3</v>
          </cell>
          <cell r="I82">
            <v>0.3</v>
          </cell>
          <cell r="J82">
            <v>0.3</v>
          </cell>
          <cell r="K82">
            <v>0.1</v>
          </cell>
          <cell r="L82"/>
          <cell r="M82"/>
          <cell r="N82"/>
          <cell r="O82"/>
          <cell r="P82"/>
          <cell r="Q82"/>
        </row>
        <row r="83">
          <cell r="G83"/>
          <cell r="H83">
            <v>0.3</v>
          </cell>
          <cell r="I83">
            <v>0.3</v>
          </cell>
          <cell r="J83">
            <v>0.3</v>
          </cell>
          <cell r="K83">
            <v>0.1</v>
          </cell>
          <cell r="L83"/>
          <cell r="M83"/>
          <cell r="N83"/>
          <cell r="O83"/>
          <cell r="P83"/>
          <cell r="Q83"/>
        </row>
        <row r="84">
          <cell r="G84"/>
          <cell r="H84">
            <v>0.3</v>
          </cell>
          <cell r="I84">
            <v>0.3</v>
          </cell>
          <cell r="J84">
            <v>0.3</v>
          </cell>
          <cell r="K84">
            <v>0.1</v>
          </cell>
          <cell r="L84"/>
          <cell r="M84"/>
          <cell r="N84"/>
          <cell r="O84"/>
          <cell r="P84"/>
          <cell r="Q84"/>
        </row>
        <row r="85">
          <cell r="G85"/>
          <cell r="H85">
            <v>0.3</v>
          </cell>
          <cell r="I85">
            <v>0.3</v>
          </cell>
          <cell r="J85">
            <v>0.3</v>
          </cell>
          <cell r="K85">
            <v>0.1</v>
          </cell>
          <cell r="L85"/>
          <cell r="M85"/>
          <cell r="N85"/>
          <cell r="O85"/>
          <cell r="P85"/>
          <cell r="Q85"/>
        </row>
        <row r="86">
          <cell r="G86"/>
          <cell r="H86">
            <v>0.3</v>
          </cell>
          <cell r="I86">
            <v>0.3</v>
          </cell>
          <cell r="J86">
            <v>0.3</v>
          </cell>
          <cell r="K86">
            <v>0.1</v>
          </cell>
          <cell r="L86"/>
          <cell r="M86"/>
          <cell r="N86"/>
          <cell r="O86"/>
          <cell r="P86"/>
          <cell r="Q86"/>
        </row>
        <row r="87">
          <cell r="G87"/>
          <cell r="H87">
            <v>0.3</v>
          </cell>
          <cell r="I87">
            <v>0.3</v>
          </cell>
          <cell r="J87">
            <v>0.3</v>
          </cell>
          <cell r="K87">
            <v>0.1</v>
          </cell>
          <cell r="L87"/>
          <cell r="M87"/>
          <cell r="N87"/>
          <cell r="O87"/>
          <cell r="P87"/>
          <cell r="Q87"/>
        </row>
        <row r="88"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</row>
        <row r="93">
          <cell r="G93" t="str">
            <v>Base</v>
          </cell>
          <cell r="H93" t="str">
            <v>Const.</v>
          </cell>
          <cell r="I93" t="str">
            <v>Const.</v>
          </cell>
          <cell r="J93" t="str">
            <v>Const.</v>
          </cell>
          <cell r="K93" t="str">
            <v>Post-Const.</v>
          </cell>
          <cell r="L93" t="str">
            <v>Post-Const.</v>
          </cell>
          <cell r="M93" t="str">
            <v>Post-Const.</v>
          </cell>
          <cell r="N93" t="str">
            <v>Post-Const.</v>
          </cell>
          <cell r="O93" t="str">
            <v>Post-Const.</v>
          </cell>
          <cell r="P93" t="str">
            <v>Post-Const.</v>
          </cell>
          <cell r="Q93" t="str">
            <v>Post-Const.</v>
          </cell>
        </row>
        <row r="94">
          <cell r="G94"/>
          <cell r="H94"/>
          <cell r="I94"/>
          <cell r="J94"/>
          <cell r="K94">
            <v>0.45</v>
          </cell>
          <cell r="L94">
            <v>0.7</v>
          </cell>
          <cell r="M94">
            <v>0.9</v>
          </cell>
          <cell r="N94">
            <v>0.9</v>
          </cell>
          <cell r="O94">
            <v>0.9</v>
          </cell>
          <cell r="P94">
            <v>0.9</v>
          </cell>
          <cell r="Q94">
            <v>0.9</v>
          </cell>
        </row>
        <row r="95">
          <cell r="G95"/>
          <cell r="H95"/>
          <cell r="I95"/>
          <cell r="J95"/>
          <cell r="K95">
            <v>0.45</v>
          </cell>
          <cell r="L95">
            <v>0.7</v>
          </cell>
          <cell r="M95">
            <v>0.9</v>
          </cell>
          <cell r="N95">
            <v>0.9</v>
          </cell>
          <cell r="O95">
            <v>0.9</v>
          </cell>
          <cell r="P95">
            <v>0.9</v>
          </cell>
          <cell r="Q95">
            <v>0.9</v>
          </cell>
        </row>
        <row r="96">
          <cell r="G96"/>
          <cell r="H96"/>
          <cell r="I96"/>
          <cell r="J96"/>
          <cell r="K96">
            <v>0.45</v>
          </cell>
          <cell r="L96">
            <v>0.7</v>
          </cell>
          <cell r="M96">
            <v>0.9</v>
          </cell>
          <cell r="N96">
            <v>0.9</v>
          </cell>
          <cell r="O96">
            <v>0.9</v>
          </cell>
          <cell r="P96">
            <v>0.9</v>
          </cell>
          <cell r="Q96">
            <v>0.9</v>
          </cell>
        </row>
        <row r="97">
          <cell r="G97"/>
          <cell r="H97"/>
          <cell r="I97"/>
          <cell r="J97"/>
          <cell r="K97">
            <v>0.45</v>
          </cell>
          <cell r="L97">
            <v>0.7</v>
          </cell>
          <cell r="M97">
            <v>0.9</v>
          </cell>
          <cell r="N97">
            <v>0.9</v>
          </cell>
          <cell r="O97">
            <v>0.9</v>
          </cell>
          <cell r="P97">
            <v>0.9</v>
          </cell>
          <cell r="Q97">
            <v>0.9</v>
          </cell>
        </row>
        <row r="98">
          <cell r="G98"/>
          <cell r="H98"/>
          <cell r="I98"/>
          <cell r="J98"/>
          <cell r="K98">
            <v>0.45</v>
          </cell>
          <cell r="L98">
            <v>0.7</v>
          </cell>
          <cell r="M98">
            <v>0.9</v>
          </cell>
          <cell r="N98">
            <v>0.9</v>
          </cell>
          <cell r="O98">
            <v>0.9</v>
          </cell>
          <cell r="P98">
            <v>0.9</v>
          </cell>
          <cell r="Q98">
            <v>0.9</v>
          </cell>
        </row>
        <row r="99">
          <cell r="G99"/>
          <cell r="H99"/>
          <cell r="I99"/>
          <cell r="J99"/>
          <cell r="K99">
            <v>0.45</v>
          </cell>
          <cell r="L99">
            <v>0.7</v>
          </cell>
          <cell r="M99">
            <v>0.9</v>
          </cell>
          <cell r="N99">
            <v>0.9</v>
          </cell>
          <cell r="O99">
            <v>0.9</v>
          </cell>
          <cell r="P99">
            <v>0.9</v>
          </cell>
          <cell r="Q99">
            <v>0.9</v>
          </cell>
        </row>
        <row r="100">
          <cell r="G100"/>
          <cell r="H100"/>
          <cell r="I100"/>
          <cell r="J100"/>
          <cell r="K100">
            <v>0.45</v>
          </cell>
          <cell r="L100">
            <v>0.7</v>
          </cell>
          <cell r="M100">
            <v>0.9</v>
          </cell>
          <cell r="N100">
            <v>0.9</v>
          </cell>
          <cell r="O100">
            <v>0.9</v>
          </cell>
          <cell r="P100">
            <v>0.9</v>
          </cell>
          <cell r="Q100">
            <v>0.9</v>
          </cell>
        </row>
        <row r="101">
          <cell r="G101"/>
          <cell r="H101"/>
          <cell r="I101"/>
          <cell r="J101"/>
          <cell r="K101">
            <v>0.45</v>
          </cell>
          <cell r="L101">
            <v>0.7</v>
          </cell>
          <cell r="M101">
            <v>0.9</v>
          </cell>
          <cell r="N101">
            <v>0.9</v>
          </cell>
          <cell r="O101">
            <v>0.9</v>
          </cell>
          <cell r="P101">
            <v>0.9</v>
          </cell>
          <cell r="Q101">
            <v>0.9</v>
          </cell>
        </row>
        <row r="102">
          <cell r="G102"/>
          <cell r="H102"/>
          <cell r="I102"/>
          <cell r="J102"/>
          <cell r="K102">
            <v>0.45</v>
          </cell>
          <cell r="L102">
            <v>0.7</v>
          </cell>
          <cell r="M102">
            <v>0.9</v>
          </cell>
          <cell r="N102">
            <v>0.9</v>
          </cell>
          <cell r="O102">
            <v>0.9</v>
          </cell>
          <cell r="P102">
            <v>0.9</v>
          </cell>
          <cell r="Q102">
            <v>0.9</v>
          </cell>
        </row>
        <row r="103">
          <cell r="G103"/>
          <cell r="H103"/>
          <cell r="I103"/>
          <cell r="J103"/>
          <cell r="K103">
            <v>0.45</v>
          </cell>
          <cell r="L103">
            <v>0.7</v>
          </cell>
          <cell r="M103">
            <v>0.9</v>
          </cell>
          <cell r="N103">
            <v>0.9</v>
          </cell>
          <cell r="O103">
            <v>0.9</v>
          </cell>
          <cell r="P103">
            <v>0.9</v>
          </cell>
          <cell r="Q103">
            <v>0.9</v>
          </cell>
        </row>
        <row r="104">
          <cell r="G104"/>
          <cell r="H104"/>
          <cell r="I104"/>
          <cell r="J104"/>
          <cell r="K104">
            <v>0.45</v>
          </cell>
          <cell r="L104">
            <v>0.7</v>
          </cell>
          <cell r="M104">
            <v>0.9</v>
          </cell>
          <cell r="N104">
            <v>0.9</v>
          </cell>
          <cell r="O104">
            <v>0.9</v>
          </cell>
          <cell r="P104">
            <v>0.9</v>
          </cell>
          <cell r="Q104">
            <v>0.9</v>
          </cell>
        </row>
        <row r="105">
          <cell r="G105"/>
          <cell r="H105"/>
          <cell r="I105"/>
          <cell r="J105"/>
          <cell r="K105">
            <v>0.45</v>
          </cell>
          <cell r="L105">
            <v>0.7</v>
          </cell>
          <cell r="M105">
            <v>0.9</v>
          </cell>
          <cell r="N105">
            <v>0.9</v>
          </cell>
          <cell r="O105">
            <v>0.9</v>
          </cell>
          <cell r="P105">
            <v>0.9</v>
          </cell>
          <cell r="Q105">
            <v>0.9</v>
          </cell>
        </row>
        <row r="106">
          <cell r="G106"/>
          <cell r="H106"/>
          <cell r="I106"/>
          <cell r="J106"/>
          <cell r="K106">
            <v>0.45</v>
          </cell>
          <cell r="L106">
            <v>0.7</v>
          </cell>
          <cell r="M106">
            <v>0.9</v>
          </cell>
          <cell r="N106">
            <v>0.9</v>
          </cell>
          <cell r="O106">
            <v>0.9</v>
          </cell>
          <cell r="P106">
            <v>0.9</v>
          </cell>
          <cell r="Q106">
            <v>0.9</v>
          </cell>
        </row>
        <row r="107">
          <cell r="G107"/>
          <cell r="H107"/>
          <cell r="I107"/>
          <cell r="J107"/>
          <cell r="K107">
            <v>0.45</v>
          </cell>
          <cell r="L107">
            <v>0.7</v>
          </cell>
          <cell r="M107">
            <v>0.9</v>
          </cell>
          <cell r="N107">
            <v>0.9</v>
          </cell>
          <cell r="O107">
            <v>0.9</v>
          </cell>
          <cell r="P107">
            <v>0.9</v>
          </cell>
          <cell r="Q107">
            <v>0.9</v>
          </cell>
        </row>
        <row r="108"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</row>
        <row r="112">
          <cell r="G112">
            <v>45838</v>
          </cell>
          <cell r="H112">
            <v>46203</v>
          </cell>
          <cell r="I112">
            <v>46568</v>
          </cell>
          <cell r="J112">
            <v>46934</v>
          </cell>
          <cell r="K112">
            <v>47299</v>
          </cell>
          <cell r="L112">
            <v>47664</v>
          </cell>
          <cell r="M112">
            <v>48029</v>
          </cell>
          <cell r="N112">
            <v>48395</v>
          </cell>
          <cell r="O112">
            <v>48760</v>
          </cell>
          <cell r="P112">
            <v>49125</v>
          </cell>
          <cell r="Q112">
            <v>49490</v>
          </cell>
        </row>
        <row r="113">
          <cell r="G113" t="str">
            <v>Base</v>
          </cell>
          <cell r="H113" t="str">
            <v>Const.</v>
          </cell>
          <cell r="I113" t="str">
            <v>Const.</v>
          </cell>
          <cell r="J113" t="str">
            <v>Const.</v>
          </cell>
          <cell r="K113" t="str">
            <v>Post-Const.</v>
          </cell>
          <cell r="L113" t="str">
            <v>Post-Const.</v>
          </cell>
          <cell r="M113" t="str">
            <v>Post-Const.</v>
          </cell>
          <cell r="N113" t="str">
            <v>Post-Const.</v>
          </cell>
          <cell r="O113" t="str">
            <v>Post-Const.</v>
          </cell>
          <cell r="P113" t="str">
            <v>Post-Const.</v>
          </cell>
          <cell r="Q113" t="str">
            <v>Post-Const.</v>
          </cell>
        </row>
        <row r="114">
          <cell r="G114"/>
          <cell r="H114"/>
          <cell r="I114"/>
          <cell r="J114"/>
          <cell r="K114">
            <v>0.5</v>
          </cell>
          <cell r="L114">
            <v>0.57999999999999996</v>
          </cell>
          <cell r="M114">
            <v>0.64</v>
          </cell>
          <cell r="N114">
            <v>0.67</v>
          </cell>
          <cell r="O114">
            <v>0.67</v>
          </cell>
          <cell r="P114">
            <v>0.67</v>
          </cell>
          <cell r="Q114">
            <v>0.67</v>
          </cell>
        </row>
        <row r="115"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</row>
        <row r="116"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 Check"/>
      <sheetName val="Cover"/>
      <sheetName val="ID"/>
      <sheetName val="CRP"/>
      <sheetName val="DXB WACC"/>
      <sheetName val="Bucketing"/>
      <sheetName val="Regressions"/>
      <sheetName val="Key Stats"/>
      <sheetName val="START"/>
      <sheetName val="DATA GPC"/>
      <sheetName val="Conclusion of Value"/>
      <sheetName val="Market Cap Reconciliation"/>
      <sheetName val="INC STAT Hist Input"/>
      <sheetName val="PFI Inputs"/>
      <sheetName val="BAL SHEET Hist Input"/>
      <sheetName val="NOL Tax Benefit"/>
      <sheetName val="WACC and EV Inputs"/>
      <sheetName val="DCF"/>
      <sheetName val="WACC"/>
      <sheetName val="PFI Inc Stat"/>
      <sheetName val="PFI Inc Stat Common Size"/>
      <sheetName val="PFI Balance Sheet"/>
      <sheetName val="PFI Cash Flow"/>
      <sheetName val="EV"/>
      <sheetName val="EV Multiples"/>
      <sheetName val="Growth&amp;Margins"/>
      <sheetName val="Equity Multiples"/>
      <sheetName val="Guideline Public Company Method"/>
      <sheetName val="Guideline Transactions Input"/>
      <sheetName val="Guideline Transactions Method"/>
      <sheetName val="TOC Print from here&gt;&gt;"/>
      <sheetName val="&lt;&lt;to this bookend"/>
      <sheetName val="Workpapers-&gt;&gt;"/>
      <sheetName val="Tax Amortization Benefit"/>
      <sheetName val="Depreciation and Tax Benefit"/>
      <sheetName val="Depreciation%Sales"/>
      <sheetName val="Working Capital"/>
      <sheetName val="GPC WACC"/>
      <sheetName val="Segment Information"/>
      <sheetName val="GPC Business Descriptions"/>
      <sheetName val="Ranking"/>
      <sheetName val="EBIT Reconciliation"/>
      <sheetName val="Hist Debt Mkt Equity"/>
      <sheetName val="DuPont ROA"/>
      <sheetName val="DuPont ROE"/>
      <sheetName val="Guideline Public Co Estimates"/>
      <sheetName val="Other tools-&gt;&gt;"/>
      <sheetName val="ValueBridge"/>
      <sheetName val="Reference"/>
      <sheetName val="BarChart"/>
      <sheetName val="PieChart"/>
      <sheetName val="User's Guide"/>
      <sheetName val="Blank Template"/>
      <sheetName val="_CIQHiddenCacheSheet"/>
      <sheetName val="Settings"/>
      <sheetName val="Update notes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">
          <cell r="I15">
            <v>43799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52">
          <cell r="I52" t="b">
            <v>0</v>
          </cell>
        </row>
      </sheetData>
      <sheetData sheetId="55"/>
      <sheetData sheetId="5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nded Residence Input"/>
      <sheetName val="Area Program - BR"/>
      <sheetName val="Cost Assumptions"/>
      <sheetName val="Branded Residence Processing"/>
      <sheetName val="Grand Hyatt Input"/>
      <sheetName val="Area Program - Grand Hyatt"/>
      <sheetName val="Grand Hyatt Processing"/>
      <sheetName val="Financials"/>
      <sheetName val="Area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2">
          <cell r="G72">
            <v>10700000</v>
          </cell>
          <cell r="H72">
            <v>9160000</v>
          </cell>
          <cell r="I72">
            <v>34440000</v>
          </cell>
          <cell r="J72">
            <v>81240000</v>
          </cell>
        </row>
        <row r="74">
          <cell r="G74">
            <v>10700000</v>
          </cell>
          <cell r="H74">
            <v>9160000</v>
          </cell>
          <cell r="I74">
            <v>34440000</v>
          </cell>
          <cell r="J74">
            <v>81240000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55B6-99A9-468E-9285-CAAC23BF8C12}">
  <dimension ref="B2:Y49"/>
  <sheetViews>
    <sheetView showGridLines="0" topLeftCell="A29" workbookViewId="0">
      <selection activeCell="T47" sqref="T47"/>
    </sheetView>
  </sheetViews>
  <sheetFormatPr defaultRowHeight="15" x14ac:dyDescent="0.25"/>
  <cols>
    <col min="1" max="1" width="5.5703125" customWidth="1"/>
    <col min="2" max="2" width="22.140625" customWidth="1"/>
    <col min="3" max="3" width="10.5703125" customWidth="1"/>
    <col min="4" max="4" width="19" customWidth="1"/>
    <col min="5" max="5" width="15.85546875" customWidth="1"/>
    <col min="6" max="6" width="12.5703125" customWidth="1"/>
    <col min="7" max="7" width="15" customWidth="1"/>
    <col min="8" max="9" width="11.28515625" customWidth="1"/>
    <col min="10" max="10" width="11.42578125" customWidth="1"/>
    <col min="11" max="11" width="11.5703125" customWidth="1"/>
    <col min="12" max="12" width="11" customWidth="1"/>
    <col min="13" max="13" width="10.28515625" customWidth="1"/>
    <col min="15" max="16" width="10.28515625" customWidth="1"/>
    <col min="17" max="17" width="11.7109375" customWidth="1"/>
    <col min="18" max="18" width="11" customWidth="1"/>
    <col min="19" max="19" width="11.42578125" customWidth="1"/>
    <col min="20" max="20" width="10.42578125" customWidth="1"/>
    <col min="21" max="21" width="4.7109375" customWidth="1"/>
    <col min="22" max="22" width="11.28515625" customWidth="1"/>
    <col min="23" max="23" width="5.42578125" customWidth="1"/>
    <col min="24" max="24" width="11.28515625" customWidth="1"/>
    <col min="25" max="25" width="10.28515625" customWidth="1"/>
    <col min="26" max="26" width="9.85546875" customWidth="1"/>
  </cols>
  <sheetData>
    <row r="2" spans="2:25" x14ac:dyDescent="0.25">
      <c r="B2" s="84" t="s">
        <v>67</v>
      </c>
      <c r="C2" s="84"/>
      <c r="D2" s="84"/>
    </row>
    <row r="4" spans="2:25" ht="33.75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</row>
    <row r="5" spans="2:25" x14ac:dyDescent="0.25">
      <c r="B5" s="2" t="s">
        <v>73</v>
      </c>
      <c r="C5" s="2" t="s">
        <v>19</v>
      </c>
      <c r="D5" s="3" t="s">
        <v>20</v>
      </c>
      <c r="E5" s="4" t="s">
        <v>21</v>
      </c>
      <c r="F5" s="5">
        <v>1</v>
      </c>
      <c r="G5" s="4" t="s">
        <v>22</v>
      </c>
      <c r="H5" s="5">
        <f t="shared" ref="H5:H9" si="0">1-F5</f>
        <v>0</v>
      </c>
      <c r="I5" s="6">
        <f>J5/$J$11</f>
        <v>0</v>
      </c>
      <c r="J5" s="7">
        <f>N30</f>
        <v>0</v>
      </c>
      <c r="K5" s="7">
        <f>L5+P5+O5</f>
        <v>0</v>
      </c>
      <c r="L5" s="7">
        <f>F30</f>
        <v>0</v>
      </c>
      <c r="M5" s="7">
        <f>H30</f>
        <v>0</v>
      </c>
      <c r="N5" s="7">
        <f>J30</f>
        <v>0</v>
      </c>
      <c r="O5" s="7">
        <f>K30</f>
        <v>0</v>
      </c>
      <c r="P5" s="7">
        <f>L30</f>
        <v>0</v>
      </c>
      <c r="Q5" s="7">
        <v>0</v>
      </c>
      <c r="R5" s="7">
        <f>Q30</f>
        <v>60</v>
      </c>
      <c r="S5" s="7">
        <f>R30</f>
        <v>0</v>
      </c>
    </row>
    <row r="6" spans="2:25" x14ac:dyDescent="0.25">
      <c r="B6" s="8" t="s">
        <v>73</v>
      </c>
      <c r="C6" s="8" t="s">
        <v>19</v>
      </c>
      <c r="D6" s="9" t="s">
        <v>23</v>
      </c>
      <c r="E6" s="10" t="s">
        <v>21</v>
      </c>
      <c r="F6" s="11">
        <v>1</v>
      </c>
      <c r="G6" s="10" t="s">
        <v>22</v>
      </c>
      <c r="H6" s="11">
        <f t="shared" si="0"/>
        <v>0</v>
      </c>
      <c r="I6" s="12">
        <f>J6/$J$11</f>
        <v>0.43526231152261313</v>
      </c>
      <c r="J6" s="13">
        <f>N31</f>
        <v>1283.1874015748033</v>
      </c>
      <c r="K6" s="7">
        <f t="shared" ref="K6:K9" si="1">L6+P6+O6</f>
        <v>24757.825111286762</v>
      </c>
      <c r="L6" s="13">
        <f>F31</f>
        <v>16296.480000000001</v>
      </c>
      <c r="M6" s="13">
        <f>H31</f>
        <v>16296.480000000001</v>
      </c>
      <c r="N6" s="13">
        <f>J31</f>
        <v>13495.4410176</v>
      </c>
      <c r="O6" s="7">
        <f t="shared" ref="O6:P8" si="2">K31</f>
        <v>3585.3100704867602</v>
      </c>
      <c r="P6" s="7">
        <f t="shared" si="2"/>
        <v>4876.0350408000004</v>
      </c>
      <c r="Q6" s="7">
        <v>0</v>
      </c>
      <c r="R6" s="7">
        <f t="shared" ref="R6:S8" si="3">Q31</f>
        <v>120</v>
      </c>
      <c r="S6" s="7">
        <f t="shared" si="3"/>
        <v>112</v>
      </c>
    </row>
    <row r="7" spans="2:25" x14ac:dyDescent="0.25">
      <c r="B7" s="8" t="s">
        <v>73</v>
      </c>
      <c r="C7" s="8" t="s">
        <v>19</v>
      </c>
      <c r="D7" s="9" t="s">
        <v>24</v>
      </c>
      <c r="E7" s="10" t="s">
        <v>21</v>
      </c>
      <c r="F7" s="11">
        <v>1</v>
      </c>
      <c r="G7" s="10" t="s">
        <v>22</v>
      </c>
      <c r="H7" s="11">
        <f t="shared" si="0"/>
        <v>0</v>
      </c>
      <c r="I7" s="12">
        <f>J7/$J$11</f>
        <v>0.33853735340647684</v>
      </c>
      <c r="J7" s="13">
        <f>N32</f>
        <v>998.03464566929131</v>
      </c>
      <c r="K7" s="7">
        <f t="shared" si="1"/>
        <v>19256.086197667479</v>
      </c>
      <c r="L7" s="13">
        <f>F32</f>
        <v>12675.039999999999</v>
      </c>
      <c r="M7" s="13">
        <f>H32</f>
        <v>12675.039999999999</v>
      </c>
      <c r="N7" s="13">
        <f t="shared" ref="N7:N8" si="4">J32</f>
        <v>10496.454124799999</v>
      </c>
      <c r="O7" s="7">
        <f t="shared" si="2"/>
        <v>2788.57449926748</v>
      </c>
      <c r="P7" s="7">
        <f t="shared" si="2"/>
        <v>3792.4716983999997</v>
      </c>
      <c r="Q7" s="7">
        <v>0</v>
      </c>
      <c r="R7" s="7">
        <f t="shared" si="3"/>
        <v>180</v>
      </c>
      <c r="S7" s="7">
        <f t="shared" si="3"/>
        <v>58</v>
      </c>
    </row>
    <row r="8" spans="2:25" x14ac:dyDescent="0.25">
      <c r="B8" s="8" t="s">
        <v>73</v>
      </c>
      <c r="C8" s="8" t="s">
        <v>19</v>
      </c>
      <c r="D8" s="9" t="s">
        <v>25</v>
      </c>
      <c r="E8" s="10" t="s">
        <v>21</v>
      </c>
      <c r="F8" s="11">
        <v>1</v>
      </c>
      <c r="G8" s="10" t="s">
        <v>22</v>
      </c>
      <c r="H8" s="11">
        <f t="shared" si="0"/>
        <v>0</v>
      </c>
      <c r="I8" s="12">
        <f>J8/$J$11</f>
        <v>0.19344991623227251</v>
      </c>
      <c r="J8" s="13">
        <f>N33</f>
        <v>570.30551181102373</v>
      </c>
      <c r="K8" s="7">
        <f t="shared" si="1"/>
        <v>11003.477827238561</v>
      </c>
      <c r="L8" s="13">
        <f>F33</f>
        <v>7242.880000000001</v>
      </c>
      <c r="M8" s="13">
        <f>H33</f>
        <v>7242.880000000001</v>
      </c>
      <c r="N8" s="13">
        <f t="shared" si="4"/>
        <v>5997.9737856000002</v>
      </c>
      <c r="O8" s="7">
        <f t="shared" si="2"/>
        <v>1593.4711424385603</v>
      </c>
      <c r="P8" s="7">
        <f t="shared" si="2"/>
        <v>2167.1266848</v>
      </c>
      <c r="Q8" s="7">
        <v>0</v>
      </c>
      <c r="R8" s="7">
        <f t="shared" si="3"/>
        <v>210</v>
      </c>
      <c r="S8" s="7">
        <f t="shared" si="3"/>
        <v>29</v>
      </c>
    </row>
    <row r="9" spans="2:25" x14ac:dyDescent="0.25">
      <c r="B9" s="8" t="s">
        <v>73</v>
      </c>
      <c r="C9" s="8" t="s">
        <v>26</v>
      </c>
      <c r="D9" s="9" t="s">
        <v>27</v>
      </c>
      <c r="E9" s="10" t="s">
        <v>21</v>
      </c>
      <c r="F9" s="11">
        <v>0</v>
      </c>
      <c r="G9" s="10" t="s">
        <v>22</v>
      </c>
      <c r="H9" s="11">
        <f t="shared" si="0"/>
        <v>1</v>
      </c>
      <c r="I9" s="12">
        <f>J9/$J$11</f>
        <v>3.2750418838637649E-2</v>
      </c>
      <c r="J9" s="13">
        <f>N38</f>
        <v>96.550801062992136</v>
      </c>
      <c r="K9" s="7">
        <f t="shared" si="1"/>
        <v>1862.8367116700001</v>
      </c>
      <c r="L9" s="13">
        <f>F38</f>
        <v>1226.1951735</v>
      </c>
      <c r="M9" s="13">
        <f>H38</f>
        <v>1226.1951735</v>
      </c>
      <c r="N9" s="13">
        <f>J38</f>
        <v>1226.1951735</v>
      </c>
      <c r="O9" s="13">
        <f>K38</f>
        <v>269.76293817000004</v>
      </c>
      <c r="P9" s="13">
        <f>L38</f>
        <v>366.87860000000001</v>
      </c>
      <c r="Q9" s="7">
        <v>0</v>
      </c>
      <c r="R9" s="13">
        <v>0</v>
      </c>
      <c r="S9" s="13">
        <v>0</v>
      </c>
    </row>
    <row r="10" spans="2:25" x14ac:dyDescent="0.25">
      <c r="B10" s="14"/>
      <c r="C10" s="15"/>
      <c r="D10" s="15"/>
      <c r="E10" s="16"/>
      <c r="F10" s="16"/>
      <c r="G10" s="16"/>
      <c r="H10" s="16"/>
      <c r="I10" s="16"/>
      <c r="J10" s="16"/>
      <c r="K10" s="16"/>
      <c r="L10" s="17"/>
      <c r="M10" s="17"/>
      <c r="N10" s="16"/>
      <c r="O10" s="16"/>
      <c r="P10" s="16"/>
      <c r="Q10" s="16"/>
      <c r="R10" s="16"/>
      <c r="S10" s="16"/>
    </row>
    <row r="11" spans="2:25" ht="15.75" x14ac:dyDescent="0.25">
      <c r="B11" s="18"/>
      <c r="C11" s="18"/>
      <c r="D11" s="18"/>
      <c r="E11" s="19"/>
      <c r="F11" s="19"/>
      <c r="G11" s="19"/>
      <c r="H11" s="19"/>
      <c r="I11" s="20">
        <f>SUM(I5:I9)</f>
        <v>1</v>
      </c>
      <c r="J11" s="21">
        <f t="shared" ref="J11:Q11" si="5">SUM(J5:J10)</f>
        <v>2948.0783601181101</v>
      </c>
      <c r="K11" s="21">
        <f t="shared" si="5"/>
        <v>56880.225847862799</v>
      </c>
      <c r="L11" s="21">
        <f t="shared" si="5"/>
        <v>37440.595173499998</v>
      </c>
      <c r="M11" s="21">
        <f t="shared" si="5"/>
        <v>37440.595173499998</v>
      </c>
      <c r="N11" s="21">
        <f t="shared" si="5"/>
        <v>31216.064101499996</v>
      </c>
      <c r="O11" s="21">
        <f t="shared" si="5"/>
        <v>8237.1186503628014</v>
      </c>
      <c r="P11" s="21">
        <f t="shared" si="5"/>
        <v>11202.512024</v>
      </c>
      <c r="Q11" s="21">
        <f t="shared" si="5"/>
        <v>0</v>
      </c>
      <c r="R11" s="21"/>
      <c r="S11" s="21">
        <f>SUM(S5:S10)</f>
        <v>199</v>
      </c>
    </row>
    <row r="13" spans="2:25" ht="15.75" x14ac:dyDescent="0.25">
      <c r="B13" s="22" t="s">
        <v>28</v>
      </c>
      <c r="C13" s="22"/>
      <c r="D13" s="23"/>
      <c r="E13" s="24"/>
      <c r="F13" s="25"/>
      <c r="G13" s="25"/>
      <c r="H13" s="26"/>
      <c r="I13" s="26"/>
      <c r="J13" s="26"/>
      <c r="K13" s="26"/>
      <c r="L13" s="26"/>
      <c r="M13" s="26"/>
      <c r="N13" s="26"/>
      <c r="O13" s="26"/>
      <c r="P13" s="27"/>
      <c r="Q13" s="26"/>
      <c r="R13" s="26"/>
      <c r="S13" s="26"/>
      <c r="T13" s="26"/>
      <c r="U13" s="26"/>
      <c r="V13" s="26"/>
      <c r="W13" s="26"/>
      <c r="X13" s="26"/>
      <c r="Y13" s="26"/>
    </row>
    <row r="14" spans="2:25" ht="15.75" x14ac:dyDescent="0.25">
      <c r="B14" s="28" t="s">
        <v>29</v>
      </c>
      <c r="C14" s="28"/>
      <c r="D14" s="29" t="s">
        <v>30</v>
      </c>
      <c r="E14" s="30">
        <v>2948</v>
      </c>
      <c r="F14" s="25"/>
      <c r="G14" s="25"/>
      <c r="H14" s="26"/>
      <c r="I14" s="26"/>
      <c r="J14" s="26"/>
      <c r="K14" s="26"/>
      <c r="L14" s="26"/>
      <c r="M14" s="26"/>
      <c r="N14" s="26"/>
      <c r="O14" s="26"/>
      <c r="P14" s="27"/>
      <c r="Q14" s="26"/>
      <c r="R14" s="26"/>
      <c r="S14" s="26"/>
      <c r="T14" s="26"/>
      <c r="U14" s="26"/>
      <c r="V14" s="26"/>
      <c r="W14" s="26"/>
      <c r="X14" s="26"/>
      <c r="Y14" s="26"/>
    </row>
    <row r="15" spans="2:25" ht="15.75" x14ac:dyDescent="0.25">
      <c r="B15" s="28" t="s">
        <v>31</v>
      </c>
      <c r="C15" s="28"/>
      <c r="D15" s="29" t="s">
        <v>32</v>
      </c>
      <c r="E15" s="31">
        <v>12.7005</v>
      </c>
      <c r="F15" s="25"/>
      <c r="G15" s="32"/>
      <c r="H15" s="26"/>
      <c r="I15" s="26"/>
      <c r="J15" s="26"/>
      <c r="K15" s="26"/>
      <c r="L15" s="26"/>
      <c r="M15" s="26"/>
      <c r="N15" s="26"/>
      <c r="O15" s="26"/>
      <c r="P15" s="27"/>
      <c r="Q15" s="26"/>
      <c r="R15" s="26"/>
      <c r="S15" s="26"/>
      <c r="T15" s="26"/>
      <c r="U15" s="26"/>
      <c r="V15" s="26"/>
      <c r="W15" s="26"/>
      <c r="X15" s="26"/>
      <c r="Y15" s="26"/>
    </row>
    <row r="16" spans="2:25" ht="15.75" x14ac:dyDescent="0.25">
      <c r="B16" s="28" t="s">
        <v>33</v>
      </c>
      <c r="C16" s="28"/>
      <c r="D16" s="29" t="s">
        <v>30</v>
      </c>
      <c r="E16" s="33">
        <f>E14*E15</f>
        <v>37441.074000000001</v>
      </c>
      <c r="F16" s="25"/>
      <c r="G16" s="25"/>
      <c r="H16" s="26"/>
      <c r="I16" s="26"/>
      <c r="J16" s="26"/>
      <c r="K16" s="26"/>
      <c r="L16" s="26"/>
      <c r="M16" s="26"/>
      <c r="N16" s="26"/>
      <c r="O16" s="26"/>
      <c r="P16" s="27"/>
      <c r="Q16" s="26"/>
      <c r="R16" s="26"/>
      <c r="S16" s="26"/>
      <c r="T16" s="26"/>
      <c r="U16" s="26"/>
      <c r="V16" s="26"/>
      <c r="W16" s="26"/>
      <c r="X16" s="26"/>
      <c r="Y16" s="26"/>
    </row>
    <row r="17" spans="2:25" ht="15.75" x14ac:dyDescent="0.25">
      <c r="B17" s="28"/>
      <c r="C17" s="28"/>
      <c r="D17" s="29"/>
      <c r="E17" s="30"/>
      <c r="F17" s="25"/>
      <c r="G17" s="25"/>
      <c r="H17" s="26"/>
      <c r="I17" s="26"/>
      <c r="J17" s="26"/>
      <c r="K17" s="26"/>
      <c r="L17" s="26"/>
      <c r="M17" s="26"/>
      <c r="N17" s="26"/>
      <c r="O17" s="26"/>
      <c r="P17" s="27"/>
      <c r="Q17" s="26"/>
      <c r="R17" s="26"/>
      <c r="S17" s="26"/>
      <c r="T17" s="26"/>
      <c r="U17" s="26"/>
      <c r="V17" s="26"/>
      <c r="W17" s="26"/>
      <c r="X17" s="26"/>
      <c r="Y17" s="26"/>
    </row>
    <row r="18" spans="2:25" x14ac:dyDescent="0.25">
      <c r="B18" s="34"/>
      <c r="C18" s="34"/>
      <c r="D18" s="29"/>
      <c r="E18" s="33"/>
      <c r="F18" s="35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</row>
    <row r="19" spans="2:25" x14ac:dyDescent="0.25">
      <c r="B19" s="22" t="s">
        <v>34</v>
      </c>
      <c r="C19" s="24"/>
      <c r="D19" s="23"/>
      <c r="E19" s="23"/>
      <c r="F19" s="23"/>
      <c r="G19" s="23"/>
      <c r="H19" s="23"/>
      <c r="I19" s="23"/>
      <c r="J19" s="23"/>
      <c r="K19" s="23"/>
      <c r="L19" s="27"/>
      <c r="M19" s="27"/>
      <c r="N19" s="27"/>
      <c r="O19" s="27"/>
      <c r="P19" s="27"/>
      <c r="Q19" s="23"/>
      <c r="R19" s="23"/>
      <c r="S19" s="85"/>
      <c r="T19" s="85"/>
      <c r="U19" s="86"/>
      <c r="V19" s="86"/>
      <c r="W19" s="86"/>
      <c r="X19" s="36"/>
      <c r="Y19" s="36"/>
    </row>
    <row r="20" spans="2:25" x14ac:dyDescent="0.25">
      <c r="B20" s="37" t="s">
        <v>35</v>
      </c>
      <c r="C20" s="38"/>
      <c r="D20" s="38"/>
      <c r="E20" s="39" t="s">
        <v>36</v>
      </c>
      <c r="F20" s="39" t="s">
        <v>37</v>
      </c>
      <c r="G20" s="39" t="s">
        <v>38</v>
      </c>
      <c r="H20" s="39" t="s">
        <v>11</v>
      </c>
      <c r="I20" s="39" t="s">
        <v>39</v>
      </c>
      <c r="J20" s="39" t="s">
        <v>12</v>
      </c>
      <c r="K20" s="39" t="s">
        <v>13</v>
      </c>
      <c r="L20" s="39" t="s">
        <v>40</v>
      </c>
      <c r="M20" s="39" t="s">
        <v>41</v>
      </c>
      <c r="N20" s="39" t="s">
        <v>0</v>
      </c>
      <c r="O20" s="39" t="s">
        <v>42</v>
      </c>
      <c r="P20" s="27"/>
      <c r="Q20" s="26" t="s">
        <v>43</v>
      </c>
      <c r="R20" s="26" t="s">
        <v>44</v>
      </c>
      <c r="S20" s="96" t="s">
        <v>45</v>
      </c>
      <c r="T20" s="96"/>
      <c r="U20" s="96" t="s">
        <v>46</v>
      </c>
      <c r="V20" s="96"/>
      <c r="W20" s="96"/>
      <c r="X20" s="26" t="s">
        <v>47</v>
      </c>
      <c r="Y20" s="26" t="s">
        <v>48</v>
      </c>
    </row>
    <row r="21" spans="2:25" x14ac:dyDescent="0.25">
      <c r="B21" s="34" t="s">
        <v>49</v>
      </c>
      <c r="C21" s="34"/>
      <c r="D21" s="34"/>
      <c r="E21" s="40">
        <f>F34/$E$16</f>
        <v>0.96726000000000001</v>
      </c>
      <c r="F21" s="30">
        <v>36214.400000000001</v>
      </c>
      <c r="G21" s="41">
        <v>1</v>
      </c>
      <c r="H21" s="33">
        <f>H34</f>
        <v>36214.400000000001</v>
      </c>
      <c r="I21" s="41">
        <v>0.82811999999999997</v>
      </c>
      <c r="J21" s="33">
        <f>H21*I21</f>
        <v>29989.868928</v>
      </c>
      <c r="K21" s="33">
        <f>E21*$E$46</f>
        <v>7967.3557121928006</v>
      </c>
      <c r="L21" s="33">
        <f>$E$44*E21</f>
        <v>10835.633424</v>
      </c>
      <c r="M21" s="33">
        <f>F21+L21+K21</f>
        <v>55017.389136192804</v>
      </c>
      <c r="N21" s="33">
        <f>N34</f>
        <v>2851.5275590551182</v>
      </c>
      <c r="O21" s="42">
        <f>F21/N21</f>
        <v>12.7</v>
      </c>
      <c r="P21" s="27"/>
      <c r="Q21" s="33">
        <f>Q34</f>
        <v>159</v>
      </c>
      <c r="R21" s="33">
        <f>R34</f>
        <v>199</v>
      </c>
      <c r="S21" s="97">
        <f>S34</f>
        <v>1.3206030150753769</v>
      </c>
      <c r="T21" s="97"/>
      <c r="U21" s="91">
        <f>U34</f>
        <v>262.8</v>
      </c>
      <c r="V21" s="91"/>
      <c r="W21" s="91"/>
      <c r="X21" s="33">
        <f>X34</f>
        <v>10835.633424</v>
      </c>
      <c r="Y21" s="44">
        <f>L21/U34</f>
        <v>41.231481826484014</v>
      </c>
    </row>
    <row r="22" spans="2:25" x14ac:dyDescent="0.25">
      <c r="B22" s="34" t="s">
        <v>26</v>
      </c>
      <c r="C22" s="34"/>
      <c r="D22" s="34"/>
      <c r="E22" s="40">
        <f>F22/$E$16</f>
        <v>3.2744787182119831E-2</v>
      </c>
      <c r="F22" s="30">
        <v>1226</v>
      </c>
      <c r="G22" s="41">
        <v>1</v>
      </c>
      <c r="H22" s="33">
        <f>H39</f>
        <v>1226.1951735</v>
      </c>
      <c r="I22" s="41">
        <v>1</v>
      </c>
      <c r="J22" s="33">
        <f>H22*I22</f>
        <v>1226.1951735</v>
      </c>
      <c r="K22" s="33">
        <f>E22*$E$46</f>
        <v>269.72000000000003</v>
      </c>
      <c r="L22" s="33">
        <f>$E$44*E22</f>
        <v>366.8202039289792</v>
      </c>
      <c r="M22" s="33">
        <f>F22+L22+K22</f>
        <v>1862.5402039289793</v>
      </c>
      <c r="N22" s="33">
        <f>N39</f>
        <v>96.550801062992136</v>
      </c>
      <c r="O22" s="42">
        <f>O21</f>
        <v>12.7</v>
      </c>
      <c r="P22" s="27"/>
      <c r="Q22" s="30"/>
      <c r="R22" s="44">
        <f>IFERROR(J22/Q22,0)</f>
        <v>0</v>
      </c>
      <c r="S22" s="95">
        <v>15</v>
      </c>
      <c r="T22" s="95"/>
      <c r="U22" s="91">
        <f>U39</f>
        <v>0</v>
      </c>
      <c r="V22" s="91"/>
      <c r="W22" s="91"/>
      <c r="X22" s="33">
        <f>X38</f>
        <v>366.87860000000001</v>
      </c>
      <c r="Y22" s="45">
        <v>0</v>
      </c>
    </row>
    <row r="23" spans="2:25" x14ac:dyDescent="0.25">
      <c r="B23" s="34" t="s">
        <v>50</v>
      </c>
      <c r="C23" s="34"/>
      <c r="D23" s="34"/>
      <c r="E23" s="41"/>
      <c r="F23" s="30">
        <f>E44</f>
        <v>11202.4</v>
      </c>
      <c r="G23" s="41">
        <v>0</v>
      </c>
      <c r="H23" s="33">
        <f t="shared" ref="H23:H25" si="6">F23*G23</f>
        <v>0</v>
      </c>
      <c r="I23" s="41"/>
      <c r="J23" s="33"/>
      <c r="K23" s="33"/>
      <c r="L23" s="33"/>
      <c r="M23" s="33"/>
      <c r="N23" s="33"/>
      <c r="O23" s="46"/>
      <c r="P23" s="27"/>
      <c r="Q23" s="30"/>
      <c r="R23" s="44"/>
      <c r="S23" s="47"/>
      <c r="T23" s="47"/>
      <c r="U23" s="43"/>
      <c r="V23" s="43"/>
      <c r="W23" s="43"/>
      <c r="X23" s="33"/>
      <c r="Y23" s="45"/>
    </row>
    <row r="24" spans="2:25" x14ac:dyDescent="0.25">
      <c r="B24" s="34" t="s">
        <v>51</v>
      </c>
      <c r="C24" s="34"/>
      <c r="D24" s="34"/>
      <c r="E24" s="41"/>
      <c r="F24" s="30">
        <f>E46</f>
        <v>8237.0362800000003</v>
      </c>
      <c r="G24" s="41">
        <v>0</v>
      </c>
      <c r="H24" s="33">
        <f t="shared" si="6"/>
        <v>0</v>
      </c>
      <c r="I24" s="41"/>
      <c r="J24" s="33"/>
      <c r="K24" s="33"/>
      <c r="L24" s="33"/>
      <c r="M24" s="33"/>
      <c r="N24" s="33"/>
      <c r="O24" s="46"/>
      <c r="P24" s="27"/>
      <c r="Q24" s="30"/>
      <c r="R24" s="44"/>
      <c r="S24" s="47"/>
      <c r="T24" s="47"/>
      <c r="U24" s="43"/>
      <c r="V24" s="43"/>
      <c r="W24" s="43"/>
      <c r="X24" s="33"/>
      <c r="Y24" s="45"/>
    </row>
    <row r="25" spans="2:25" x14ac:dyDescent="0.25">
      <c r="B25" s="34" t="s">
        <v>52</v>
      </c>
      <c r="F25" s="30">
        <f>E47</f>
        <v>5799.6223626000001</v>
      </c>
      <c r="G25" s="48">
        <v>0</v>
      </c>
      <c r="H25" s="33">
        <f t="shared" si="6"/>
        <v>0</v>
      </c>
    </row>
    <row r="26" spans="2:25" x14ac:dyDescent="0.25">
      <c r="B26" s="37" t="s">
        <v>53</v>
      </c>
      <c r="C26" s="37"/>
      <c r="D26" s="37"/>
      <c r="E26" s="49">
        <f>SUM(E21:E22)</f>
        <v>1.0000047871821198</v>
      </c>
      <c r="F26" s="50">
        <f>SUM(F21:F24)</f>
        <v>56879.836280000003</v>
      </c>
      <c r="G26" s="49">
        <f>H26/E16</f>
        <v>0.99998721119752065</v>
      </c>
      <c r="H26" s="50">
        <f>SUM(H21:H22)</f>
        <v>37440.595173499998</v>
      </c>
      <c r="I26" s="49">
        <f>J26/H26</f>
        <v>0.83374914198998507</v>
      </c>
      <c r="J26" s="50">
        <f>SUM(J21:J22)</f>
        <v>31216.0641015</v>
      </c>
      <c r="K26" s="50">
        <f>SUM(K21:K22)</f>
        <v>8237.0757121928</v>
      </c>
      <c r="L26" s="50">
        <f>SUM(L21:L22)</f>
        <v>11202.453627928979</v>
      </c>
      <c r="M26" s="50">
        <f>SUM(M21:M22)</f>
        <v>56879.92934012178</v>
      </c>
      <c r="N26" s="50">
        <f>SUM(N21:N22)</f>
        <v>2948.0783601181101</v>
      </c>
      <c r="O26" s="51"/>
      <c r="P26" s="27"/>
      <c r="Q26" s="52"/>
      <c r="R26" s="52"/>
      <c r="S26" s="92"/>
      <c r="T26" s="92"/>
      <c r="U26" s="93">
        <f>SUM(U21:W22)</f>
        <v>262.8</v>
      </c>
      <c r="V26" s="93"/>
      <c r="W26" s="93"/>
      <c r="X26" s="50">
        <f>SUM(X21:X22)</f>
        <v>11202.512024</v>
      </c>
      <c r="Y26" s="50"/>
    </row>
    <row r="27" spans="2:25" x14ac:dyDescent="0.25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  <c r="M27" s="27"/>
      <c r="N27" s="27"/>
      <c r="O27" s="27"/>
      <c r="P27" s="27"/>
      <c r="Q27" s="27"/>
      <c r="R27" s="27"/>
      <c r="S27" s="26"/>
      <c r="T27" s="26"/>
      <c r="U27" s="26"/>
      <c r="V27" s="26"/>
      <c r="W27" s="27"/>
      <c r="X27" s="26"/>
      <c r="Y27" s="26"/>
    </row>
    <row r="28" spans="2:25" x14ac:dyDescent="0.25">
      <c r="B28" s="22" t="s">
        <v>49</v>
      </c>
      <c r="C28" s="24"/>
      <c r="D28" s="53">
        <v>0.96726000000000001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3"/>
      <c r="R28" s="23"/>
      <c r="S28" s="85"/>
      <c r="T28" s="85"/>
      <c r="U28" s="86"/>
      <c r="V28" s="86"/>
      <c r="W28" s="86"/>
      <c r="X28" s="36"/>
      <c r="Y28" s="36"/>
    </row>
    <row r="29" spans="2:25" x14ac:dyDescent="0.25">
      <c r="B29" s="54" t="s">
        <v>54</v>
      </c>
      <c r="C29" s="27"/>
      <c r="D29" s="27"/>
      <c r="E29" s="39" t="s">
        <v>36</v>
      </c>
      <c r="F29" s="39" t="s">
        <v>37</v>
      </c>
      <c r="G29" s="39" t="s">
        <v>38</v>
      </c>
      <c r="H29" s="39" t="s">
        <v>11</v>
      </c>
      <c r="I29" s="39" t="s">
        <v>39</v>
      </c>
      <c r="J29" s="39" t="s">
        <v>12</v>
      </c>
      <c r="K29" s="39" t="s">
        <v>13</v>
      </c>
      <c r="L29" s="39" t="s">
        <v>40</v>
      </c>
      <c r="M29" s="39" t="s">
        <v>41</v>
      </c>
      <c r="N29" s="39" t="s">
        <v>0</v>
      </c>
      <c r="O29" s="39" t="s">
        <v>42</v>
      </c>
      <c r="P29" s="27"/>
      <c r="Q29" s="26" t="s">
        <v>43</v>
      </c>
      <c r="R29" s="26" t="s">
        <v>44</v>
      </c>
      <c r="S29" s="94" t="s">
        <v>45</v>
      </c>
      <c r="T29" s="94"/>
      <c r="U29" s="91" t="s">
        <v>46</v>
      </c>
      <c r="V29" s="91"/>
      <c r="W29" s="91"/>
      <c r="X29" s="26" t="s">
        <v>47</v>
      </c>
      <c r="Y29" s="26" t="s">
        <v>47</v>
      </c>
    </row>
    <row r="30" spans="2:25" x14ac:dyDescent="0.25">
      <c r="B30" s="34" t="s">
        <v>55</v>
      </c>
      <c r="C30" s="27"/>
      <c r="D30" s="27"/>
      <c r="E30" s="41">
        <v>0</v>
      </c>
      <c r="F30" s="33">
        <f>E30*$F$21</f>
        <v>0</v>
      </c>
      <c r="G30" s="41">
        <v>1</v>
      </c>
      <c r="H30" s="33">
        <f>F30*G30</f>
        <v>0</v>
      </c>
      <c r="I30" s="55">
        <v>0.82811999999999997</v>
      </c>
      <c r="J30" s="33">
        <f>H30*I30</f>
        <v>0</v>
      </c>
      <c r="K30" s="33">
        <f>$E$46*E30*$E$21</f>
        <v>0</v>
      </c>
      <c r="L30" s="33">
        <f>$E$44*E30*$E$21</f>
        <v>0</v>
      </c>
      <c r="M30" s="33">
        <f>F30+L30+K30</f>
        <v>0</v>
      </c>
      <c r="N30" s="33">
        <f>F30/O30</f>
        <v>0</v>
      </c>
      <c r="O30" s="46">
        <v>12.7</v>
      </c>
      <c r="P30" s="27"/>
      <c r="Q30" s="30">
        <v>60</v>
      </c>
      <c r="R30" s="44">
        <f>IFERROR(J30/Q30,0)</f>
        <v>0</v>
      </c>
      <c r="S30" s="90">
        <v>1</v>
      </c>
      <c r="T30" s="90"/>
      <c r="U30" s="91">
        <f>S30*R30</f>
        <v>0</v>
      </c>
      <c r="V30" s="91"/>
      <c r="W30" s="91"/>
      <c r="X30" s="33">
        <f>U30*$Y$21</f>
        <v>0</v>
      </c>
      <c r="Y30" s="43" t="str">
        <f>$Y$29</f>
        <v>Parking Area</v>
      </c>
    </row>
    <row r="31" spans="2:25" x14ac:dyDescent="0.25">
      <c r="B31" s="34" t="s">
        <v>56</v>
      </c>
      <c r="C31" s="27"/>
      <c r="D31" s="27"/>
      <c r="E31" s="41">
        <v>0.45</v>
      </c>
      <c r="F31" s="33">
        <f t="shared" ref="F31:F33" si="7">E31*$F$21</f>
        <v>16296.480000000001</v>
      </c>
      <c r="G31" s="41">
        <v>1</v>
      </c>
      <c r="H31" s="33">
        <f t="shared" ref="H31:H33" si="8">F31*G31</f>
        <v>16296.480000000001</v>
      </c>
      <c r="I31" s="55">
        <v>0.82811999999999997</v>
      </c>
      <c r="J31" s="33">
        <f>H31*I31</f>
        <v>13495.4410176</v>
      </c>
      <c r="K31" s="33">
        <f t="shared" ref="K31:K33" si="9">$E$46*E31*$E$21</f>
        <v>3585.3100704867602</v>
      </c>
      <c r="L31" s="33">
        <f t="shared" ref="L31:L33" si="10">$E$44*E31*$E$21</f>
        <v>4876.0350408000004</v>
      </c>
      <c r="M31" s="33">
        <f>F31+L31+K31</f>
        <v>24757.825111286762</v>
      </c>
      <c r="N31" s="33">
        <f>F31/O31</f>
        <v>1283.1874015748033</v>
      </c>
      <c r="O31" s="46">
        <v>12.7</v>
      </c>
      <c r="P31" s="27"/>
      <c r="Q31" s="30">
        <v>120</v>
      </c>
      <c r="R31" s="44">
        <v>112</v>
      </c>
      <c r="S31" s="90">
        <v>1</v>
      </c>
      <c r="T31" s="90"/>
      <c r="U31" s="91">
        <f>S31*R31</f>
        <v>112</v>
      </c>
      <c r="V31" s="91"/>
      <c r="W31" s="91"/>
      <c r="X31" s="33">
        <f t="shared" ref="X31:X33" si="11">U31*$Y$21</f>
        <v>4617.9259645662096</v>
      </c>
      <c r="Y31" s="45" t="str">
        <f>$Y$29</f>
        <v>Parking Area</v>
      </c>
    </row>
    <row r="32" spans="2:25" x14ac:dyDescent="0.25">
      <c r="B32" s="34" t="s">
        <v>57</v>
      </c>
      <c r="C32" s="27"/>
      <c r="D32" s="27"/>
      <c r="E32" s="41">
        <v>0.35</v>
      </c>
      <c r="F32" s="33">
        <f t="shared" si="7"/>
        <v>12675.039999999999</v>
      </c>
      <c r="G32" s="41">
        <v>1</v>
      </c>
      <c r="H32" s="33">
        <f t="shared" si="8"/>
        <v>12675.039999999999</v>
      </c>
      <c r="I32" s="55">
        <v>0.82811999999999997</v>
      </c>
      <c r="J32" s="33">
        <f>H32*I32</f>
        <v>10496.454124799999</v>
      </c>
      <c r="K32" s="33">
        <f t="shared" si="9"/>
        <v>2788.57449926748</v>
      </c>
      <c r="L32" s="33">
        <f t="shared" si="10"/>
        <v>3792.4716983999997</v>
      </c>
      <c r="M32" s="33">
        <f>F32+L32+K32</f>
        <v>19256.086197667479</v>
      </c>
      <c r="N32" s="33">
        <f>F32/O32</f>
        <v>998.03464566929131</v>
      </c>
      <c r="O32" s="46">
        <v>12.7</v>
      </c>
      <c r="P32" s="27"/>
      <c r="Q32" s="30">
        <v>180</v>
      </c>
      <c r="R32" s="44">
        <v>58</v>
      </c>
      <c r="S32" s="90">
        <v>1.6</v>
      </c>
      <c r="T32" s="90"/>
      <c r="U32" s="91">
        <f t="shared" ref="U32:U33" si="12">S32*R32</f>
        <v>92.800000000000011</v>
      </c>
      <c r="V32" s="91"/>
      <c r="W32" s="91"/>
      <c r="X32" s="33">
        <f t="shared" si="11"/>
        <v>3826.2815134977168</v>
      </c>
      <c r="Y32" s="45" t="str">
        <f>$Y$29</f>
        <v>Parking Area</v>
      </c>
    </row>
    <row r="33" spans="2:25" x14ac:dyDescent="0.25">
      <c r="B33" s="34" t="s">
        <v>58</v>
      </c>
      <c r="C33" s="27"/>
      <c r="D33" s="27"/>
      <c r="E33" s="41">
        <v>0.2</v>
      </c>
      <c r="F33" s="33">
        <f t="shared" si="7"/>
        <v>7242.880000000001</v>
      </c>
      <c r="G33" s="41">
        <v>1</v>
      </c>
      <c r="H33" s="33">
        <f t="shared" si="8"/>
        <v>7242.880000000001</v>
      </c>
      <c r="I33" s="55">
        <v>0.82811999999999997</v>
      </c>
      <c r="J33" s="33">
        <f>H33*I33</f>
        <v>5997.9737856000002</v>
      </c>
      <c r="K33" s="33">
        <f t="shared" si="9"/>
        <v>1593.4711424385603</v>
      </c>
      <c r="L33" s="33">
        <f t="shared" si="10"/>
        <v>2167.1266848</v>
      </c>
      <c r="M33" s="33">
        <f>F33+L33+K33</f>
        <v>11003.477827238561</v>
      </c>
      <c r="N33" s="33">
        <f>F33/O33</f>
        <v>570.30551181102373</v>
      </c>
      <c r="O33" s="46">
        <v>12.7</v>
      </c>
      <c r="P33" s="27"/>
      <c r="Q33" s="30">
        <v>210</v>
      </c>
      <c r="R33" s="44">
        <v>29</v>
      </c>
      <c r="S33" s="90">
        <v>2</v>
      </c>
      <c r="T33" s="90"/>
      <c r="U33" s="91">
        <f t="shared" si="12"/>
        <v>58</v>
      </c>
      <c r="V33" s="91"/>
      <c r="W33" s="91"/>
      <c r="X33" s="33">
        <f t="shared" si="11"/>
        <v>2391.4259459360728</v>
      </c>
      <c r="Y33" s="45" t="str">
        <f>$Y$29</f>
        <v>Parking Area</v>
      </c>
    </row>
    <row r="34" spans="2:25" x14ac:dyDescent="0.25">
      <c r="B34" s="37" t="s">
        <v>59</v>
      </c>
      <c r="C34" s="56"/>
      <c r="D34" s="56"/>
      <c r="E34" s="49">
        <f>SUM(E30:E33)</f>
        <v>1</v>
      </c>
      <c r="F34" s="50">
        <f>D28*$E$16</f>
        <v>36215.253237240002</v>
      </c>
      <c r="G34" s="49">
        <f>H34/H21</f>
        <v>1</v>
      </c>
      <c r="H34" s="50">
        <f>SUM(H30:H33)</f>
        <v>36214.400000000001</v>
      </c>
      <c r="I34" s="49">
        <f>J34/H34</f>
        <v>0.82811999999999986</v>
      </c>
      <c r="J34" s="50">
        <f>SUM(J30:J33)</f>
        <v>29989.868927999996</v>
      </c>
      <c r="K34" s="50">
        <f>SUM(K30:K33)</f>
        <v>7967.3557121928006</v>
      </c>
      <c r="L34" s="50">
        <f>SUM(L30:L33)</f>
        <v>10835.633424</v>
      </c>
      <c r="M34" s="50">
        <f>SUM(M30:M33)</f>
        <v>55017.389136192796</v>
      </c>
      <c r="N34" s="50">
        <f>SUM(N30:N33)</f>
        <v>2851.5275590551182</v>
      </c>
      <c r="O34" s="51">
        <f>F34/N34</f>
        <v>12.700299221109503</v>
      </c>
      <c r="P34" s="27"/>
      <c r="Q34" s="52">
        <f>SUMPRODUCT(E30:E33,Q30:Q33)</f>
        <v>159</v>
      </c>
      <c r="R34" s="52">
        <f>SUM(R30:R33)</f>
        <v>199</v>
      </c>
      <c r="S34" s="92">
        <f>U34/R34</f>
        <v>1.3206030150753769</v>
      </c>
      <c r="T34" s="92"/>
      <c r="U34" s="93">
        <f>SUM(U30:U33)</f>
        <v>262.8</v>
      </c>
      <c r="V34" s="93"/>
      <c r="W34" s="93"/>
      <c r="X34" s="50">
        <f>SUM(X30:X33)</f>
        <v>10835.633424</v>
      </c>
      <c r="Y34" s="50">
        <f>X34/U34</f>
        <v>41.231481826484014</v>
      </c>
    </row>
    <row r="35" spans="2:25" x14ac:dyDescent="0.25"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7"/>
      <c r="N35" s="27"/>
      <c r="O35" s="27"/>
      <c r="P35" s="27"/>
      <c r="Q35" s="27"/>
      <c r="R35" s="27"/>
      <c r="S35" s="27"/>
      <c r="T35" s="26"/>
      <c r="U35" s="26"/>
      <c r="V35" s="26"/>
      <c r="W35" s="26"/>
      <c r="X35" s="26"/>
      <c r="Y35" s="26"/>
    </row>
    <row r="36" spans="2:25" x14ac:dyDescent="0.25">
      <c r="B36" s="22" t="s">
        <v>26</v>
      </c>
      <c r="C36" s="24"/>
      <c r="D36" s="53">
        <v>3.2750000000000001E-2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7"/>
      <c r="Q36" s="23"/>
      <c r="R36" s="23"/>
      <c r="S36" s="85"/>
      <c r="T36" s="85"/>
      <c r="U36" s="86"/>
      <c r="V36" s="86"/>
      <c r="W36" s="86"/>
      <c r="X36" s="36"/>
      <c r="Y36" s="36"/>
    </row>
    <row r="37" spans="2:25" x14ac:dyDescent="0.25">
      <c r="B37" s="54" t="s">
        <v>54</v>
      </c>
      <c r="C37" s="27"/>
      <c r="D37" s="27"/>
      <c r="E37" s="39" t="s">
        <v>36</v>
      </c>
      <c r="F37" s="39" t="s">
        <v>37</v>
      </c>
      <c r="G37" s="39" t="s">
        <v>38</v>
      </c>
      <c r="H37" s="39" t="s">
        <v>11</v>
      </c>
      <c r="I37" s="39" t="s">
        <v>39</v>
      </c>
      <c r="J37" s="39" t="s">
        <v>12</v>
      </c>
      <c r="K37" s="39" t="s">
        <v>13</v>
      </c>
      <c r="L37" s="39" t="s">
        <v>40</v>
      </c>
      <c r="M37" s="39" t="s">
        <v>41</v>
      </c>
      <c r="N37" s="39" t="s">
        <v>0</v>
      </c>
      <c r="O37" s="39" t="s">
        <v>42</v>
      </c>
      <c r="P37" s="27"/>
      <c r="Q37" s="64" t="s">
        <v>43</v>
      </c>
      <c r="R37" s="64" t="s">
        <v>44</v>
      </c>
      <c r="S37" s="87" t="s">
        <v>45</v>
      </c>
      <c r="T37" s="87"/>
      <c r="U37" s="88" t="s">
        <v>46</v>
      </c>
      <c r="V37" s="88"/>
      <c r="W37" s="88"/>
      <c r="X37" s="64" t="s">
        <v>47</v>
      </c>
      <c r="Y37" s="64" t="s">
        <v>47</v>
      </c>
    </row>
    <row r="38" spans="2:25" x14ac:dyDescent="0.25">
      <c r="B38" s="34" t="s">
        <v>26</v>
      </c>
      <c r="C38" s="27"/>
      <c r="D38" s="27"/>
      <c r="E38" s="41">
        <v>3.2750000000000001E-2</v>
      </c>
      <c r="F38" s="33">
        <f>E16*E38</f>
        <v>1226.1951735</v>
      </c>
      <c r="G38" s="41">
        <v>1</v>
      </c>
      <c r="H38" s="33">
        <f t="shared" ref="H38" si="13">F38*G38</f>
        <v>1226.1951735</v>
      </c>
      <c r="I38" s="55">
        <v>1</v>
      </c>
      <c r="J38" s="33">
        <f>H38*I38</f>
        <v>1226.1951735</v>
      </c>
      <c r="K38" s="33">
        <f>E46*E38</f>
        <v>269.76293817000004</v>
      </c>
      <c r="L38" s="33">
        <f>E44*E38</f>
        <v>366.87860000000001</v>
      </c>
      <c r="M38" s="33">
        <f>F38+K38+L38</f>
        <v>1862.8367116700001</v>
      </c>
      <c r="N38" s="33">
        <f>H38/O38</f>
        <v>96.550801062992136</v>
      </c>
      <c r="O38" s="46">
        <v>12.7</v>
      </c>
      <c r="P38" s="27"/>
      <c r="Q38" s="65">
        <v>0</v>
      </c>
      <c r="R38" s="66">
        <f>IFERROR(J38/Q38,0)</f>
        <v>0</v>
      </c>
      <c r="S38" s="89">
        <v>0</v>
      </c>
      <c r="T38" s="89"/>
      <c r="U38" s="88">
        <f>S38*R38</f>
        <v>0</v>
      </c>
      <c r="V38" s="88"/>
      <c r="W38" s="88"/>
      <c r="X38" s="67">
        <f>L38</f>
        <v>366.87860000000001</v>
      </c>
      <c r="Y38" s="68" t="e">
        <f>L38/U38</f>
        <v>#DIV/0!</v>
      </c>
    </row>
    <row r="39" spans="2:25" x14ac:dyDescent="0.25">
      <c r="B39" s="37" t="s">
        <v>59</v>
      </c>
      <c r="C39" s="56"/>
      <c r="D39" s="56"/>
      <c r="E39" s="49">
        <f>SUM(E38:E38)</f>
        <v>3.2750000000000001E-2</v>
      </c>
      <c r="F39" s="50">
        <f>D36*$E$16</f>
        <v>1226.1951735</v>
      </c>
      <c r="G39" s="49">
        <f>G38</f>
        <v>1</v>
      </c>
      <c r="H39" s="50">
        <f>SUM(H38:H38)</f>
        <v>1226.1951735</v>
      </c>
      <c r="I39" s="49">
        <f>J39/H39</f>
        <v>1</v>
      </c>
      <c r="J39" s="50">
        <f>SUM(J38:J38)</f>
        <v>1226.1951735</v>
      </c>
      <c r="K39" s="50">
        <f>SUM(K38:K38)</f>
        <v>269.76293817000004</v>
      </c>
      <c r="L39" s="50">
        <f>SUM(L38:L38)</f>
        <v>366.87860000000001</v>
      </c>
      <c r="M39" s="50">
        <f>SUM(M38:M38)</f>
        <v>1862.8367116700001</v>
      </c>
      <c r="N39" s="50">
        <f>SUM(N38:N38)</f>
        <v>96.550801062992136</v>
      </c>
      <c r="O39" s="51">
        <f>F39/N39</f>
        <v>12.7</v>
      </c>
      <c r="P39" s="27"/>
      <c r="Q39" s="69" t="e">
        <f>J39/R39</f>
        <v>#DIV/0!</v>
      </c>
      <c r="R39" s="69">
        <f>SUM(R38:R38)</f>
        <v>0</v>
      </c>
      <c r="S39" s="82" t="e">
        <f>U39/R39</f>
        <v>#DIV/0!</v>
      </c>
      <c r="T39" s="82"/>
      <c r="U39" s="83">
        <f>SUM(U38:U38)</f>
        <v>0</v>
      </c>
      <c r="V39" s="83"/>
      <c r="W39" s="83"/>
      <c r="X39" s="70">
        <f>SUM(X38:X38)</f>
        <v>366.87860000000001</v>
      </c>
      <c r="Y39" s="70" t="e">
        <f>X39/U39</f>
        <v>#DIV/0!</v>
      </c>
    </row>
    <row r="40" spans="2:25" x14ac:dyDescent="0.25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7"/>
      <c r="M40" s="27"/>
      <c r="N40" s="27"/>
      <c r="O40" s="27"/>
      <c r="P40" s="27"/>
      <c r="Q40" s="26"/>
      <c r="R40" s="26"/>
      <c r="S40" s="26"/>
      <c r="T40" s="26"/>
      <c r="U40" s="26"/>
      <c r="V40" s="26"/>
      <c r="W40" s="26"/>
      <c r="X40" s="26"/>
      <c r="Y40" s="26"/>
    </row>
    <row r="41" spans="2:25" x14ac:dyDescent="0.25">
      <c r="B41" s="22" t="s">
        <v>14</v>
      </c>
      <c r="C41" s="22"/>
      <c r="D41" s="57"/>
      <c r="E41" s="58"/>
      <c r="F41" s="27"/>
      <c r="G41" s="27"/>
      <c r="H41" s="26"/>
      <c r="I41" s="26"/>
      <c r="J41" s="26"/>
      <c r="K41" s="26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</row>
    <row r="42" spans="2:25" x14ac:dyDescent="0.25">
      <c r="B42" s="34" t="s">
        <v>60</v>
      </c>
      <c r="C42" s="34"/>
      <c r="D42" s="29" t="s">
        <v>61</v>
      </c>
      <c r="E42" s="59">
        <v>4</v>
      </c>
      <c r="F42" s="27"/>
      <c r="G42" s="27"/>
      <c r="H42" s="26"/>
      <c r="I42" s="26"/>
      <c r="J42" s="26"/>
      <c r="K42" s="26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</row>
    <row r="43" spans="2:25" x14ac:dyDescent="0.25">
      <c r="B43" s="34" t="s">
        <v>62</v>
      </c>
      <c r="C43" s="34"/>
      <c r="D43" s="29" t="s">
        <v>63</v>
      </c>
      <c r="E43" s="60">
        <v>0.95</v>
      </c>
      <c r="F43" s="27"/>
      <c r="G43" s="27"/>
      <c r="H43" s="26"/>
      <c r="I43" s="26"/>
      <c r="J43" s="26"/>
      <c r="K43" s="26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</row>
    <row r="44" spans="2:25" x14ac:dyDescent="0.25">
      <c r="B44" s="34" t="s">
        <v>64</v>
      </c>
      <c r="C44" s="34"/>
      <c r="D44" s="29" t="s">
        <v>30</v>
      </c>
      <c r="E44" s="33">
        <f>E42*E14*E43</f>
        <v>11202.4</v>
      </c>
      <c r="F44" s="27"/>
      <c r="G44" s="27"/>
      <c r="H44" s="26"/>
      <c r="I44" s="26"/>
      <c r="J44" s="26"/>
      <c r="K44" s="26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</row>
    <row r="45" spans="2:25" x14ac:dyDescent="0.25">
      <c r="B45" s="34" t="s">
        <v>68</v>
      </c>
      <c r="C45" s="34"/>
      <c r="D45" s="29" t="s">
        <v>63</v>
      </c>
      <c r="E45" s="60">
        <v>0.22</v>
      </c>
      <c r="F45" s="27"/>
      <c r="G45" s="27"/>
      <c r="H45" s="26"/>
      <c r="I45" s="26"/>
      <c r="J45" s="26"/>
      <c r="K45" s="26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</row>
    <row r="46" spans="2:25" x14ac:dyDescent="0.25">
      <c r="B46" s="34" t="s">
        <v>65</v>
      </c>
      <c r="C46" s="34"/>
      <c r="D46" s="29" t="s">
        <v>30</v>
      </c>
      <c r="E46" s="33">
        <f>E16*E45</f>
        <v>8237.0362800000003</v>
      </c>
      <c r="F46" s="61"/>
      <c r="G46" s="27"/>
      <c r="H46" s="26"/>
      <c r="I46" s="26"/>
      <c r="J46" s="26"/>
      <c r="K46" s="26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</row>
    <row r="47" spans="2:25" x14ac:dyDescent="0.25">
      <c r="B47" s="34" t="s">
        <v>66</v>
      </c>
      <c r="C47" s="34"/>
      <c r="D47" s="29">
        <v>0.15490000000000001</v>
      </c>
      <c r="E47" s="33">
        <f>E16*D47</f>
        <v>5799.6223626000001</v>
      </c>
      <c r="F47" s="61"/>
      <c r="G47" s="27"/>
      <c r="H47" s="26"/>
      <c r="I47" s="26"/>
      <c r="J47" s="26"/>
      <c r="K47" s="26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</row>
    <row r="48" spans="2:25" x14ac:dyDescent="0.25">
      <c r="B48" s="34"/>
      <c r="C48" s="34"/>
      <c r="D48" s="29"/>
      <c r="E48" s="33"/>
      <c r="F48" s="27"/>
      <c r="G48" s="27"/>
      <c r="H48" s="26"/>
      <c r="I48" s="26"/>
      <c r="J48" s="26"/>
      <c r="K48" s="26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</row>
    <row r="49" spans="2:25" x14ac:dyDescent="0.25">
      <c r="B49" s="28"/>
      <c r="C49" s="28"/>
      <c r="D49" s="29"/>
      <c r="E49" s="30"/>
      <c r="F49" s="27"/>
      <c r="G49" s="27"/>
      <c r="H49" s="26"/>
      <c r="I49" s="26"/>
      <c r="J49" s="26"/>
      <c r="K49" s="26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</row>
  </sheetData>
  <mergeCells count="33">
    <mergeCell ref="S19:T19"/>
    <mergeCell ref="U19:W19"/>
    <mergeCell ref="S20:T20"/>
    <mergeCell ref="U20:W20"/>
    <mergeCell ref="S21:T21"/>
    <mergeCell ref="U21:W21"/>
    <mergeCell ref="S22:T22"/>
    <mergeCell ref="U22:W22"/>
    <mergeCell ref="S26:T26"/>
    <mergeCell ref="U26:W26"/>
    <mergeCell ref="S28:T28"/>
    <mergeCell ref="U28:W28"/>
    <mergeCell ref="U29:W29"/>
    <mergeCell ref="S30:T30"/>
    <mergeCell ref="U30:W30"/>
    <mergeCell ref="S31:T31"/>
    <mergeCell ref="U31:W31"/>
    <mergeCell ref="S39:T39"/>
    <mergeCell ref="U39:W39"/>
    <mergeCell ref="B2:D2"/>
    <mergeCell ref="S36:T36"/>
    <mergeCell ref="U36:W36"/>
    <mergeCell ref="S37:T37"/>
    <mergeCell ref="U37:W37"/>
    <mergeCell ref="S38:T38"/>
    <mergeCell ref="U38:W38"/>
    <mergeCell ref="S32:T32"/>
    <mergeCell ref="U32:W32"/>
    <mergeCell ref="S33:T33"/>
    <mergeCell ref="U33:W33"/>
    <mergeCell ref="S34:T34"/>
    <mergeCell ref="U34:W34"/>
    <mergeCell ref="S29:T29"/>
  </mergeCells>
  <conditionalFormatting sqref="Q5:Q9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3A69-93A4-424E-B150-8D7DE9B16FED}">
  <dimension ref="B2:Y62"/>
  <sheetViews>
    <sheetView showGridLines="0" workbookViewId="0">
      <selection activeCell="G14" sqref="G14"/>
    </sheetView>
  </sheetViews>
  <sheetFormatPr defaultRowHeight="15" x14ac:dyDescent="0.25"/>
  <cols>
    <col min="1" max="1" width="5.5703125" customWidth="1"/>
    <col min="2" max="2" width="22.140625" customWidth="1"/>
    <col min="3" max="3" width="10.5703125" customWidth="1"/>
    <col min="4" max="4" width="19" customWidth="1"/>
    <col min="5" max="5" width="15.85546875" customWidth="1"/>
    <col min="6" max="6" width="12.5703125" customWidth="1"/>
    <col min="7" max="7" width="15" customWidth="1"/>
    <col min="8" max="9" width="11.28515625" customWidth="1"/>
    <col min="10" max="10" width="11.42578125" customWidth="1"/>
    <col min="11" max="11" width="11.5703125" customWidth="1"/>
    <col min="12" max="12" width="11" customWidth="1"/>
    <col min="13" max="13" width="10.28515625" customWidth="1"/>
    <col min="15" max="15" width="10.28515625" customWidth="1"/>
    <col min="16" max="16" width="8.7109375" customWidth="1"/>
    <col min="17" max="17" width="11.7109375" customWidth="1"/>
    <col min="18" max="18" width="11" customWidth="1"/>
    <col min="19" max="19" width="11.42578125" customWidth="1"/>
    <col min="20" max="20" width="10.42578125" customWidth="1"/>
    <col min="21" max="21" width="4.7109375" customWidth="1"/>
    <col min="22" max="22" width="11.28515625" customWidth="1"/>
    <col min="23" max="23" width="5.42578125" customWidth="1"/>
    <col min="24" max="24" width="11.28515625" customWidth="1"/>
    <col min="25" max="25" width="10.28515625" customWidth="1"/>
    <col min="26" max="26" width="9.85546875" customWidth="1"/>
  </cols>
  <sheetData>
    <row r="2" spans="2:25" x14ac:dyDescent="0.25">
      <c r="B2" s="100" t="s">
        <v>125</v>
      </c>
      <c r="C2" s="100"/>
      <c r="D2" s="100"/>
    </row>
    <row r="4" spans="2:25" ht="33.75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</row>
    <row r="5" spans="2:25" x14ac:dyDescent="0.25">
      <c r="B5" s="2" t="s">
        <v>18</v>
      </c>
      <c r="C5" s="2" t="s">
        <v>19</v>
      </c>
      <c r="D5" s="3" t="s">
        <v>49</v>
      </c>
      <c r="E5" s="4" t="s">
        <v>21</v>
      </c>
      <c r="F5" s="5">
        <v>1</v>
      </c>
      <c r="G5" s="4" t="s">
        <v>22</v>
      </c>
      <c r="H5" s="5">
        <f>1-F5</f>
        <v>0</v>
      </c>
      <c r="I5" s="6">
        <f>J5/$J$9</f>
        <v>0.19376567411357873</v>
      </c>
      <c r="J5" s="7">
        <f>N32</f>
        <v>897.63779527559052</v>
      </c>
      <c r="K5" s="7">
        <f>L5+P5+O5</f>
        <v>18145.289682942966</v>
      </c>
      <c r="L5" s="7">
        <f>F32</f>
        <v>11399.942355200001</v>
      </c>
      <c r="M5" s="7">
        <f>H32</f>
        <v>11400</v>
      </c>
      <c r="N5" s="7">
        <f>J32</f>
        <v>11559.6</v>
      </c>
      <c r="O5" s="7">
        <f>K32</f>
        <v>4206.8409277429691</v>
      </c>
      <c r="P5" s="7">
        <f>L32</f>
        <v>2538.5063999999993</v>
      </c>
      <c r="Q5" s="7">
        <v>0</v>
      </c>
      <c r="R5" s="7">
        <f>Q32</f>
        <v>101.4</v>
      </c>
      <c r="S5" s="7">
        <f>R32</f>
        <v>122.4862</v>
      </c>
    </row>
    <row r="6" spans="2:25" x14ac:dyDescent="0.25">
      <c r="B6" s="8" t="s">
        <v>18</v>
      </c>
      <c r="C6" s="8" t="s">
        <v>72</v>
      </c>
      <c r="D6" s="9" t="s">
        <v>71</v>
      </c>
      <c r="E6" s="10" t="s">
        <v>21</v>
      </c>
      <c r="F6" s="11">
        <v>0</v>
      </c>
      <c r="G6" s="10" t="s">
        <v>22</v>
      </c>
      <c r="H6" s="11">
        <f>1-F6</f>
        <v>1</v>
      </c>
      <c r="I6" s="12">
        <f>J6/$J$9</f>
        <v>0.77505877730219874</v>
      </c>
      <c r="J6" s="13">
        <f>N37</f>
        <v>3590.5330252598428</v>
      </c>
      <c r="K6" s="7">
        <f>L6+P6+O6</f>
        <v>72581.15873177188</v>
      </c>
      <c r="L6" s="13">
        <f>F37</f>
        <v>45599.769420800003</v>
      </c>
      <c r="M6" s="13">
        <f>H37</f>
        <v>45599.769420800003</v>
      </c>
      <c r="N6" s="13">
        <f>J37</f>
        <v>45599.769420800003</v>
      </c>
      <c r="O6" s="7">
        <f>K37</f>
        <v>16827.363710971877</v>
      </c>
      <c r="P6" s="7">
        <f>L37</f>
        <v>10154.025599999999</v>
      </c>
      <c r="Q6" s="7">
        <v>0</v>
      </c>
      <c r="R6" s="7">
        <f>Q37</f>
        <v>45</v>
      </c>
      <c r="S6" s="7">
        <f>R37</f>
        <v>651</v>
      </c>
    </row>
    <row r="7" spans="2:25" x14ac:dyDescent="0.25">
      <c r="B7" s="8" t="s">
        <v>18</v>
      </c>
      <c r="C7" s="8" t="s">
        <v>26</v>
      </c>
      <c r="D7" s="9" t="s">
        <v>27</v>
      </c>
      <c r="E7" s="10" t="s">
        <v>21</v>
      </c>
      <c r="F7" s="11">
        <v>0</v>
      </c>
      <c r="G7" s="10" t="s">
        <v>22</v>
      </c>
      <c r="H7" s="11">
        <f>1-F7</f>
        <v>1</v>
      </c>
      <c r="I7" s="12">
        <f>J7/$J$9</f>
        <v>3.1175548584222522E-2</v>
      </c>
      <c r="J7" s="13">
        <f>N42</f>
        <v>144.42367475905513</v>
      </c>
      <c r="K7" s="7">
        <f>L7+P7+O7</f>
        <v>2919.4656026187567</v>
      </c>
      <c r="L7" s="13">
        <f>F42</f>
        <v>1834.18066944</v>
      </c>
      <c r="M7" s="13">
        <f>H42</f>
        <v>1834.18066944</v>
      </c>
      <c r="N7" s="13">
        <f>J42</f>
        <v>1650.762602496</v>
      </c>
      <c r="O7" s="7">
        <f>K42</f>
        <v>676.85485317875703</v>
      </c>
      <c r="P7" s="7">
        <f>L42</f>
        <v>408.43007999999992</v>
      </c>
      <c r="Q7" s="7">
        <v>0</v>
      </c>
      <c r="R7" s="7">
        <v>0</v>
      </c>
      <c r="S7" s="7">
        <v>0</v>
      </c>
    </row>
    <row r="8" spans="2:25" x14ac:dyDescent="0.25">
      <c r="B8" s="14"/>
      <c r="C8" s="15"/>
      <c r="D8" s="15"/>
      <c r="E8" s="16"/>
      <c r="F8" s="16"/>
      <c r="G8" s="16"/>
      <c r="H8" s="16"/>
      <c r="I8" s="16"/>
      <c r="J8" s="16"/>
      <c r="K8" s="16"/>
      <c r="L8" s="17"/>
      <c r="M8" s="17"/>
      <c r="N8" s="16"/>
      <c r="O8" s="16"/>
      <c r="P8" s="16"/>
      <c r="Q8" s="16"/>
      <c r="R8" s="16"/>
      <c r="S8" s="16"/>
    </row>
    <row r="9" spans="2:25" ht="15.75" x14ac:dyDescent="0.25">
      <c r="B9" s="18"/>
      <c r="C9" s="18"/>
      <c r="D9" s="18"/>
      <c r="E9" s="19"/>
      <c r="F9" s="19"/>
      <c r="G9" s="19"/>
      <c r="H9" s="19"/>
      <c r="I9" s="20">
        <f>SUM(I5:I7)</f>
        <v>1</v>
      </c>
      <c r="J9" s="21">
        <f t="shared" ref="J9:Q9" si="0">SUM(J5:J8)</f>
        <v>4632.5944952944883</v>
      </c>
      <c r="K9" s="21">
        <f t="shared" si="0"/>
        <v>93645.914017333605</v>
      </c>
      <c r="L9" s="21">
        <f t="shared" si="0"/>
        <v>58833.892445440004</v>
      </c>
      <c r="M9" s="21">
        <f t="shared" si="0"/>
        <v>58833.950090240003</v>
      </c>
      <c r="N9" s="21">
        <f t="shared" si="0"/>
        <v>58810.132023295999</v>
      </c>
      <c r="O9" s="21">
        <f t="shared" si="0"/>
        <v>21711.0594918936</v>
      </c>
      <c r="P9" s="21">
        <f t="shared" si="0"/>
        <v>13100.962079999999</v>
      </c>
      <c r="Q9" s="21">
        <f t="shared" si="0"/>
        <v>0</v>
      </c>
      <c r="R9" s="21"/>
      <c r="S9" s="21">
        <f>SUM(S5:S8)</f>
        <v>773.48620000000005</v>
      </c>
    </row>
    <row r="11" spans="2:25" ht="15.75" x14ac:dyDescent="0.25">
      <c r="B11" s="22" t="s">
        <v>28</v>
      </c>
      <c r="C11" s="22"/>
      <c r="D11" s="23"/>
      <c r="E11" s="24"/>
      <c r="F11" s="25"/>
      <c r="G11" s="25"/>
      <c r="H11" s="26"/>
      <c r="I11" s="26"/>
      <c r="J11" s="26"/>
      <c r="K11" s="26"/>
      <c r="L11" s="26"/>
      <c r="M11" s="26"/>
      <c r="N11" s="26"/>
      <c r="O11" s="26"/>
      <c r="P11" s="27"/>
      <c r="Q11" s="26"/>
      <c r="R11" s="26"/>
      <c r="S11" s="26"/>
      <c r="T11" s="26"/>
      <c r="U11" s="26"/>
      <c r="V11" s="26"/>
      <c r="W11" s="26"/>
      <c r="X11" s="26"/>
      <c r="Y11" s="26"/>
    </row>
    <row r="12" spans="2:25" ht="15.75" x14ac:dyDescent="0.25">
      <c r="B12" s="28" t="s">
        <v>29</v>
      </c>
      <c r="C12" s="28"/>
      <c r="D12" s="29" t="s">
        <v>30</v>
      </c>
      <c r="E12" s="30">
        <v>4976</v>
      </c>
      <c r="F12" s="25"/>
      <c r="G12" s="25"/>
      <c r="H12" s="26"/>
      <c r="I12" s="26"/>
      <c r="J12" s="26"/>
      <c r="K12" s="26"/>
      <c r="L12" s="26"/>
      <c r="M12" s="26"/>
      <c r="N12" s="26"/>
      <c r="O12" s="26"/>
      <c r="P12" s="27"/>
      <c r="Q12" s="26"/>
      <c r="R12" s="26"/>
      <c r="S12" s="26"/>
      <c r="T12" s="26"/>
      <c r="U12" s="26"/>
      <c r="V12" s="26"/>
      <c r="W12" s="26"/>
      <c r="X12" s="26"/>
      <c r="Y12" s="26"/>
    </row>
    <row r="13" spans="2:25" ht="15.75" x14ac:dyDescent="0.25">
      <c r="B13" s="28" t="s">
        <v>31</v>
      </c>
      <c r="C13" s="28"/>
      <c r="D13" s="29" t="s">
        <v>32</v>
      </c>
      <c r="E13" s="31">
        <v>12.7988</v>
      </c>
      <c r="F13" s="25"/>
      <c r="G13" s="32"/>
      <c r="H13" s="26"/>
      <c r="I13" s="26"/>
      <c r="J13" s="26"/>
      <c r="K13" s="26"/>
      <c r="L13" s="26"/>
      <c r="M13" s="26"/>
      <c r="N13" s="26"/>
      <c r="O13" s="26"/>
      <c r="P13" s="27"/>
      <c r="Q13" s="26"/>
      <c r="R13" s="26"/>
      <c r="S13" s="26"/>
      <c r="T13" s="26"/>
      <c r="U13" s="26"/>
      <c r="V13" s="26"/>
      <c r="W13" s="26"/>
      <c r="X13" s="26"/>
      <c r="Y13" s="26"/>
    </row>
    <row r="14" spans="2:25" ht="15.75" x14ac:dyDescent="0.25">
      <c r="B14" s="28" t="s">
        <v>33</v>
      </c>
      <c r="C14" s="28"/>
      <c r="D14" s="29" t="s">
        <v>30</v>
      </c>
      <c r="E14" s="33">
        <f>E12*E13</f>
        <v>63686.828800000003</v>
      </c>
      <c r="F14" s="25"/>
      <c r="G14" s="25"/>
      <c r="H14" s="26"/>
      <c r="I14" s="26"/>
      <c r="J14" s="26"/>
      <c r="K14" s="26"/>
      <c r="L14" s="26"/>
      <c r="M14" s="26"/>
      <c r="N14" s="26"/>
      <c r="O14" s="26"/>
      <c r="P14" s="27"/>
      <c r="Q14" s="26"/>
      <c r="R14" s="26"/>
      <c r="S14" s="26"/>
      <c r="T14" s="26"/>
      <c r="U14" s="26"/>
      <c r="V14" s="26"/>
      <c r="W14" s="26"/>
      <c r="X14" s="26"/>
      <c r="Y14" s="26"/>
    </row>
    <row r="15" spans="2:25" ht="15.75" x14ac:dyDescent="0.25">
      <c r="B15" s="28"/>
      <c r="C15" s="28"/>
      <c r="D15" s="29"/>
      <c r="E15" s="30"/>
      <c r="F15" s="25"/>
      <c r="G15" s="25"/>
      <c r="H15" s="26"/>
      <c r="I15" s="26"/>
      <c r="J15" s="26"/>
      <c r="K15" s="26"/>
      <c r="L15" s="26"/>
      <c r="M15" s="26"/>
      <c r="N15" s="26"/>
      <c r="O15" s="26"/>
      <c r="P15" s="27"/>
      <c r="Q15" s="26"/>
      <c r="R15" s="26"/>
      <c r="S15" s="26"/>
      <c r="T15" s="26"/>
      <c r="U15" s="26"/>
      <c r="V15" s="26"/>
      <c r="W15" s="26"/>
      <c r="X15" s="26"/>
      <c r="Y15" s="26"/>
    </row>
    <row r="16" spans="2:25" x14ac:dyDescent="0.25">
      <c r="B16" s="22" t="s">
        <v>34</v>
      </c>
      <c r="C16" s="24"/>
      <c r="D16" s="23"/>
      <c r="E16" s="23"/>
      <c r="F16" s="23"/>
      <c r="G16" s="23"/>
      <c r="H16" s="23"/>
      <c r="I16" s="23"/>
      <c r="J16" s="23"/>
      <c r="K16" s="23"/>
      <c r="L16" s="27"/>
      <c r="M16" s="27"/>
      <c r="N16" s="27"/>
      <c r="O16" s="27"/>
      <c r="P16" s="27"/>
      <c r="Q16" s="23"/>
      <c r="R16" s="23"/>
      <c r="S16" s="85"/>
      <c r="T16" s="85"/>
      <c r="U16" s="86"/>
      <c r="V16" s="86"/>
      <c r="W16" s="86"/>
      <c r="X16" s="36"/>
      <c r="Y16" s="36"/>
    </row>
    <row r="17" spans="2:25" x14ac:dyDescent="0.25">
      <c r="B17" s="37" t="s">
        <v>35</v>
      </c>
      <c r="C17" s="38"/>
      <c r="D17" s="38"/>
      <c r="E17" s="39" t="s">
        <v>36</v>
      </c>
      <c r="F17" s="39" t="s">
        <v>37</v>
      </c>
      <c r="G17" s="39" t="s">
        <v>38</v>
      </c>
      <c r="H17" s="39" t="s">
        <v>11</v>
      </c>
      <c r="I17" s="39" t="s">
        <v>39</v>
      </c>
      <c r="J17" s="39" t="s">
        <v>12</v>
      </c>
      <c r="K17" s="39" t="s">
        <v>13</v>
      </c>
      <c r="L17" s="39" t="s">
        <v>40</v>
      </c>
      <c r="M17" s="39" t="s">
        <v>41</v>
      </c>
      <c r="N17" s="39" t="s">
        <v>0</v>
      </c>
      <c r="O17" s="39" t="s">
        <v>42</v>
      </c>
      <c r="P17" s="27"/>
      <c r="Q17" s="26" t="s">
        <v>43</v>
      </c>
      <c r="R17" s="26" t="s">
        <v>44</v>
      </c>
      <c r="S17" s="96" t="s">
        <v>45</v>
      </c>
      <c r="T17" s="96"/>
      <c r="U17" s="96" t="s">
        <v>46</v>
      </c>
      <c r="V17" s="96"/>
      <c r="W17" s="96"/>
      <c r="X17" s="26" t="s">
        <v>47</v>
      </c>
      <c r="Y17" s="26" t="s">
        <v>48</v>
      </c>
    </row>
    <row r="18" spans="2:25" x14ac:dyDescent="0.25">
      <c r="B18" s="34" t="s">
        <v>70</v>
      </c>
      <c r="C18" s="34"/>
      <c r="D18" s="34"/>
      <c r="E18" s="79">
        <f>F37/E14</f>
        <v>0.71599999999999997</v>
      </c>
      <c r="F18" s="30">
        <v>45600</v>
      </c>
      <c r="G18" s="41">
        <v>1</v>
      </c>
      <c r="H18" s="78">
        <f>H37</f>
        <v>45599.769420800003</v>
      </c>
      <c r="I18" s="41">
        <v>1</v>
      </c>
      <c r="J18" s="33">
        <f>H18*I18</f>
        <v>45599.769420800003</v>
      </c>
      <c r="K18" s="33">
        <f>E18*E49</f>
        <v>16827.363710971877</v>
      </c>
      <c r="L18" s="33">
        <f>E47*E18</f>
        <v>10154.025599999999</v>
      </c>
      <c r="M18" s="33">
        <f>F18+L18+K18</f>
        <v>72581.389310971877</v>
      </c>
      <c r="N18" s="78">
        <f>N37</f>
        <v>3590.5330252598428</v>
      </c>
      <c r="O18" s="42">
        <f>F18/N18</f>
        <v>12.70006421865455</v>
      </c>
      <c r="P18" s="27"/>
      <c r="Q18" s="78">
        <f>Q36</f>
        <v>45</v>
      </c>
      <c r="R18" s="33">
        <f>R37</f>
        <v>651</v>
      </c>
      <c r="U18" s="26"/>
      <c r="V18" s="26"/>
      <c r="W18" s="26"/>
      <c r="X18" s="26"/>
      <c r="Y18" s="26"/>
    </row>
    <row r="19" spans="2:25" x14ac:dyDescent="0.25">
      <c r="B19" s="34" t="s">
        <v>49</v>
      </c>
      <c r="C19" s="34"/>
      <c r="D19" s="34"/>
      <c r="E19" s="40">
        <f>F32/$E$14</f>
        <v>0.17899999999999999</v>
      </c>
      <c r="F19" s="30">
        <v>11400</v>
      </c>
      <c r="G19" s="41">
        <v>1</v>
      </c>
      <c r="H19" s="33">
        <f>H32</f>
        <v>11400</v>
      </c>
      <c r="I19" s="41">
        <v>1.014</v>
      </c>
      <c r="J19" s="33">
        <f>H19*I19</f>
        <v>11559.6</v>
      </c>
      <c r="K19" s="33">
        <f>E19*$E$49</f>
        <v>4206.8409277429691</v>
      </c>
      <c r="L19" s="33">
        <f>$E$47*E19</f>
        <v>2538.5063999999998</v>
      </c>
      <c r="M19" s="33">
        <f>F19+L19+K19</f>
        <v>18145.347327742969</v>
      </c>
      <c r="N19" s="33">
        <f>N32</f>
        <v>897.63779527559052</v>
      </c>
      <c r="O19" s="42">
        <f>F19/N19</f>
        <v>12.700000000000001</v>
      </c>
      <c r="P19" s="27"/>
      <c r="Q19" s="33">
        <f>Q32</f>
        <v>101.4</v>
      </c>
      <c r="R19" s="33">
        <f>R32</f>
        <v>122.4862</v>
      </c>
      <c r="S19" s="101"/>
      <c r="T19" s="101"/>
      <c r="U19" s="91"/>
      <c r="V19" s="91"/>
      <c r="W19" s="91"/>
      <c r="X19" s="33"/>
      <c r="Y19" s="44"/>
    </row>
    <row r="20" spans="2:25" x14ac:dyDescent="0.25">
      <c r="B20" s="34" t="s">
        <v>26</v>
      </c>
      <c r="C20" s="34"/>
      <c r="D20" s="34"/>
      <c r="E20" s="40">
        <f>F42/E14</f>
        <v>2.8799999999999999E-2</v>
      </c>
      <c r="F20" s="30">
        <v>1834</v>
      </c>
      <c r="G20" s="41">
        <v>1</v>
      </c>
      <c r="H20" s="33">
        <f>H42</f>
        <v>1834.18066944</v>
      </c>
      <c r="I20" s="41">
        <v>1</v>
      </c>
      <c r="J20" s="33">
        <f>H20*I20</f>
        <v>1834.18066944</v>
      </c>
      <c r="K20" s="33">
        <f>E20*$E$49</f>
        <v>676.85485317875703</v>
      </c>
      <c r="L20" s="33">
        <f>$E$47*E20</f>
        <v>408.43007999999992</v>
      </c>
      <c r="M20" s="33">
        <f>F20+L20+K20</f>
        <v>2919.284933178757</v>
      </c>
      <c r="N20" s="33">
        <f>N42</f>
        <v>144.42367475905513</v>
      </c>
      <c r="O20" s="42">
        <f>O19</f>
        <v>12.700000000000001</v>
      </c>
      <c r="P20" s="27"/>
      <c r="Q20" s="30">
        <v>0</v>
      </c>
      <c r="R20" s="44">
        <f>IFERROR(J20/Q20,0)</f>
        <v>0</v>
      </c>
      <c r="S20" s="99"/>
      <c r="T20" s="99"/>
      <c r="U20" s="91"/>
      <c r="V20" s="91"/>
      <c r="W20" s="91"/>
      <c r="X20" s="33"/>
      <c r="Y20" s="45"/>
    </row>
    <row r="21" spans="2:25" x14ac:dyDescent="0.25">
      <c r="B21" s="34" t="s">
        <v>50</v>
      </c>
      <c r="C21" s="34"/>
      <c r="D21" s="34"/>
      <c r="E21" s="41"/>
      <c r="F21" s="30">
        <f>E47</f>
        <v>14181.599999999999</v>
      </c>
      <c r="G21" s="41">
        <v>0</v>
      </c>
      <c r="H21" s="33">
        <f>F21*G21</f>
        <v>0</v>
      </c>
      <c r="I21" s="41"/>
      <c r="J21" s="33"/>
      <c r="K21" s="33"/>
      <c r="L21" s="33"/>
      <c r="M21" s="33"/>
      <c r="N21" s="33"/>
      <c r="O21" s="46"/>
      <c r="P21" s="27"/>
      <c r="Q21" s="30"/>
      <c r="R21" s="44"/>
      <c r="S21" s="47"/>
      <c r="T21" s="47"/>
      <c r="U21" s="43"/>
      <c r="V21" s="43"/>
      <c r="W21" s="43"/>
      <c r="X21" s="33"/>
      <c r="Y21" s="45"/>
    </row>
    <row r="22" spans="2:25" x14ac:dyDescent="0.25">
      <c r="B22" s="34" t="s">
        <v>51</v>
      </c>
      <c r="C22" s="34"/>
      <c r="D22" s="34"/>
      <c r="E22" s="41"/>
      <c r="F22" s="30">
        <f>E49</f>
        <v>23501.904624262399</v>
      </c>
      <c r="G22" s="41">
        <v>0</v>
      </c>
      <c r="H22" s="33">
        <f>F22*G22</f>
        <v>0</v>
      </c>
      <c r="I22" s="41"/>
      <c r="J22" s="33"/>
      <c r="K22" s="33"/>
      <c r="L22" s="33"/>
      <c r="M22" s="33"/>
      <c r="N22" s="33"/>
      <c r="O22" s="46"/>
      <c r="P22" s="27"/>
      <c r="Q22" s="30"/>
      <c r="R22" s="44"/>
      <c r="S22" s="47"/>
      <c r="T22" s="47"/>
      <c r="U22" s="43"/>
      <c r="V22" s="43"/>
      <c r="W22" s="43"/>
      <c r="X22" s="33"/>
      <c r="Y22" s="45"/>
    </row>
    <row r="23" spans="2:25" x14ac:dyDescent="0.25">
      <c r="B23" s="34" t="s">
        <v>52</v>
      </c>
      <c r="F23" s="30">
        <v>22002</v>
      </c>
      <c r="G23" s="48">
        <v>0</v>
      </c>
      <c r="H23" s="33">
        <f>F23*G23</f>
        <v>0</v>
      </c>
    </row>
    <row r="24" spans="2:25" x14ac:dyDescent="0.25">
      <c r="B24" s="37" t="s">
        <v>53</v>
      </c>
      <c r="C24" s="37"/>
      <c r="D24" s="37"/>
      <c r="E24" s="49">
        <f>SUM(E18:E20)</f>
        <v>0.92380000000000007</v>
      </c>
      <c r="F24" s="50">
        <f>SUM(F18:F22)</f>
        <v>96517.504624262408</v>
      </c>
      <c r="G24" s="49">
        <f>H24/E14</f>
        <v>0.9238009051290681</v>
      </c>
      <c r="H24" s="50">
        <f>SUM(H18:H20)</f>
        <v>58833.950090240003</v>
      </c>
      <c r="I24" s="49">
        <f>J24/H24</f>
        <v>1.00271271943759</v>
      </c>
      <c r="J24" s="50">
        <f>SUM(J18:J20)</f>
        <v>58993.550090240002</v>
      </c>
      <c r="K24" s="50">
        <f>SUM(K18:K20)</f>
        <v>21711.0594918936</v>
      </c>
      <c r="L24" s="50">
        <f>SUM(L18:L20)</f>
        <v>13100.962079999999</v>
      </c>
      <c r="M24" s="50">
        <f>SUM(M18:M20)</f>
        <v>93646.021571893609</v>
      </c>
      <c r="N24" s="50">
        <f>SUM(N18:N20)</f>
        <v>4632.5944952944883</v>
      </c>
      <c r="O24" s="51"/>
      <c r="P24" s="27"/>
      <c r="Q24" s="52"/>
      <c r="R24" s="52">
        <f>SUM(R18:R20)</f>
        <v>773.48620000000005</v>
      </c>
      <c r="S24" s="92"/>
      <c r="T24" s="92"/>
      <c r="U24" s="93">
        <f>SUM(U19:W20)</f>
        <v>0</v>
      </c>
      <c r="V24" s="93"/>
      <c r="W24" s="93"/>
      <c r="X24" s="50">
        <f>SUM(X19:X20)</f>
        <v>0</v>
      </c>
      <c r="Y24" s="50"/>
    </row>
    <row r="25" spans="2:25" x14ac:dyDescent="0.25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7"/>
      <c r="M25" s="27"/>
      <c r="N25" s="27"/>
      <c r="O25" s="27"/>
      <c r="P25" s="27"/>
      <c r="Q25" s="27"/>
      <c r="R25" s="27"/>
      <c r="S25" s="26"/>
      <c r="T25" s="26"/>
      <c r="U25" s="26"/>
      <c r="V25" s="26"/>
      <c r="W25" s="27"/>
      <c r="X25" s="26"/>
      <c r="Y25" s="26"/>
    </row>
    <row r="26" spans="2:25" x14ac:dyDescent="0.25">
      <c r="B26" s="22" t="s">
        <v>49</v>
      </c>
      <c r="C26" s="24"/>
      <c r="D26" s="53">
        <v>0.17899999999999999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3"/>
      <c r="R26" s="23"/>
      <c r="S26" s="85"/>
      <c r="T26" s="85"/>
      <c r="U26" s="86"/>
      <c r="V26" s="86"/>
      <c r="W26" s="86"/>
      <c r="X26" s="36"/>
      <c r="Y26" s="36"/>
    </row>
    <row r="27" spans="2:25" x14ac:dyDescent="0.25">
      <c r="B27" s="54" t="s">
        <v>54</v>
      </c>
      <c r="C27" s="27"/>
      <c r="D27" s="27"/>
      <c r="E27" s="39" t="s">
        <v>36</v>
      </c>
      <c r="F27" s="39" t="s">
        <v>37</v>
      </c>
      <c r="G27" s="39" t="s">
        <v>38</v>
      </c>
      <c r="H27" s="39" t="s">
        <v>11</v>
      </c>
      <c r="I27" s="39" t="s">
        <v>39</v>
      </c>
      <c r="J27" s="39" t="s">
        <v>12</v>
      </c>
      <c r="K27" s="39" t="s">
        <v>13</v>
      </c>
      <c r="L27" s="39" t="s">
        <v>40</v>
      </c>
      <c r="M27" s="39" t="s">
        <v>41</v>
      </c>
      <c r="N27" s="39" t="s">
        <v>0</v>
      </c>
      <c r="O27" s="39" t="s">
        <v>42</v>
      </c>
      <c r="P27" s="27"/>
      <c r="Q27" s="26" t="s">
        <v>43</v>
      </c>
      <c r="R27" s="26" t="s">
        <v>44</v>
      </c>
      <c r="S27" s="94" t="s">
        <v>45</v>
      </c>
      <c r="T27" s="94"/>
      <c r="U27" s="91" t="s">
        <v>46</v>
      </c>
      <c r="V27" s="91"/>
      <c r="W27" s="91"/>
      <c r="X27" s="26" t="s">
        <v>47</v>
      </c>
      <c r="Y27" s="26" t="s">
        <v>47</v>
      </c>
    </row>
    <row r="28" spans="2:25" x14ac:dyDescent="0.25">
      <c r="B28" s="34" t="s">
        <v>20</v>
      </c>
      <c r="C28" s="27"/>
      <c r="D28" s="27"/>
      <c r="E28" s="41">
        <v>7.0000000000000007E-2</v>
      </c>
      <c r="F28" s="33">
        <f>E28*$F$19</f>
        <v>798.00000000000011</v>
      </c>
      <c r="G28" s="41">
        <v>1</v>
      </c>
      <c r="H28" s="33">
        <f>F28*G28</f>
        <v>798.00000000000011</v>
      </c>
      <c r="I28" s="55">
        <v>1.014</v>
      </c>
      <c r="J28" s="33">
        <f>H28*I28</f>
        <v>809.17200000000014</v>
      </c>
      <c r="K28" s="33">
        <f>$E$49*E28*$E$19</f>
        <v>294.47886494200787</v>
      </c>
      <c r="L28" s="33">
        <f>$E$47*E28*$E$19</f>
        <v>177.695448</v>
      </c>
      <c r="M28" s="33">
        <f>F28+L28+K28</f>
        <v>1270.1743129420081</v>
      </c>
      <c r="N28" s="33">
        <f>F28/O28</f>
        <v>62.834645669291348</v>
      </c>
      <c r="O28" s="46">
        <v>12.7</v>
      </c>
      <c r="P28" s="27"/>
      <c r="Q28" s="30">
        <v>60</v>
      </c>
      <c r="R28" s="44">
        <f>IFERROR(J28/Q28,0)</f>
        <v>13.486200000000002</v>
      </c>
      <c r="S28" s="98"/>
      <c r="T28" s="98"/>
      <c r="U28" s="91"/>
      <c r="V28" s="91"/>
      <c r="W28" s="91"/>
      <c r="X28" s="33"/>
      <c r="Y28" s="43"/>
    </row>
    <row r="29" spans="2:25" x14ac:dyDescent="0.25">
      <c r="B29" s="34" t="s">
        <v>56</v>
      </c>
      <c r="C29" s="27"/>
      <c r="D29" s="27"/>
      <c r="E29" s="41">
        <v>0.48</v>
      </c>
      <c r="F29" s="33">
        <f>E29*$F$19</f>
        <v>5472</v>
      </c>
      <c r="G29" s="41">
        <v>1</v>
      </c>
      <c r="H29" s="33">
        <f>F29*G29</f>
        <v>5472</v>
      </c>
      <c r="I29" s="55">
        <v>1.014</v>
      </c>
      <c r="J29" s="33">
        <f>H29*I29</f>
        <v>5548.6080000000002</v>
      </c>
      <c r="K29" s="33">
        <f>$E$49*E29*$E$19</f>
        <v>2019.2836453166251</v>
      </c>
      <c r="L29" s="33">
        <f>$E$47*E29*$E$19</f>
        <v>1218.4830719999998</v>
      </c>
      <c r="M29" s="33">
        <f>F29+L29+K29</f>
        <v>8709.7667173166246</v>
      </c>
      <c r="N29" s="33">
        <f>F29/O29</f>
        <v>430.8661417322835</v>
      </c>
      <c r="O29" s="46">
        <v>12.7</v>
      </c>
      <c r="P29" s="27"/>
      <c r="Q29" s="30">
        <v>80</v>
      </c>
      <c r="R29" s="44">
        <v>69</v>
      </c>
      <c r="S29" s="98"/>
      <c r="T29" s="98"/>
      <c r="U29" s="91"/>
      <c r="V29" s="91"/>
      <c r="W29" s="91"/>
      <c r="X29" s="33"/>
      <c r="Y29" s="45"/>
    </row>
    <row r="30" spans="2:25" x14ac:dyDescent="0.25">
      <c r="B30" s="34" t="s">
        <v>57</v>
      </c>
      <c r="C30" s="27"/>
      <c r="D30" s="27"/>
      <c r="E30" s="41">
        <v>0.28999999999999998</v>
      </c>
      <c r="F30" s="33">
        <f>E30*$F$19</f>
        <v>3305.9999999999995</v>
      </c>
      <c r="G30" s="41">
        <v>1</v>
      </c>
      <c r="H30" s="33">
        <f>F30*G30</f>
        <v>3305.9999999999995</v>
      </c>
      <c r="I30" s="55">
        <v>1.014</v>
      </c>
      <c r="J30" s="33">
        <f>H30*I30</f>
        <v>3352.2839999999997</v>
      </c>
      <c r="K30" s="33">
        <f>$E$49*E30*$E$19</f>
        <v>1219.983869045461</v>
      </c>
      <c r="L30" s="33">
        <f>$E$47*E30*$E$19</f>
        <v>736.16685599999971</v>
      </c>
      <c r="M30" s="33">
        <f>F30+L30+K30</f>
        <v>5262.1507250454606</v>
      </c>
      <c r="N30" s="33">
        <f>F30/O30</f>
        <v>260.31496062992125</v>
      </c>
      <c r="O30" s="46">
        <v>12.7</v>
      </c>
      <c r="P30" s="27"/>
      <c r="Q30" s="30">
        <v>120</v>
      </c>
      <c r="R30" s="44">
        <v>28</v>
      </c>
      <c r="S30" s="98"/>
      <c r="T30" s="98"/>
      <c r="U30" s="91"/>
      <c r="V30" s="91"/>
      <c r="W30" s="91"/>
      <c r="X30" s="33"/>
      <c r="Y30" s="45"/>
    </row>
    <row r="31" spans="2:25" x14ac:dyDescent="0.25">
      <c r="B31" s="34" t="s">
        <v>58</v>
      </c>
      <c r="C31" s="27"/>
      <c r="D31" s="27"/>
      <c r="E31" s="41">
        <v>0.16</v>
      </c>
      <c r="F31" s="33">
        <f>E31*$F$19</f>
        <v>1824</v>
      </c>
      <c r="G31" s="41">
        <v>1</v>
      </c>
      <c r="H31" s="33">
        <f>F31*G31</f>
        <v>1824</v>
      </c>
      <c r="I31" s="55">
        <v>1.014</v>
      </c>
      <c r="J31" s="33">
        <f>H31*I31</f>
        <v>1849.5360000000001</v>
      </c>
      <c r="K31" s="33">
        <f>$E$49*E31*$E$19</f>
        <v>673.09454843887511</v>
      </c>
      <c r="L31" s="33">
        <f>$E$47*E31*$E$19</f>
        <v>406.161024</v>
      </c>
      <c r="M31" s="33">
        <f>F31+L31+K31</f>
        <v>2903.2555724388749</v>
      </c>
      <c r="N31" s="33">
        <f>F31/O31</f>
        <v>143.62204724409449</v>
      </c>
      <c r="O31" s="46">
        <v>12.7</v>
      </c>
      <c r="P31" s="27"/>
      <c r="Q31" s="30">
        <v>150</v>
      </c>
      <c r="R31" s="44">
        <v>12</v>
      </c>
      <c r="S31" s="98"/>
      <c r="T31" s="98"/>
      <c r="U31" s="91"/>
      <c r="V31" s="91"/>
      <c r="W31" s="91"/>
      <c r="X31" s="33"/>
      <c r="Y31" s="45"/>
    </row>
    <row r="32" spans="2:25" x14ac:dyDescent="0.25">
      <c r="B32" s="37" t="s">
        <v>59</v>
      </c>
      <c r="C32" s="56"/>
      <c r="D32" s="56"/>
      <c r="E32" s="49">
        <f>SUM(E28:E31)</f>
        <v>1</v>
      </c>
      <c r="F32" s="50">
        <f>D26*$E$14</f>
        <v>11399.942355200001</v>
      </c>
      <c r="G32" s="49">
        <f>H32/(D26*H19)</f>
        <v>5.5865921787709496</v>
      </c>
      <c r="H32" s="50">
        <f>SUM(H28:H31)</f>
        <v>11400</v>
      </c>
      <c r="I32" s="49">
        <f>J32/H32</f>
        <v>1.014</v>
      </c>
      <c r="J32" s="50">
        <f>SUM(J28:J31)</f>
        <v>11559.6</v>
      </c>
      <c r="K32" s="50">
        <f>SUM(K28:K31)</f>
        <v>4206.8409277429691</v>
      </c>
      <c r="L32" s="50">
        <f>SUM(L28:L31)</f>
        <v>2538.5063999999993</v>
      </c>
      <c r="M32" s="50">
        <f>SUM(M28:M31)</f>
        <v>18145.347327742966</v>
      </c>
      <c r="N32" s="50">
        <f>SUM(N28:N31)</f>
        <v>897.63779527559052</v>
      </c>
      <c r="O32" s="51">
        <f>F32/N32</f>
        <v>12.699935781670177</v>
      </c>
      <c r="P32" s="27"/>
      <c r="Q32" s="52">
        <f>SUMPRODUCT(E28:E31,Q28:Q31)</f>
        <v>101.4</v>
      </c>
      <c r="R32" s="52">
        <f>SUM(R28:R31)</f>
        <v>122.4862</v>
      </c>
      <c r="S32" s="92">
        <f>U32/R32</f>
        <v>0</v>
      </c>
      <c r="T32" s="92"/>
      <c r="U32" s="93">
        <f>SUM(U28:U31)</f>
        <v>0</v>
      </c>
      <c r="V32" s="93"/>
      <c r="W32" s="93"/>
      <c r="X32" s="50">
        <f>SUM(X28:X31)</f>
        <v>0</v>
      </c>
      <c r="Y32" s="50">
        <v>0</v>
      </c>
    </row>
    <row r="33" spans="2:25" x14ac:dyDescent="0.25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7"/>
      <c r="N33" s="27"/>
      <c r="O33" s="27"/>
      <c r="P33" s="27"/>
      <c r="Q33" s="27"/>
      <c r="R33" s="27"/>
      <c r="S33" s="27"/>
      <c r="T33" s="26"/>
      <c r="U33" s="26"/>
      <c r="V33" s="26"/>
      <c r="W33" s="26"/>
      <c r="X33" s="26"/>
      <c r="Y33" s="26"/>
    </row>
    <row r="34" spans="2:25" x14ac:dyDescent="0.25">
      <c r="B34" s="22" t="s">
        <v>26</v>
      </c>
      <c r="C34" s="24"/>
      <c r="D34" s="53">
        <v>0.71599999999999997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7"/>
      <c r="Q34" s="23"/>
      <c r="R34" s="23"/>
      <c r="S34" s="85"/>
      <c r="T34" s="85"/>
      <c r="U34" s="86"/>
      <c r="V34" s="86"/>
      <c r="W34" s="86"/>
      <c r="X34" s="36"/>
      <c r="Y34" s="36"/>
    </row>
    <row r="35" spans="2:25" x14ac:dyDescent="0.25">
      <c r="B35" s="54" t="s">
        <v>54</v>
      </c>
      <c r="C35" s="27"/>
      <c r="D35" s="27"/>
      <c r="E35" s="39" t="s">
        <v>36</v>
      </c>
      <c r="F35" s="39" t="s">
        <v>37</v>
      </c>
      <c r="G35" s="39" t="s">
        <v>38</v>
      </c>
      <c r="H35" s="39" t="s">
        <v>11</v>
      </c>
      <c r="I35" s="39" t="s">
        <v>39</v>
      </c>
      <c r="J35" s="39" t="s">
        <v>12</v>
      </c>
      <c r="K35" s="39" t="s">
        <v>13</v>
      </c>
      <c r="L35" s="39" t="s">
        <v>40</v>
      </c>
      <c r="M35" s="39" t="s">
        <v>41</v>
      </c>
      <c r="N35" s="39" t="s">
        <v>0</v>
      </c>
      <c r="O35" s="39" t="s">
        <v>42</v>
      </c>
      <c r="P35" s="27"/>
      <c r="Q35" s="26" t="s">
        <v>43</v>
      </c>
      <c r="R35" s="26" t="s">
        <v>44</v>
      </c>
      <c r="S35" s="94" t="s">
        <v>45</v>
      </c>
      <c r="T35" s="94"/>
      <c r="U35" s="91" t="s">
        <v>46</v>
      </c>
      <c r="V35" s="91"/>
      <c r="W35" s="91"/>
      <c r="X35" s="26" t="s">
        <v>47</v>
      </c>
      <c r="Y35" s="26" t="s">
        <v>47</v>
      </c>
    </row>
    <row r="36" spans="2:25" x14ac:dyDescent="0.25">
      <c r="B36" s="34" t="s">
        <v>70</v>
      </c>
      <c r="C36" s="27"/>
      <c r="D36" s="27"/>
      <c r="E36" s="41">
        <v>0.71599999999999997</v>
      </c>
      <c r="F36" s="33">
        <f>E14*E36</f>
        <v>45599.769420800003</v>
      </c>
      <c r="G36" s="41">
        <v>1</v>
      </c>
      <c r="H36" s="33">
        <f>F36*G36</f>
        <v>45599.769420800003</v>
      </c>
      <c r="I36" s="55">
        <v>1</v>
      </c>
      <c r="J36" s="33">
        <f>H36*I36</f>
        <v>45599.769420800003</v>
      </c>
      <c r="K36" s="33">
        <f>E49*E36</f>
        <v>16827.363710971877</v>
      </c>
      <c r="L36" s="33">
        <f>E47*E36</f>
        <v>10154.025599999999</v>
      </c>
      <c r="M36" s="33">
        <f>F36+K36+L36</f>
        <v>72581.15873177188</v>
      </c>
      <c r="N36" s="33">
        <f>H36/O36</f>
        <v>3590.5330252598428</v>
      </c>
      <c r="O36" s="46">
        <v>12.7</v>
      </c>
      <c r="P36" s="27"/>
      <c r="Q36" s="30">
        <v>45</v>
      </c>
      <c r="R36" s="44">
        <v>651</v>
      </c>
      <c r="S36" s="98">
        <v>0</v>
      </c>
      <c r="T36" s="98"/>
      <c r="U36" s="91">
        <f>S36*R36</f>
        <v>0</v>
      </c>
      <c r="V36" s="91"/>
      <c r="W36" s="91"/>
      <c r="X36" s="33">
        <v>0</v>
      </c>
      <c r="Y36" s="45">
        <v>0</v>
      </c>
    </row>
    <row r="37" spans="2:25" x14ac:dyDescent="0.25">
      <c r="B37" s="37" t="s">
        <v>59</v>
      </c>
      <c r="C37" s="56"/>
      <c r="D37" s="56"/>
      <c r="E37" s="49">
        <f>SUM(E36:E36)</f>
        <v>0.71599999999999997</v>
      </c>
      <c r="F37" s="50">
        <f>D34*$E$14</f>
        <v>45599.769420800003</v>
      </c>
      <c r="G37" s="49">
        <f>G36</f>
        <v>1</v>
      </c>
      <c r="H37" s="50">
        <f>SUM(H36:H36)</f>
        <v>45599.769420800003</v>
      </c>
      <c r="I37" s="49">
        <f>J37/H37</f>
        <v>1</v>
      </c>
      <c r="J37" s="50">
        <f>SUM(J36:J36)</f>
        <v>45599.769420800003</v>
      </c>
      <c r="K37" s="50">
        <f>SUM(K36:K36)</f>
        <v>16827.363710971877</v>
      </c>
      <c r="L37" s="50">
        <f>SUM(L36:L36)</f>
        <v>10154.025599999999</v>
      </c>
      <c r="M37" s="50">
        <f>SUM(M36:M36)</f>
        <v>72581.15873177188</v>
      </c>
      <c r="N37" s="50">
        <f>SUM(N36:N36)</f>
        <v>3590.5330252598428</v>
      </c>
      <c r="O37" s="51">
        <f>F37/N37</f>
        <v>12.7</v>
      </c>
      <c r="P37" s="27"/>
      <c r="Q37" s="52">
        <f>Q36</f>
        <v>45</v>
      </c>
      <c r="R37" s="52">
        <f>SUM(R36:R36)</f>
        <v>651</v>
      </c>
      <c r="S37" s="92">
        <f>U37/R37</f>
        <v>0</v>
      </c>
      <c r="T37" s="92"/>
      <c r="U37" s="93">
        <f>SUM(U36:U36)</f>
        <v>0</v>
      </c>
      <c r="V37" s="93"/>
      <c r="W37" s="93"/>
      <c r="X37" s="50">
        <f>SUM(X36:X36)</f>
        <v>0</v>
      </c>
      <c r="Y37" s="50">
        <v>0</v>
      </c>
    </row>
    <row r="38" spans="2:25" x14ac:dyDescent="0.25">
      <c r="B38" s="54"/>
      <c r="C38" s="77"/>
      <c r="D38" s="77"/>
      <c r="E38" s="76"/>
      <c r="F38" s="72"/>
      <c r="G38" s="76"/>
      <c r="H38" s="72"/>
      <c r="I38" s="76"/>
      <c r="J38" s="72"/>
      <c r="K38" s="72"/>
      <c r="L38" s="72"/>
      <c r="M38" s="72"/>
      <c r="N38" s="72"/>
      <c r="O38" s="75"/>
      <c r="P38" s="27"/>
      <c r="Q38" s="73"/>
      <c r="R38" s="73"/>
      <c r="S38" s="74"/>
      <c r="T38" s="74"/>
      <c r="U38" s="73"/>
      <c r="V38" s="73"/>
      <c r="W38" s="73"/>
      <c r="X38" s="72"/>
      <c r="Y38" s="72"/>
    </row>
    <row r="39" spans="2:25" x14ac:dyDescent="0.25">
      <c r="B39" s="22" t="s">
        <v>26</v>
      </c>
      <c r="C39" s="24"/>
      <c r="D39" s="53">
        <v>2.8799999999999999E-2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7"/>
      <c r="Q39" s="23"/>
      <c r="R39" s="23"/>
      <c r="S39" s="85"/>
      <c r="T39" s="85"/>
      <c r="U39" s="86"/>
      <c r="V39" s="86"/>
      <c r="W39" s="86"/>
      <c r="X39" s="36"/>
      <c r="Y39" s="36"/>
    </row>
    <row r="40" spans="2:25" x14ac:dyDescent="0.25">
      <c r="B40" s="54" t="s">
        <v>54</v>
      </c>
      <c r="C40" s="27"/>
      <c r="D40" s="27"/>
      <c r="E40" s="39" t="s">
        <v>36</v>
      </c>
      <c r="F40" s="39" t="s">
        <v>37</v>
      </c>
      <c r="G40" s="39" t="s">
        <v>38</v>
      </c>
      <c r="H40" s="39" t="s">
        <v>11</v>
      </c>
      <c r="I40" s="39" t="s">
        <v>39</v>
      </c>
      <c r="J40" s="39" t="s">
        <v>12</v>
      </c>
      <c r="K40" s="39" t="s">
        <v>13</v>
      </c>
      <c r="L40" s="39" t="s">
        <v>40</v>
      </c>
      <c r="M40" s="39" t="s">
        <v>41</v>
      </c>
      <c r="N40" s="39" t="s">
        <v>0</v>
      </c>
      <c r="O40" s="39" t="s">
        <v>42</v>
      </c>
      <c r="P40" s="27"/>
      <c r="Q40" s="26" t="s">
        <v>43</v>
      </c>
      <c r="R40" s="26" t="s">
        <v>44</v>
      </c>
      <c r="S40" s="94" t="s">
        <v>45</v>
      </c>
      <c r="T40" s="94"/>
      <c r="U40" s="91" t="s">
        <v>46</v>
      </c>
      <c r="V40" s="91"/>
      <c r="W40" s="91"/>
      <c r="X40" s="26" t="s">
        <v>47</v>
      </c>
      <c r="Y40" s="26" t="s">
        <v>47</v>
      </c>
    </row>
    <row r="41" spans="2:25" x14ac:dyDescent="0.25">
      <c r="B41" s="34" t="s">
        <v>26</v>
      </c>
      <c r="C41" s="27"/>
      <c r="D41" s="27"/>
      <c r="E41" s="41">
        <v>2.8799999999999999E-2</v>
      </c>
      <c r="F41" s="33">
        <f>E14*E41</f>
        <v>1834.18066944</v>
      </c>
      <c r="G41" s="41">
        <v>1</v>
      </c>
      <c r="H41" s="33">
        <f>F41*G41</f>
        <v>1834.18066944</v>
      </c>
      <c r="I41" s="55">
        <v>0.9</v>
      </c>
      <c r="J41" s="33">
        <f>H41*I41</f>
        <v>1650.762602496</v>
      </c>
      <c r="K41" s="33">
        <f>E49*E41</f>
        <v>676.85485317875703</v>
      </c>
      <c r="L41" s="33">
        <f>E47*E41</f>
        <v>408.43007999999992</v>
      </c>
      <c r="M41" s="33">
        <f>F41+K41+L41</f>
        <v>2919.4656026187572</v>
      </c>
      <c r="N41" s="33">
        <f>H41/O41</f>
        <v>144.42367475905513</v>
      </c>
      <c r="O41" s="46">
        <v>12.7</v>
      </c>
      <c r="P41" s="27"/>
      <c r="Q41" s="30">
        <v>0</v>
      </c>
      <c r="R41" s="44">
        <f>IFERROR(J41/Q41,0)</f>
        <v>0</v>
      </c>
      <c r="S41" s="98">
        <v>0</v>
      </c>
      <c r="T41" s="98"/>
      <c r="U41" s="91">
        <f>S41*R41</f>
        <v>0</v>
      </c>
      <c r="V41" s="91"/>
      <c r="W41" s="91"/>
      <c r="X41" s="33">
        <v>0</v>
      </c>
      <c r="Y41" s="45">
        <v>0</v>
      </c>
    </row>
    <row r="42" spans="2:25" x14ac:dyDescent="0.25">
      <c r="B42" s="37" t="s">
        <v>59</v>
      </c>
      <c r="C42" s="56"/>
      <c r="D42" s="56"/>
      <c r="E42" s="49">
        <f>SUM(E41:E41)</f>
        <v>2.8799999999999999E-2</v>
      </c>
      <c r="F42" s="50">
        <f>D39*$E$14</f>
        <v>1834.18066944</v>
      </c>
      <c r="G42" s="49">
        <f>G41</f>
        <v>1</v>
      </c>
      <c r="H42" s="50">
        <f>SUM(H41:H41)</f>
        <v>1834.18066944</v>
      </c>
      <c r="I42" s="49">
        <f>J42/H42</f>
        <v>0.9</v>
      </c>
      <c r="J42" s="50">
        <f>SUM(J41:J41)</f>
        <v>1650.762602496</v>
      </c>
      <c r="K42" s="50">
        <f>SUM(K41:K41)</f>
        <v>676.85485317875703</v>
      </c>
      <c r="L42" s="50">
        <f>SUM(L41:L41)</f>
        <v>408.43007999999992</v>
      </c>
      <c r="M42" s="50">
        <f>SUM(M41:M41)</f>
        <v>2919.4656026187572</v>
      </c>
      <c r="N42" s="50">
        <f>SUM(N41:N41)</f>
        <v>144.42367475905513</v>
      </c>
      <c r="O42" s="51">
        <f>F42/N42</f>
        <v>12.7</v>
      </c>
      <c r="P42" s="27"/>
      <c r="Q42" s="52">
        <v>0</v>
      </c>
      <c r="R42" s="52">
        <f>SUM(R41:R41)</f>
        <v>0</v>
      </c>
      <c r="S42" s="92">
        <v>0</v>
      </c>
      <c r="T42" s="92"/>
      <c r="U42" s="93">
        <f>SUM(U41:U41)</f>
        <v>0</v>
      </c>
      <c r="V42" s="93"/>
      <c r="W42" s="93"/>
      <c r="X42" s="50">
        <f>SUM(X41:X41)</f>
        <v>0</v>
      </c>
      <c r="Y42" s="50">
        <v>0</v>
      </c>
    </row>
    <row r="43" spans="2:25" x14ac:dyDescent="0.25">
      <c r="B43" s="54"/>
      <c r="C43" s="77"/>
      <c r="D43" s="77"/>
      <c r="E43" s="76"/>
      <c r="F43" s="72"/>
      <c r="G43" s="76"/>
      <c r="H43" s="72"/>
      <c r="I43" s="76"/>
      <c r="J43" s="72"/>
      <c r="K43" s="72"/>
      <c r="L43" s="72"/>
      <c r="M43" s="72"/>
      <c r="N43" s="72"/>
      <c r="O43" s="75"/>
      <c r="P43" s="27"/>
      <c r="Q43" s="73"/>
      <c r="R43" s="73"/>
      <c r="S43" s="74"/>
      <c r="T43" s="74"/>
      <c r="U43" s="73"/>
      <c r="V43" s="73"/>
      <c r="W43" s="73"/>
      <c r="X43" s="72"/>
      <c r="Y43" s="72"/>
    </row>
    <row r="44" spans="2:25" x14ac:dyDescent="0.25">
      <c r="B44" s="22" t="s">
        <v>14</v>
      </c>
      <c r="C44" s="22"/>
      <c r="D44" s="57"/>
      <c r="E44" s="58"/>
      <c r="F44" s="27"/>
      <c r="G44" s="27"/>
      <c r="H44" s="26"/>
      <c r="I44" s="26"/>
      <c r="J44" s="26"/>
      <c r="K44" s="26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</row>
    <row r="45" spans="2:25" x14ac:dyDescent="0.25">
      <c r="B45" s="34" t="s">
        <v>60</v>
      </c>
      <c r="C45" s="34"/>
      <c r="D45" s="29" t="s">
        <v>61</v>
      </c>
      <c r="E45" s="59">
        <v>3</v>
      </c>
      <c r="F45" s="27"/>
      <c r="G45" s="27"/>
      <c r="H45" s="26"/>
      <c r="I45" s="26"/>
      <c r="J45" s="26"/>
      <c r="K45" s="26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</row>
    <row r="46" spans="2:25" x14ac:dyDescent="0.25">
      <c r="B46" s="34" t="s">
        <v>62</v>
      </c>
      <c r="C46" s="34"/>
      <c r="D46" s="29" t="s">
        <v>63</v>
      </c>
      <c r="E46" s="60">
        <v>0.95</v>
      </c>
      <c r="F46" s="27"/>
      <c r="G46" s="27"/>
      <c r="H46" s="26"/>
      <c r="I46" s="26"/>
      <c r="J46" s="26"/>
      <c r="K46" s="26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</row>
    <row r="47" spans="2:25" x14ac:dyDescent="0.25">
      <c r="B47" s="34" t="s">
        <v>64</v>
      </c>
      <c r="C47" s="34"/>
      <c r="D47" s="29" t="s">
        <v>30</v>
      </c>
      <c r="E47" s="33">
        <f>E45*E12*E46</f>
        <v>14181.599999999999</v>
      </c>
      <c r="F47" s="27"/>
      <c r="G47" s="27"/>
      <c r="H47" s="26"/>
      <c r="I47" s="26"/>
      <c r="J47" s="26"/>
      <c r="K47" s="26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</row>
    <row r="48" spans="2:25" x14ac:dyDescent="0.25">
      <c r="B48" s="34" t="s">
        <v>69</v>
      </c>
      <c r="C48" s="34"/>
      <c r="D48" s="29" t="s">
        <v>63</v>
      </c>
      <c r="E48" s="60">
        <v>0.36902299999999999</v>
      </c>
      <c r="F48" s="27"/>
      <c r="G48" s="27"/>
      <c r="H48" s="26"/>
      <c r="I48" s="26"/>
      <c r="J48" s="26"/>
      <c r="K48" s="26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</row>
    <row r="49" spans="2:25" x14ac:dyDescent="0.25">
      <c r="B49" s="34" t="s">
        <v>65</v>
      </c>
      <c r="C49" s="34"/>
      <c r="D49" s="29" t="s">
        <v>30</v>
      </c>
      <c r="E49" s="33">
        <f>E14*E48</f>
        <v>23501.904624262399</v>
      </c>
      <c r="F49" s="61"/>
      <c r="G49" s="27"/>
      <c r="H49" s="26"/>
      <c r="I49" s="26"/>
      <c r="J49" s="26"/>
      <c r="K49" s="26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</row>
    <row r="50" spans="2:25" x14ac:dyDescent="0.25">
      <c r="B50" s="34" t="s">
        <v>66</v>
      </c>
      <c r="C50" s="34"/>
      <c r="D50" s="29">
        <v>0.34547</v>
      </c>
      <c r="E50" s="33">
        <f>E14*D50</f>
        <v>22001.888745536002</v>
      </c>
      <c r="F50" s="61"/>
      <c r="G50" s="27"/>
      <c r="H50" s="26"/>
      <c r="I50" s="26"/>
      <c r="J50" s="26"/>
      <c r="K50" s="26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</row>
    <row r="51" spans="2:25" x14ac:dyDescent="0.25">
      <c r="B51" s="34"/>
      <c r="C51" s="34"/>
      <c r="D51" s="29"/>
      <c r="E51" s="33"/>
      <c r="F51" s="27"/>
      <c r="G51" s="27"/>
      <c r="H51" s="26"/>
      <c r="I51" s="26"/>
      <c r="J51" s="26"/>
      <c r="K51" s="26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</row>
    <row r="52" spans="2:25" x14ac:dyDescent="0.25">
      <c r="B52" s="28"/>
      <c r="C52" s="28"/>
      <c r="D52" s="29"/>
      <c r="E52" s="30"/>
      <c r="F52" s="27"/>
      <c r="G52" s="27"/>
      <c r="H52" s="26"/>
      <c r="I52" s="26"/>
      <c r="J52" s="26"/>
      <c r="K52" s="26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</row>
    <row r="53" spans="2:25" x14ac:dyDescent="0.25">
      <c r="B53" s="28"/>
      <c r="C53" s="28"/>
      <c r="D53" s="29"/>
      <c r="E53" s="30"/>
      <c r="F53" s="27"/>
      <c r="G53" s="27"/>
      <c r="H53" s="26"/>
      <c r="I53" s="26"/>
      <c r="J53" s="26"/>
      <c r="K53" s="26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</row>
    <row r="54" spans="2:25" x14ac:dyDescent="0.25">
      <c r="B54" s="34"/>
      <c r="C54" s="34"/>
      <c r="D54" s="29"/>
      <c r="E54" s="59"/>
      <c r="F54" s="27"/>
      <c r="G54" s="27"/>
      <c r="H54" s="27"/>
      <c r="I54" s="55"/>
      <c r="J54" s="26"/>
      <c r="K54" s="26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</row>
    <row r="55" spans="2:25" x14ac:dyDescent="0.25">
      <c r="B55" s="34"/>
      <c r="C55" s="34"/>
      <c r="D55" s="29"/>
      <c r="E55" s="33"/>
      <c r="F55" s="27"/>
      <c r="G55" s="27"/>
      <c r="H55" s="27"/>
      <c r="I55" s="26"/>
      <c r="J55" s="26"/>
      <c r="K55" s="26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</row>
    <row r="56" spans="2:25" x14ac:dyDescent="0.25">
      <c r="B56" s="34"/>
      <c r="C56" s="34"/>
      <c r="D56" s="29"/>
      <c r="E56" s="60"/>
      <c r="F56" s="27"/>
      <c r="G56" s="27"/>
      <c r="H56" s="26"/>
      <c r="I56" s="26"/>
      <c r="J56" s="26"/>
      <c r="K56" s="26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</row>
    <row r="57" spans="2:25" x14ac:dyDescent="0.25">
      <c r="B57" s="34"/>
      <c r="C57" s="34"/>
      <c r="D57" s="29"/>
      <c r="E57" s="33"/>
      <c r="F57" s="27"/>
      <c r="G57" s="27"/>
      <c r="H57" s="26"/>
      <c r="I57" s="26"/>
      <c r="J57" s="26"/>
      <c r="K57" s="26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</row>
    <row r="58" spans="2:25" x14ac:dyDescent="0.25">
      <c r="B58" s="34"/>
      <c r="C58" s="34"/>
      <c r="D58" s="29"/>
      <c r="E58" s="33"/>
      <c r="F58" s="27"/>
      <c r="G58" s="27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 spans="2:25" x14ac:dyDescent="0.25">
      <c r="B59" s="71"/>
      <c r="C59" s="63"/>
      <c r="D59" s="63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2:25" x14ac:dyDescent="0.25">
      <c r="B60" s="28"/>
      <c r="C60" s="63"/>
      <c r="D60" s="63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2:25" x14ac:dyDescent="0.25">
      <c r="B61" s="34"/>
      <c r="C61" s="34"/>
      <c r="D61" s="29"/>
      <c r="E61" s="33"/>
      <c r="F61" s="27"/>
      <c r="G61" s="27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 spans="2:25" x14ac:dyDescent="0.25">
      <c r="B62" s="34"/>
      <c r="C62" s="34"/>
      <c r="D62" s="29"/>
      <c r="E62" s="33"/>
      <c r="F62" s="27"/>
      <c r="G62" s="27"/>
      <c r="H62" s="27"/>
      <c r="I62" s="26"/>
      <c r="J62" s="26"/>
      <c r="K62" s="26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</row>
  </sheetData>
  <mergeCells count="41">
    <mergeCell ref="B2:D2"/>
    <mergeCell ref="S19:T19"/>
    <mergeCell ref="U19:W19"/>
    <mergeCell ref="S16:T16"/>
    <mergeCell ref="U16:W16"/>
    <mergeCell ref="S17:T17"/>
    <mergeCell ref="U17:W17"/>
    <mergeCell ref="S20:T20"/>
    <mergeCell ref="U20:W20"/>
    <mergeCell ref="S24:T24"/>
    <mergeCell ref="U24:W24"/>
    <mergeCell ref="S26:T26"/>
    <mergeCell ref="U26:W26"/>
    <mergeCell ref="S27:T27"/>
    <mergeCell ref="U27:W27"/>
    <mergeCell ref="S28:T28"/>
    <mergeCell ref="U28:W28"/>
    <mergeCell ref="S29:T29"/>
    <mergeCell ref="U29:W29"/>
    <mergeCell ref="S30:T30"/>
    <mergeCell ref="U30:W30"/>
    <mergeCell ref="S31:T31"/>
    <mergeCell ref="U31:W31"/>
    <mergeCell ref="S32:T32"/>
    <mergeCell ref="U32:W32"/>
    <mergeCell ref="S34:T34"/>
    <mergeCell ref="U34:W34"/>
    <mergeCell ref="S35:T35"/>
    <mergeCell ref="U35:W35"/>
    <mergeCell ref="S36:T36"/>
    <mergeCell ref="U36:W36"/>
    <mergeCell ref="S41:T41"/>
    <mergeCell ref="U41:W41"/>
    <mergeCell ref="S42:T42"/>
    <mergeCell ref="U42:W42"/>
    <mergeCell ref="S37:T37"/>
    <mergeCell ref="U37:W37"/>
    <mergeCell ref="S39:T39"/>
    <mergeCell ref="U39:W39"/>
    <mergeCell ref="S40:T40"/>
    <mergeCell ref="U40:W40"/>
  </mergeCells>
  <conditionalFormatting sqref="Q5:Q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3250-C8CA-497B-80D2-DEAFD81D9968}">
  <dimension ref="B2:W72"/>
  <sheetViews>
    <sheetView showGridLines="0" tabSelected="1" workbookViewId="0">
      <selection activeCell="J9" sqref="J9"/>
    </sheetView>
  </sheetViews>
  <sheetFormatPr defaultRowHeight="15" x14ac:dyDescent="0.25"/>
  <cols>
    <col min="1" max="1" width="5.140625" customWidth="1"/>
    <col min="2" max="2" width="25.7109375" customWidth="1"/>
    <col min="3" max="20" width="12.7109375" customWidth="1"/>
  </cols>
  <sheetData>
    <row r="2" spans="2:23" s="102" customFormat="1" ht="12" x14ac:dyDescent="0.25">
      <c r="B2" s="22" t="s">
        <v>28</v>
      </c>
      <c r="C2" s="22"/>
      <c r="D2" s="23"/>
      <c r="E2" s="103"/>
      <c r="F2" s="103"/>
      <c r="G2" s="103"/>
      <c r="H2" s="103"/>
      <c r="I2" s="26"/>
      <c r="J2" s="26"/>
      <c r="K2" s="26"/>
      <c r="L2" s="26"/>
      <c r="M2" s="26"/>
      <c r="N2" s="26"/>
      <c r="O2" s="26"/>
      <c r="P2" s="26"/>
      <c r="Q2" s="26"/>
      <c r="R2" s="27"/>
      <c r="S2" s="26"/>
      <c r="T2" s="27"/>
      <c r="U2" s="26"/>
      <c r="V2" s="26"/>
      <c r="W2" s="26"/>
    </row>
    <row r="3" spans="2:23" s="102" customFormat="1" ht="12" x14ac:dyDescent="0.25">
      <c r="B3" s="28" t="s">
        <v>29</v>
      </c>
      <c r="C3" s="29" t="s">
        <v>30</v>
      </c>
      <c r="D3" s="30">
        <v>32000</v>
      </c>
      <c r="F3" s="104"/>
      <c r="G3" s="104"/>
      <c r="H3" s="103"/>
      <c r="I3" s="26"/>
      <c r="J3" s="26"/>
      <c r="K3" s="26"/>
      <c r="L3" s="26"/>
      <c r="M3" s="26"/>
      <c r="N3" s="26"/>
      <c r="O3" s="26"/>
      <c r="P3" s="26"/>
      <c r="Q3" s="26"/>
      <c r="R3" s="27"/>
      <c r="S3" s="26"/>
      <c r="T3" s="27"/>
      <c r="U3" s="26"/>
      <c r="V3" s="26"/>
      <c r="W3" s="26"/>
    </row>
    <row r="4" spans="2:23" s="102" customFormat="1" ht="12" x14ac:dyDescent="0.25">
      <c r="B4" s="28" t="s">
        <v>74</v>
      </c>
      <c r="C4" s="29" t="s">
        <v>32</v>
      </c>
      <c r="D4" s="105">
        <v>3</v>
      </c>
      <c r="F4" s="103"/>
      <c r="G4" s="103"/>
      <c r="H4" s="106"/>
      <c r="I4" s="78"/>
      <c r="J4" s="26"/>
      <c r="K4" s="26"/>
      <c r="L4" s="26"/>
      <c r="M4" s="26"/>
      <c r="N4" s="26"/>
      <c r="O4" s="26"/>
      <c r="P4" s="26"/>
      <c r="Q4" s="26"/>
      <c r="R4" s="27"/>
      <c r="S4" s="26"/>
      <c r="T4" s="27"/>
      <c r="U4" s="26"/>
      <c r="V4" s="26"/>
      <c r="W4" s="26"/>
    </row>
    <row r="5" spans="2:23" s="102" customFormat="1" ht="12" x14ac:dyDescent="0.25">
      <c r="B5" s="28" t="s">
        <v>75</v>
      </c>
      <c r="C5" s="29" t="s">
        <v>30</v>
      </c>
      <c r="D5" s="33">
        <f>D3*D4</f>
        <v>96000</v>
      </c>
      <c r="F5" s="103"/>
      <c r="G5" s="103"/>
      <c r="H5" s="103"/>
      <c r="I5" s="26"/>
      <c r="J5" s="26"/>
      <c r="K5" s="78"/>
      <c r="L5" s="26"/>
      <c r="M5" s="26"/>
      <c r="N5" s="26"/>
      <c r="O5" s="26"/>
      <c r="P5" s="26"/>
      <c r="Q5" s="26"/>
      <c r="R5" s="27"/>
      <c r="S5" s="26"/>
      <c r="T5" s="27"/>
      <c r="U5" s="26"/>
      <c r="V5" s="26"/>
      <c r="W5" s="26"/>
    </row>
    <row r="6" spans="2:23" s="102" customFormat="1" ht="12" x14ac:dyDescent="0.25">
      <c r="B6" s="28"/>
      <c r="C6" s="29"/>
      <c r="D6" s="33"/>
      <c r="F6" s="103"/>
      <c r="G6" s="103"/>
      <c r="H6" s="103"/>
      <c r="I6" s="26"/>
      <c r="J6" s="26"/>
      <c r="K6" s="78"/>
      <c r="L6" s="26"/>
      <c r="M6" s="26"/>
      <c r="N6" s="26"/>
      <c r="O6" s="26"/>
      <c r="P6" s="26"/>
      <c r="Q6" s="26"/>
      <c r="R6" s="27"/>
      <c r="S6" s="26"/>
      <c r="T6" s="27"/>
      <c r="U6" s="26"/>
      <c r="V6" s="26"/>
      <c r="W6" s="26"/>
    </row>
    <row r="7" spans="2:23" s="107" customFormat="1" ht="12" x14ac:dyDescent="0.25">
      <c r="B7" s="108"/>
      <c r="C7" s="108"/>
      <c r="D7" s="109"/>
      <c r="E7" s="110" t="s">
        <v>76</v>
      </c>
      <c r="F7" s="111" t="s">
        <v>76</v>
      </c>
      <c r="G7" s="112" t="s">
        <v>76</v>
      </c>
      <c r="H7" s="112" t="s">
        <v>76</v>
      </c>
      <c r="I7" s="113"/>
      <c r="J7" s="72"/>
      <c r="K7" s="72"/>
      <c r="L7" s="113"/>
      <c r="M7" s="113"/>
      <c r="N7" s="113"/>
      <c r="O7" s="113"/>
      <c r="P7" s="113"/>
      <c r="Q7" s="113"/>
      <c r="R7" s="77"/>
      <c r="S7" s="113"/>
      <c r="T7" s="77"/>
      <c r="U7" s="113"/>
      <c r="V7" s="113"/>
      <c r="W7" s="113"/>
    </row>
    <row r="8" spans="2:23" s="107" customFormat="1" ht="12" x14ac:dyDescent="0.25">
      <c r="B8" s="108"/>
      <c r="C8" s="108"/>
      <c r="D8" s="109" t="s">
        <v>59</v>
      </c>
      <c r="E8" s="110" t="s">
        <v>77</v>
      </c>
      <c r="F8" s="111" t="s">
        <v>78</v>
      </c>
      <c r="G8" s="112">
        <v>2</v>
      </c>
      <c r="H8" s="112">
        <v>3</v>
      </c>
      <c r="I8" s="113"/>
      <c r="J8" s="72"/>
      <c r="K8" s="72"/>
      <c r="L8" s="113"/>
      <c r="M8" s="113"/>
      <c r="N8" s="113"/>
      <c r="O8" s="113"/>
      <c r="P8" s="113"/>
      <c r="Q8" s="113"/>
      <c r="R8" s="77"/>
      <c r="S8" s="113"/>
      <c r="T8" s="77"/>
      <c r="U8" s="113"/>
      <c r="V8" s="113"/>
      <c r="W8" s="113"/>
    </row>
    <row r="9" spans="2:23" s="102" customFormat="1" ht="12" x14ac:dyDescent="0.25">
      <c r="B9" s="28" t="s">
        <v>79</v>
      </c>
      <c r="C9" s="26" t="s">
        <v>30</v>
      </c>
      <c r="E9" s="30">
        <v>80</v>
      </c>
      <c r="F9" s="30">
        <v>80</v>
      </c>
      <c r="G9" s="30">
        <v>110</v>
      </c>
      <c r="H9" s="30">
        <v>130</v>
      </c>
      <c r="I9" s="26"/>
      <c r="J9" s="78"/>
      <c r="K9" s="78"/>
      <c r="L9" s="26"/>
      <c r="M9" s="26"/>
      <c r="N9" s="26"/>
      <c r="O9" s="26"/>
      <c r="P9" s="26"/>
      <c r="Q9" s="26"/>
      <c r="R9" s="27"/>
      <c r="S9" s="26"/>
      <c r="T9" s="27"/>
      <c r="U9" s="26"/>
      <c r="V9" s="26"/>
      <c r="W9" s="26"/>
    </row>
    <row r="10" spans="2:23" s="102" customFormat="1" ht="12" x14ac:dyDescent="0.25">
      <c r="B10" s="28" t="s">
        <v>80</v>
      </c>
      <c r="C10" s="26" t="s">
        <v>30</v>
      </c>
      <c r="E10" s="30">
        <v>40</v>
      </c>
      <c r="F10" s="30">
        <v>60</v>
      </c>
      <c r="G10" s="30">
        <v>100</v>
      </c>
      <c r="H10" s="30">
        <v>100</v>
      </c>
      <c r="I10" s="26"/>
      <c r="J10" s="78"/>
      <c r="K10" s="78"/>
      <c r="L10" s="26"/>
      <c r="M10" s="26"/>
      <c r="N10" s="26"/>
      <c r="O10" s="26"/>
      <c r="P10" s="26"/>
      <c r="Q10" s="26"/>
      <c r="R10" s="27"/>
      <c r="S10" s="26"/>
      <c r="T10" s="27"/>
      <c r="U10" s="26"/>
      <c r="V10" s="26"/>
      <c r="W10" s="26"/>
    </row>
    <row r="11" spans="2:23" s="102" customFormat="1" ht="12" x14ac:dyDescent="0.25">
      <c r="B11" s="114" t="s">
        <v>64</v>
      </c>
      <c r="C11" s="81" t="s">
        <v>30</v>
      </c>
      <c r="D11" s="115">
        <f>SUM(E11:H11)</f>
        <v>32000</v>
      </c>
      <c r="E11" s="116">
        <f>E9*E10</f>
        <v>3200</v>
      </c>
      <c r="F11" s="116">
        <f t="shared" ref="F11:H11" si="0">F9*F10</f>
        <v>4800</v>
      </c>
      <c r="G11" s="116">
        <f t="shared" si="0"/>
        <v>11000</v>
      </c>
      <c r="H11" s="116">
        <f t="shared" si="0"/>
        <v>13000</v>
      </c>
      <c r="I11" s="26"/>
      <c r="J11" s="78"/>
      <c r="K11" s="78"/>
      <c r="L11" s="26"/>
      <c r="M11" s="26"/>
      <c r="N11" s="26"/>
      <c r="O11" s="26"/>
      <c r="P11" s="26"/>
      <c r="Q11" s="26"/>
      <c r="R11" s="27"/>
      <c r="S11" s="26"/>
      <c r="T11" s="27"/>
      <c r="U11" s="26"/>
      <c r="V11" s="26"/>
      <c r="W11" s="26"/>
    </row>
    <row r="12" spans="2:23" s="102" customFormat="1" ht="12" x14ac:dyDescent="0.25">
      <c r="B12" s="28"/>
      <c r="C12" s="26"/>
      <c r="E12" s="33"/>
      <c r="F12" s="33"/>
      <c r="G12" s="33"/>
      <c r="H12" s="33"/>
      <c r="I12" s="26"/>
      <c r="J12" s="78"/>
      <c r="K12" s="78"/>
      <c r="L12" s="26"/>
      <c r="M12" s="26"/>
      <c r="N12" s="26"/>
      <c r="O12" s="26"/>
      <c r="P12" s="26"/>
      <c r="Q12" s="26"/>
      <c r="R12" s="27"/>
      <c r="S12" s="26"/>
      <c r="T12" s="27"/>
      <c r="U12" s="26"/>
      <c r="V12" s="26"/>
      <c r="W12" s="26"/>
    </row>
    <row r="13" spans="2:23" s="102" customFormat="1" ht="12" x14ac:dyDescent="0.25">
      <c r="B13" s="28" t="s">
        <v>81</v>
      </c>
      <c r="C13" s="26" t="s">
        <v>63</v>
      </c>
      <c r="D13" s="117">
        <f>D14/D11</f>
        <v>0.495</v>
      </c>
      <c r="E13" s="118">
        <v>0.6</v>
      </c>
      <c r="F13" s="118">
        <v>0.65</v>
      </c>
      <c r="G13" s="118">
        <v>0.45</v>
      </c>
      <c r="H13" s="118">
        <v>0.45</v>
      </c>
      <c r="I13" s="26"/>
      <c r="J13" s="78"/>
      <c r="K13" s="78"/>
      <c r="L13" s="26"/>
      <c r="M13" s="26"/>
      <c r="N13" s="26"/>
      <c r="O13" s="26"/>
      <c r="P13" s="26"/>
      <c r="Q13" s="26"/>
      <c r="R13" s="27"/>
      <c r="S13" s="26"/>
      <c r="T13" s="27"/>
      <c r="U13" s="26"/>
      <c r="V13" s="26"/>
      <c r="W13" s="26"/>
    </row>
    <row r="14" spans="2:23" s="102" customFormat="1" ht="12" x14ac:dyDescent="0.25">
      <c r="B14" s="28" t="s">
        <v>82</v>
      </c>
      <c r="C14" s="26" t="s">
        <v>30</v>
      </c>
      <c r="D14" s="119">
        <f>SUM(E14:H14)</f>
        <v>15840</v>
      </c>
      <c r="E14" s="33">
        <f>E13*E11</f>
        <v>1920</v>
      </c>
      <c r="F14" s="33">
        <f t="shared" ref="F14:H14" si="1">F13*F11</f>
        <v>3120</v>
      </c>
      <c r="G14" s="33">
        <f t="shared" si="1"/>
        <v>4950</v>
      </c>
      <c r="H14" s="33">
        <f t="shared" si="1"/>
        <v>5850</v>
      </c>
      <c r="I14" s="26"/>
      <c r="J14" s="78"/>
      <c r="K14" s="78"/>
      <c r="L14" s="26"/>
      <c r="M14" s="26"/>
      <c r="N14" s="26"/>
      <c r="O14" s="26"/>
      <c r="P14" s="26"/>
      <c r="Q14" s="26"/>
      <c r="R14" s="27"/>
      <c r="S14" s="26"/>
      <c r="T14" s="27"/>
      <c r="U14" s="26"/>
      <c r="V14" s="26"/>
      <c r="W14" s="26"/>
    </row>
    <row r="15" spans="2:23" s="102" customFormat="1" ht="12" x14ac:dyDescent="0.25">
      <c r="B15" s="28" t="s">
        <v>83</v>
      </c>
      <c r="C15" s="26" t="s">
        <v>30</v>
      </c>
      <c r="D15" s="119">
        <f>SUM(E15:H15)</f>
        <v>16160</v>
      </c>
      <c r="E15" s="33">
        <f>E11-E14</f>
        <v>1280</v>
      </c>
      <c r="F15" s="33">
        <f t="shared" ref="F15:H15" si="2">F11-F14</f>
        <v>1680</v>
      </c>
      <c r="G15" s="33">
        <f t="shared" si="2"/>
        <v>6050</v>
      </c>
      <c r="H15" s="33">
        <f t="shared" si="2"/>
        <v>7150</v>
      </c>
      <c r="I15" s="26"/>
      <c r="J15" s="78"/>
      <c r="K15" s="78"/>
      <c r="L15" s="26"/>
      <c r="M15" s="26"/>
      <c r="N15" s="26"/>
      <c r="O15" s="26"/>
      <c r="P15" s="26"/>
      <c r="Q15" s="26"/>
      <c r="R15" s="27"/>
      <c r="S15" s="26"/>
      <c r="T15" s="27"/>
      <c r="U15" s="26"/>
      <c r="V15" s="26"/>
      <c r="W15" s="26"/>
    </row>
    <row r="16" spans="2:23" s="102" customFormat="1" ht="12" x14ac:dyDescent="0.25">
      <c r="B16" s="28"/>
      <c r="C16" s="26"/>
      <c r="E16" s="33"/>
      <c r="F16" s="33"/>
      <c r="G16" s="33"/>
      <c r="H16" s="33"/>
      <c r="I16" s="26"/>
      <c r="J16" s="78"/>
      <c r="K16" s="78"/>
      <c r="L16" s="26"/>
      <c r="M16" s="26"/>
      <c r="N16" s="26"/>
      <c r="O16" s="26"/>
      <c r="P16" s="26"/>
      <c r="Q16" s="26"/>
      <c r="R16" s="27"/>
      <c r="S16" s="26"/>
      <c r="T16" s="27"/>
      <c r="U16" s="26"/>
      <c r="V16" s="26"/>
      <c r="W16" s="26"/>
    </row>
    <row r="17" spans="2:23" s="102" customFormat="1" ht="12" x14ac:dyDescent="0.25">
      <c r="B17" s="102" t="s">
        <v>84</v>
      </c>
      <c r="C17" s="120" t="s">
        <v>63</v>
      </c>
      <c r="E17" s="121">
        <v>0.4</v>
      </c>
      <c r="F17" s="121">
        <v>0.35</v>
      </c>
      <c r="G17" s="121">
        <v>0.55000000000000004</v>
      </c>
      <c r="H17" s="121">
        <v>0.35</v>
      </c>
      <c r="I17" s="26"/>
      <c r="J17" s="78"/>
      <c r="K17" s="78"/>
      <c r="L17" s="26"/>
      <c r="M17" s="26"/>
      <c r="N17" s="26"/>
      <c r="O17" s="26"/>
      <c r="P17" s="26"/>
      <c r="Q17" s="26"/>
      <c r="R17" s="27"/>
      <c r="S17" s="26"/>
      <c r="T17" s="27"/>
      <c r="U17" s="26"/>
      <c r="V17" s="26"/>
      <c r="W17" s="26"/>
    </row>
    <row r="18" spans="2:23" s="102" customFormat="1" ht="12" x14ac:dyDescent="0.25">
      <c r="B18" s="102" t="s">
        <v>85</v>
      </c>
      <c r="C18" s="120" t="s">
        <v>30</v>
      </c>
      <c r="E18" s="122">
        <f>E17*E11</f>
        <v>1280</v>
      </c>
      <c r="F18" s="122">
        <f t="shared" ref="F18:H18" si="3">F17*F11</f>
        <v>1680</v>
      </c>
      <c r="G18" s="122">
        <f t="shared" si="3"/>
        <v>6050.0000000000009</v>
      </c>
      <c r="H18" s="122">
        <f t="shared" si="3"/>
        <v>4550</v>
      </c>
      <c r="I18" s="26"/>
      <c r="J18" s="78"/>
      <c r="K18" s="78"/>
      <c r="L18" s="26"/>
      <c r="M18" s="26"/>
      <c r="N18" s="26"/>
      <c r="O18" s="26"/>
      <c r="P18" s="26"/>
      <c r="Q18" s="26"/>
      <c r="R18" s="27"/>
      <c r="S18" s="26"/>
      <c r="T18" s="27"/>
      <c r="U18" s="26"/>
      <c r="V18" s="26"/>
      <c r="W18" s="26"/>
    </row>
    <row r="19" spans="2:23" s="102" customFormat="1" ht="12" x14ac:dyDescent="0.25">
      <c r="B19" s="28"/>
      <c r="C19" s="26"/>
      <c r="D19" s="33"/>
      <c r="E19" s="33"/>
      <c r="F19" s="33"/>
      <c r="G19" s="33"/>
      <c r="H19" s="103"/>
      <c r="I19" s="26"/>
      <c r="J19" s="78"/>
      <c r="K19" s="78"/>
      <c r="L19" s="26"/>
      <c r="M19" s="26"/>
      <c r="N19" s="26"/>
      <c r="O19" s="26"/>
      <c r="P19" s="26"/>
      <c r="Q19" s="26"/>
      <c r="R19" s="27"/>
      <c r="S19" s="26"/>
      <c r="T19" s="27"/>
      <c r="U19" s="26"/>
      <c r="V19" s="26"/>
      <c r="W19" s="26"/>
    </row>
    <row r="20" spans="2:23" s="102" customFormat="1" ht="12" x14ac:dyDescent="0.25">
      <c r="B20" s="28" t="s">
        <v>86</v>
      </c>
      <c r="C20" s="26" t="s">
        <v>63</v>
      </c>
      <c r="D20" s="33"/>
      <c r="E20" s="123">
        <f>1-E13-E17</f>
        <v>0</v>
      </c>
      <c r="F20" s="123">
        <f t="shared" ref="F20:H20" si="4">1-F13-F17</f>
        <v>0</v>
      </c>
      <c r="G20" s="123">
        <f t="shared" si="4"/>
        <v>0</v>
      </c>
      <c r="H20" s="123">
        <f t="shared" si="4"/>
        <v>0.20000000000000007</v>
      </c>
      <c r="I20" s="26"/>
      <c r="J20" s="78"/>
      <c r="K20" s="78"/>
      <c r="L20" s="26"/>
      <c r="M20" s="26"/>
      <c r="N20" s="26"/>
      <c r="O20" s="26"/>
      <c r="P20" s="26"/>
      <c r="Q20" s="26"/>
      <c r="R20" s="27"/>
      <c r="S20" s="26"/>
      <c r="T20" s="27"/>
      <c r="U20" s="26"/>
      <c r="V20" s="26"/>
      <c r="W20" s="26"/>
    </row>
    <row r="21" spans="2:23" s="102" customFormat="1" ht="12" x14ac:dyDescent="0.25">
      <c r="B21" s="28" t="s">
        <v>86</v>
      </c>
      <c r="C21" s="26" t="s">
        <v>30</v>
      </c>
      <c r="D21" s="33"/>
      <c r="E21" s="33">
        <f>E20*E11</f>
        <v>0</v>
      </c>
      <c r="F21" s="33">
        <f t="shared" ref="F21:H21" si="5">F20*F11</f>
        <v>0</v>
      </c>
      <c r="G21" s="33">
        <f t="shared" si="5"/>
        <v>0</v>
      </c>
      <c r="H21" s="33">
        <f t="shared" si="5"/>
        <v>2600.0000000000009</v>
      </c>
      <c r="I21" s="26"/>
      <c r="J21" s="78"/>
      <c r="K21" s="78"/>
      <c r="L21" s="26"/>
      <c r="M21" s="26"/>
      <c r="N21" s="26"/>
      <c r="O21" s="26"/>
      <c r="P21" s="26"/>
      <c r="Q21" s="26"/>
      <c r="R21" s="27"/>
      <c r="S21" s="26"/>
      <c r="T21" s="27"/>
      <c r="U21" s="26"/>
      <c r="V21" s="26"/>
      <c r="W21" s="26"/>
    </row>
    <row r="22" spans="2:23" s="102" customFormat="1" ht="12" x14ac:dyDescent="0.25">
      <c r="B22" s="28"/>
      <c r="C22" s="26"/>
      <c r="D22" s="33"/>
      <c r="E22" s="33"/>
      <c r="F22" s="33"/>
      <c r="G22" s="33"/>
      <c r="H22" s="103"/>
      <c r="I22" s="26"/>
      <c r="J22" s="78"/>
      <c r="K22" s="78"/>
      <c r="L22" s="26"/>
      <c r="M22" s="26"/>
      <c r="N22" s="26"/>
      <c r="O22" s="26"/>
      <c r="P22" s="26"/>
      <c r="Q22" s="26"/>
      <c r="R22" s="27"/>
      <c r="S22" s="26"/>
      <c r="T22" s="27"/>
      <c r="U22" s="26"/>
      <c r="V22" s="26"/>
      <c r="W22" s="26"/>
    </row>
    <row r="23" spans="2:23" s="102" customFormat="1" ht="12" x14ac:dyDescent="0.25">
      <c r="B23" s="102" t="s">
        <v>87</v>
      </c>
      <c r="C23" s="120"/>
      <c r="E23" s="124">
        <v>15</v>
      </c>
      <c r="F23" s="124">
        <v>12</v>
      </c>
      <c r="G23" s="124">
        <v>2.5</v>
      </c>
      <c r="H23" s="124">
        <v>2.5</v>
      </c>
      <c r="I23" s="26"/>
      <c r="J23" s="78"/>
      <c r="K23" s="78"/>
      <c r="L23" s="26"/>
      <c r="M23" s="26"/>
      <c r="N23" s="26"/>
      <c r="O23" s="26"/>
      <c r="P23" s="26"/>
      <c r="Q23" s="26"/>
      <c r="R23" s="27"/>
      <c r="S23" s="26"/>
      <c r="T23" s="27"/>
      <c r="U23" s="26"/>
      <c r="V23" s="26"/>
      <c r="W23" s="26"/>
    </row>
    <row r="24" spans="2:23" s="102" customFormat="1" ht="12" x14ac:dyDescent="0.25">
      <c r="B24" s="28"/>
      <c r="C24" s="26"/>
      <c r="D24" s="33"/>
      <c r="E24" s="33"/>
      <c r="F24" s="33"/>
      <c r="G24" s="33"/>
      <c r="H24" s="103"/>
      <c r="I24" s="26"/>
      <c r="J24" s="78"/>
      <c r="K24" s="78"/>
      <c r="L24" s="26"/>
      <c r="M24" s="26"/>
      <c r="N24" s="26"/>
      <c r="O24" s="26"/>
      <c r="P24" s="26"/>
      <c r="Q24" s="26"/>
      <c r="R24" s="27"/>
      <c r="S24" s="26"/>
      <c r="T24" s="27"/>
      <c r="U24" s="26"/>
      <c r="V24" s="26"/>
      <c r="W24" s="26"/>
    </row>
    <row r="25" spans="2:23" s="102" customFormat="1" ht="12" x14ac:dyDescent="0.25">
      <c r="B25" s="28" t="s">
        <v>88</v>
      </c>
      <c r="C25" s="26" t="s">
        <v>61</v>
      </c>
      <c r="D25" s="33"/>
      <c r="E25" s="125">
        <v>6</v>
      </c>
      <c r="F25" s="126">
        <v>6</v>
      </c>
      <c r="G25" s="127">
        <v>0</v>
      </c>
      <c r="H25" s="127">
        <v>0</v>
      </c>
      <c r="K25" s="78"/>
      <c r="L25" s="26"/>
      <c r="M25" s="26"/>
      <c r="N25" s="26"/>
      <c r="O25" s="26"/>
      <c r="P25" s="26"/>
      <c r="Q25" s="26"/>
      <c r="R25" s="27"/>
      <c r="S25" s="26"/>
      <c r="T25" s="27"/>
      <c r="U25" s="26"/>
      <c r="V25" s="26"/>
      <c r="W25" s="26"/>
    </row>
    <row r="26" spans="2:23" s="102" customFormat="1" ht="12" x14ac:dyDescent="0.25">
      <c r="B26" s="28" t="s">
        <v>89</v>
      </c>
      <c r="C26" s="26" t="s">
        <v>30</v>
      </c>
      <c r="D26" s="33">
        <f>SUM(E26:H26)</f>
        <v>30240</v>
      </c>
      <c r="E26" s="33">
        <f>E25*E14</f>
        <v>11520</v>
      </c>
      <c r="F26" s="33">
        <f t="shared" ref="F26:H26" si="6">F25*F14</f>
        <v>18720</v>
      </c>
      <c r="G26" s="33">
        <f t="shared" si="6"/>
        <v>0</v>
      </c>
      <c r="H26" s="33">
        <f t="shared" si="6"/>
        <v>0</v>
      </c>
      <c r="K26" s="78"/>
      <c r="L26" s="26"/>
      <c r="M26" s="26"/>
      <c r="N26" s="26"/>
      <c r="O26" s="26"/>
      <c r="P26" s="26"/>
      <c r="Q26" s="26"/>
      <c r="R26" s="27"/>
      <c r="S26" s="26"/>
      <c r="T26" s="27"/>
      <c r="U26" s="26"/>
      <c r="V26" s="26"/>
      <c r="W26" s="26"/>
    </row>
    <row r="27" spans="2:23" s="102" customFormat="1" ht="12" x14ac:dyDescent="0.25">
      <c r="B27" s="28"/>
      <c r="C27" s="26"/>
      <c r="D27" s="33"/>
      <c r="E27" s="33"/>
      <c r="F27" s="33"/>
      <c r="G27" s="33"/>
      <c r="H27" s="103"/>
      <c r="I27" s="26"/>
      <c r="J27" s="78"/>
      <c r="K27" s="78"/>
      <c r="L27" s="26"/>
      <c r="M27" s="26"/>
      <c r="N27" s="26"/>
      <c r="O27" s="26"/>
      <c r="P27" s="26"/>
      <c r="Q27" s="26"/>
      <c r="R27" s="27"/>
      <c r="S27" s="26"/>
      <c r="T27" s="27"/>
      <c r="U27" s="26"/>
      <c r="V27" s="26"/>
      <c r="W27" s="26"/>
    </row>
    <row r="28" spans="2:23" s="102" customFormat="1" ht="12" x14ac:dyDescent="0.25">
      <c r="B28" s="28" t="s">
        <v>90</v>
      </c>
      <c r="C28" s="26" t="s">
        <v>61</v>
      </c>
      <c r="D28" s="33"/>
      <c r="E28" s="125">
        <f>E23-E25</f>
        <v>9</v>
      </c>
      <c r="F28" s="125">
        <f t="shared" ref="F28:H28" si="7">F23-F25</f>
        <v>6</v>
      </c>
      <c r="G28" s="125">
        <f t="shared" si="7"/>
        <v>2.5</v>
      </c>
      <c r="H28" s="125">
        <f t="shared" si="7"/>
        <v>2.5</v>
      </c>
      <c r="I28" s="26"/>
      <c r="J28" s="78"/>
      <c r="K28" s="78"/>
      <c r="L28" s="26"/>
      <c r="M28" s="26"/>
      <c r="N28" s="26"/>
      <c r="O28" s="26"/>
      <c r="P28" s="26"/>
      <c r="Q28" s="26"/>
      <c r="R28" s="27"/>
      <c r="S28" s="26"/>
      <c r="T28" s="27"/>
      <c r="U28" s="26"/>
      <c r="V28" s="26"/>
      <c r="W28" s="26"/>
    </row>
    <row r="29" spans="2:23" s="102" customFormat="1" ht="12" x14ac:dyDescent="0.25">
      <c r="B29" s="28" t="s">
        <v>91</v>
      </c>
      <c r="C29" s="26" t="s">
        <v>63</v>
      </c>
      <c r="D29" s="33"/>
      <c r="E29" s="118">
        <v>0.65</v>
      </c>
      <c r="F29" s="118">
        <v>0.75</v>
      </c>
      <c r="G29" s="118">
        <v>1</v>
      </c>
      <c r="H29" s="128">
        <v>1</v>
      </c>
      <c r="I29" s="26"/>
      <c r="J29" s="78"/>
      <c r="K29" s="78"/>
      <c r="L29" s="26"/>
      <c r="M29" s="26"/>
      <c r="N29" s="26"/>
      <c r="O29" s="26"/>
      <c r="P29" s="26"/>
      <c r="Q29" s="26"/>
      <c r="R29" s="27"/>
      <c r="S29" s="26"/>
      <c r="T29" s="27"/>
      <c r="U29" s="26"/>
      <c r="V29" s="26"/>
      <c r="W29" s="26"/>
    </row>
    <row r="30" spans="2:23" s="102" customFormat="1" ht="12" x14ac:dyDescent="0.25">
      <c r="B30" s="28" t="s">
        <v>92</v>
      </c>
      <c r="C30" s="26" t="s">
        <v>30</v>
      </c>
      <c r="D30" s="33"/>
      <c r="E30" s="33">
        <f>E29*E14</f>
        <v>1248</v>
      </c>
      <c r="F30" s="33">
        <f t="shared" ref="F30:H30" si="8">F29*F14</f>
        <v>2340</v>
      </c>
      <c r="G30" s="33">
        <f t="shared" si="8"/>
        <v>4950</v>
      </c>
      <c r="H30" s="33">
        <f t="shared" si="8"/>
        <v>5850</v>
      </c>
      <c r="I30" s="26"/>
      <c r="J30" s="78"/>
      <c r="K30" s="78"/>
      <c r="L30" s="26"/>
      <c r="M30" s="26"/>
      <c r="N30" s="26"/>
      <c r="O30" s="26"/>
      <c r="P30" s="26"/>
      <c r="Q30" s="26"/>
      <c r="R30" s="27"/>
      <c r="S30" s="26"/>
      <c r="T30" s="27"/>
      <c r="U30" s="26"/>
      <c r="V30" s="26"/>
      <c r="W30" s="26"/>
    </row>
    <row r="31" spans="2:23" s="102" customFormat="1" ht="12" x14ac:dyDescent="0.25">
      <c r="B31" s="28" t="s">
        <v>93</v>
      </c>
      <c r="C31" s="26" t="s">
        <v>30</v>
      </c>
      <c r="D31" s="33">
        <f>SUM(E31:H31)</f>
        <v>52272</v>
      </c>
      <c r="E31" s="33">
        <f>E28*E30</f>
        <v>11232</v>
      </c>
      <c r="F31" s="33">
        <f t="shared" ref="F31:H31" si="9">F28*F30</f>
        <v>14040</v>
      </c>
      <c r="G31" s="33">
        <f t="shared" si="9"/>
        <v>12375</v>
      </c>
      <c r="H31" s="33">
        <f t="shared" si="9"/>
        <v>14625</v>
      </c>
      <c r="I31" s="26"/>
      <c r="J31" s="78"/>
      <c r="K31" s="78"/>
      <c r="L31" s="26"/>
      <c r="M31" s="26"/>
      <c r="N31" s="26"/>
      <c r="O31" s="26"/>
      <c r="P31" s="26"/>
      <c r="Q31" s="26"/>
      <c r="R31" s="27"/>
      <c r="S31" s="26"/>
      <c r="T31" s="27"/>
      <c r="U31" s="26"/>
      <c r="V31" s="26"/>
      <c r="W31" s="26"/>
    </row>
    <row r="32" spans="2:23" s="102" customFormat="1" ht="12" x14ac:dyDescent="0.25">
      <c r="B32" s="28"/>
      <c r="C32" s="26"/>
      <c r="D32" s="33"/>
      <c r="E32" s="33"/>
      <c r="F32" s="33"/>
      <c r="G32" s="33"/>
      <c r="H32" s="103"/>
      <c r="I32" s="26"/>
      <c r="J32" s="78"/>
      <c r="K32" s="78"/>
      <c r="L32" s="26"/>
      <c r="M32" s="26"/>
      <c r="N32" s="26"/>
      <c r="O32" s="26"/>
      <c r="P32" s="26"/>
      <c r="Q32" s="26"/>
      <c r="R32" s="27"/>
      <c r="S32" s="26"/>
      <c r="T32" s="27"/>
      <c r="U32" s="26"/>
      <c r="V32" s="26"/>
      <c r="W32" s="26"/>
    </row>
    <row r="33" spans="2:23" s="102" customFormat="1" ht="12" x14ac:dyDescent="0.25">
      <c r="B33" s="28" t="s">
        <v>11</v>
      </c>
      <c r="C33" s="26" t="s">
        <v>30</v>
      </c>
      <c r="D33" s="33">
        <f>D26+D31</f>
        <v>82512</v>
      </c>
      <c r="E33" s="33">
        <f>E26+E31</f>
        <v>22752</v>
      </c>
      <c r="F33" s="33">
        <f t="shared" ref="F33:H33" si="10">F26+F31</f>
        <v>32760</v>
      </c>
      <c r="G33" s="33">
        <f t="shared" si="10"/>
        <v>12375</v>
      </c>
      <c r="H33" s="33">
        <f t="shared" si="10"/>
        <v>14625</v>
      </c>
      <c r="I33" s="26"/>
      <c r="J33" s="78"/>
      <c r="K33" s="78"/>
      <c r="L33" s="26"/>
      <c r="M33" s="26"/>
      <c r="N33" s="26"/>
      <c r="O33" s="26"/>
      <c r="P33" s="26"/>
      <c r="Q33" s="26"/>
      <c r="R33" s="27"/>
      <c r="S33" s="26"/>
      <c r="T33" s="27"/>
      <c r="U33" s="26"/>
      <c r="V33" s="26"/>
      <c r="W33" s="26"/>
    </row>
    <row r="34" spans="2:23" s="102" customFormat="1" ht="12" x14ac:dyDescent="0.25">
      <c r="B34" s="28" t="s">
        <v>42</v>
      </c>
      <c r="C34" s="26" t="s">
        <v>32</v>
      </c>
      <c r="D34" s="129">
        <f>D33/D11</f>
        <v>2.5785</v>
      </c>
      <c r="E34" s="129">
        <f t="shared" ref="E34:H34" si="11">E33/E11</f>
        <v>7.11</v>
      </c>
      <c r="F34" s="129">
        <f t="shared" si="11"/>
        <v>6.8250000000000002</v>
      </c>
      <c r="G34" s="129">
        <f t="shared" si="11"/>
        <v>1.125</v>
      </c>
      <c r="H34" s="129">
        <f t="shared" si="11"/>
        <v>1.125</v>
      </c>
      <c r="I34" s="26"/>
      <c r="J34" s="78"/>
      <c r="K34" s="78"/>
      <c r="L34" s="26"/>
      <c r="M34" s="26"/>
      <c r="N34" s="26"/>
      <c r="O34" s="26"/>
      <c r="P34" s="26"/>
      <c r="Q34" s="26"/>
      <c r="R34" s="27"/>
      <c r="S34" s="26"/>
      <c r="T34" s="27"/>
      <c r="U34" s="26"/>
      <c r="V34" s="26"/>
      <c r="W34" s="26"/>
    </row>
    <row r="35" spans="2:23" s="102" customFormat="1" ht="12" x14ac:dyDescent="0.25">
      <c r="B35" s="28"/>
      <c r="C35" s="26"/>
      <c r="D35" s="33"/>
      <c r="E35" s="33"/>
      <c r="F35" s="33"/>
      <c r="G35" s="33"/>
      <c r="H35" s="33"/>
      <c r="I35" s="26"/>
      <c r="J35" s="78"/>
      <c r="K35" s="78"/>
      <c r="L35" s="26"/>
      <c r="M35" s="26"/>
      <c r="N35" s="26"/>
      <c r="O35" s="26"/>
      <c r="P35" s="26"/>
      <c r="Q35" s="26"/>
      <c r="R35" s="27"/>
      <c r="S35" s="26"/>
      <c r="T35" s="27"/>
      <c r="U35" s="26"/>
      <c r="V35" s="26"/>
      <c r="W35" s="26"/>
    </row>
    <row r="36" spans="2:23" s="102" customFormat="1" ht="12" x14ac:dyDescent="0.25">
      <c r="B36" s="22" t="s">
        <v>94</v>
      </c>
      <c r="C36" s="36"/>
      <c r="D36" s="23"/>
      <c r="E36" s="23"/>
      <c r="F36" s="23"/>
      <c r="G36" s="23"/>
      <c r="H36" s="23"/>
      <c r="I36" s="23"/>
      <c r="J36" s="23"/>
      <c r="K36" s="23"/>
      <c r="L36" s="23"/>
      <c r="M36" s="27"/>
      <c r="N36" s="27"/>
      <c r="P36" s="36"/>
      <c r="Q36" s="130"/>
      <c r="R36" s="36" t="s">
        <v>95</v>
      </c>
      <c r="S36" s="36"/>
      <c r="T36" s="27"/>
    </row>
    <row r="37" spans="2:23" s="102" customFormat="1" ht="12" x14ac:dyDescent="0.25">
      <c r="B37" s="131" t="s">
        <v>35</v>
      </c>
      <c r="C37" s="39" t="s">
        <v>76</v>
      </c>
      <c r="D37" s="114"/>
      <c r="E37" s="39" t="s">
        <v>96</v>
      </c>
      <c r="F37" s="39" t="s">
        <v>8</v>
      </c>
      <c r="G37" s="39" t="s">
        <v>81</v>
      </c>
      <c r="H37" s="39" t="s">
        <v>37</v>
      </c>
      <c r="I37" s="39" t="s">
        <v>97</v>
      </c>
      <c r="J37" s="39" t="s">
        <v>11</v>
      </c>
      <c r="K37" s="39" t="s">
        <v>39</v>
      </c>
      <c r="L37" s="39" t="s">
        <v>12</v>
      </c>
      <c r="M37" s="39" t="s">
        <v>40</v>
      </c>
      <c r="N37" s="39" t="s">
        <v>41</v>
      </c>
      <c r="P37" s="26" t="s">
        <v>43</v>
      </c>
      <c r="Q37" s="26" t="s">
        <v>44</v>
      </c>
      <c r="R37" s="26" t="s">
        <v>45</v>
      </c>
      <c r="S37" s="26" t="s">
        <v>46</v>
      </c>
      <c r="T37" s="27"/>
    </row>
    <row r="38" spans="2:23" s="102" customFormat="1" ht="12" x14ac:dyDescent="0.25">
      <c r="B38" s="28" t="s">
        <v>98</v>
      </c>
      <c r="C38" s="26" t="s">
        <v>77</v>
      </c>
      <c r="D38" s="28"/>
      <c r="E38" s="132">
        <v>0.35</v>
      </c>
      <c r="F38" s="33">
        <f>$F$41*J38/$J$41</f>
        <v>1120</v>
      </c>
      <c r="G38" s="60">
        <f>$E$13</f>
        <v>0.6</v>
      </c>
      <c r="H38" s="33">
        <f>I38*J38</f>
        <v>8361.36</v>
      </c>
      <c r="I38" s="41">
        <v>1.05</v>
      </c>
      <c r="J38" s="33">
        <f>E38*$E$33</f>
        <v>7963.2</v>
      </c>
      <c r="K38" s="121">
        <v>0.6</v>
      </c>
      <c r="L38" s="33">
        <f>J38*K38</f>
        <v>4777.92</v>
      </c>
      <c r="M38" s="33">
        <f>$E$66*S38/$S$41</f>
        <v>7963.1999999999989</v>
      </c>
      <c r="N38" s="78">
        <f>H38+M38</f>
        <v>16324.56</v>
      </c>
      <c r="P38" s="30">
        <v>33</v>
      </c>
      <c r="Q38" s="33">
        <f>L38/P38</f>
        <v>144.78545454545454</v>
      </c>
      <c r="R38" s="133">
        <v>1</v>
      </c>
      <c r="S38" s="43">
        <f>R38*Q38</f>
        <v>144.78545454545454</v>
      </c>
      <c r="T38" s="27"/>
    </row>
    <row r="39" spans="2:23" s="102" customFormat="1" ht="12" x14ac:dyDescent="0.25">
      <c r="B39" s="28" t="s">
        <v>99</v>
      </c>
      <c r="C39" s="120" t="s">
        <v>77</v>
      </c>
      <c r="D39" s="28"/>
      <c r="E39" s="132">
        <v>0.55000000000000004</v>
      </c>
      <c r="F39" s="33">
        <f t="shared" ref="F39:F40" si="12">$F$41*J39/$J$41</f>
        <v>1760</v>
      </c>
      <c r="G39" s="60">
        <f t="shared" ref="G39:G40" si="13">$E$13</f>
        <v>0.6</v>
      </c>
      <c r="H39" s="33">
        <f t="shared" ref="H39:H40" si="14">I39*J39</f>
        <v>13139.28</v>
      </c>
      <c r="I39" s="41">
        <v>1.05</v>
      </c>
      <c r="J39" s="33">
        <f t="shared" ref="J39:J40" si="15">E39*$E$33</f>
        <v>12513.6</v>
      </c>
      <c r="K39" s="121">
        <v>0.8</v>
      </c>
      <c r="L39" s="33">
        <f t="shared" ref="L39:L40" si="16">J39*K39</f>
        <v>10010.880000000001</v>
      </c>
      <c r="M39" s="33">
        <f t="shared" ref="M39:M40" si="17">$E$66*S39/$S$41</f>
        <v>22023.936000000002</v>
      </c>
      <c r="N39" s="78">
        <f>H39+M39</f>
        <v>35163.216</v>
      </c>
      <c r="P39" s="26"/>
      <c r="Q39" s="26"/>
      <c r="R39" s="134">
        <v>25</v>
      </c>
      <c r="S39" s="43">
        <f>L39/R39</f>
        <v>400.43520000000007</v>
      </c>
      <c r="T39" s="27"/>
    </row>
    <row r="40" spans="2:23" s="102" customFormat="1" ht="12" x14ac:dyDescent="0.25">
      <c r="B40" s="28" t="s">
        <v>26</v>
      </c>
      <c r="C40" s="26" t="s">
        <v>77</v>
      </c>
      <c r="D40" s="28"/>
      <c r="E40" s="132">
        <v>0.1</v>
      </c>
      <c r="F40" s="33">
        <f t="shared" si="12"/>
        <v>320.00000000000006</v>
      </c>
      <c r="G40" s="60">
        <f t="shared" si="13"/>
        <v>0.6</v>
      </c>
      <c r="H40" s="33">
        <f t="shared" si="14"/>
        <v>2388.9600000000005</v>
      </c>
      <c r="I40" s="41">
        <v>1.05</v>
      </c>
      <c r="J40" s="33">
        <f t="shared" si="15"/>
        <v>2275.2000000000003</v>
      </c>
      <c r="K40" s="121">
        <v>0.8</v>
      </c>
      <c r="L40" s="33">
        <f t="shared" si="16"/>
        <v>1820.1600000000003</v>
      </c>
      <c r="M40" s="33">
        <f t="shared" si="17"/>
        <v>4004.3520000000003</v>
      </c>
      <c r="N40" s="78">
        <f t="shared" ref="N40" si="18">H40+M40</f>
        <v>6393.3120000000008</v>
      </c>
      <c r="P40" s="26"/>
      <c r="Q40" s="26"/>
      <c r="R40" s="134">
        <v>25</v>
      </c>
      <c r="S40" s="43">
        <f>L40/R40</f>
        <v>72.806400000000011</v>
      </c>
      <c r="T40" s="27"/>
    </row>
    <row r="41" spans="2:23" s="102" customFormat="1" ht="12" x14ac:dyDescent="0.25">
      <c r="B41" s="131" t="s">
        <v>53</v>
      </c>
      <c r="C41" s="131"/>
      <c r="D41" s="131"/>
      <c r="E41" s="49">
        <f>SUM(E38:E40)</f>
        <v>1</v>
      </c>
      <c r="F41" s="50">
        <f>E11</f>
        <v>3200</v>
      </c>
      <c r="G41" s="50"/>
      <c r="H41" s="50">
        <f>SUM(H38:H40)</f>
        <v>23889.599999999999</v>
      </c>
      <c r="I41" s="49">
        <f>H41/J41</f>
        <v>1.05</v>
      </c>
      <c r="J41" s="50">
        <f>SUM(J38:J40)</f>
        <v>22752</v>
      </c>
      <c r="K41" s="135">
        <f>L41/J41</f>
        <v>0.73000000000000009</v>
      </c>
      <c r="L41" s="50">
        <f>SUM(L38:L40)</f>
        <v>16608.960000000003</v>
      </c>
      <c r="M41" s="50">
        <f>SUM(M38:M40)</f>
        <v>33991.487999999998</v>
      </c>
      <c r="N41" s="50">
        <f>SUM(N38:N40)</f>
        <v>57881.087999999996</v>
      </c>
      <c r="P41" s="52"/>
      <c r="Q41" s="52"/>
      <c r="R41" s="80"/>
      <c r="S41" s="52">
        <f>SUM(S38:S40)</f>
        <v>618.02705454545469</v>
      </c>
      <c r="T41" s="27"/>
    </row>
    <row r="42" spans="2:23" s="102" customFormat="1" ht="12" x14ac:dyDescent="0.25">
      <c r="B42" s="136"/>
      <c r="C42" s="136"/>
      <c r="D42" s="136"/>
      <c r="E42" s="76"/>
      <c r="F42" s="76"/>
      <c r="G42" s="76"/>
      <c r="H42" s="72"/>
      <c r="I42" s="76"/>
      <c r="J42" s="72"/>
      <c r="K42" s="137"/>
      <c r="L42" s="72"/>
      <c r="M42" s="72"/>
      <c r="N42" s="72"/>
      <c r="P42" s="73"/>
      <c r="Q42" s="73"/>
      <c r="R42" s="74"/>
      <c r="S42" s="73"/>
      <c r="T42" s="27"/>
    </row>
    <row r="43" spans="2:23" s="102" customFormat="1" ht="12" x14ac:dyDescent="0.25">
      <c r="B43" s="22" t="s">
        <v>100</v>
      </c>
      <c r="C43" s="24"/>
      <c r="D43" s="23"/>
      <c r="E43" s="23"/>
      <c r="F43" s="23"/>
      <c r="G43" s="23"/>
      <c r="H43" s="23"/>
      <c r="I43" s="23"/>
      <c r="J43" s="23"/>
      <c r="K43" s="23"/>
      <c r="L43" s="23"/>
      <c r="M43" s="27"/>
      <c r="N43" s="27"/>
      <c r="P43" s="23"/>
      <c r="Q43" s="36"/>
      <c r="R43" s="36" t="s">
        <v>95</v>
      </c>
      <c r="T43" s="27"/>
    </row>
    <row r="44" spans="2:23" s="102" customFormat="1" ht="12" x14ac:dyDescent="0.25">
      <c r="B44" s="131" t="s">
        <v>35</v>
      </c>
      <c r="C44" s="39" t="s">
        <v>76</v>
      </c>
      <c r="D44" s="114"/>
      <c r="E44" s="39" t="s">
        <v>96</v>
      </c>
      <c r="F44" s="39" t="s">
        <v>8</v>
      </c>
      <c r="G44" s="39" t="s">
        <v>81</v>
      </c>
      <c r="H44" s="39" t="s">
        <v>37</v>
      </c>
      <c r="I44" s="39" t="s">
        <v>97</v>
      </c>
      <c r="J44" s="39" t="s">
        <v>11</v>
      </c>
      <c r="K44" s="39" t="s">
        <v>39</v>
      </c>
      <c r="L44" s="39" t="s">
        <v>12</v>
      </c>
      <c r="M44" s="39" t="s">
        <v>40</v>
      </c>
      <c r="N44" s="39" t="s">
        <v>41</v>
      </c>
      <c r="P44" s="26" t="s">
        <v>43</v>
      </c>
      <c r="Q44" s="26" t="s">
        <v>44</v>
      </c>
      <c r="R44" s="26" t="s">
        <v>46</v>
      </c>
      <c r="S44" s="81" t="s">
        <v>46</v>
      </c>
      <c r="T44" s="27"/>
    </row>
    <row r="45" spans="2:23" s="102" customFormat="1" ht="12" x14ac:dyDescent="0.25">
      <c r="B45" s="28" t="s">
        <v>101</v>
      </c>
      <c r="C45" s="26" t="s">
        <v>77</v>
      </c>
      <c r="D45" s="28"/>
      <c r="E45" s="138"/>
      <c r="F45" s="33">
        <f>F11</f>
        <v>4800</v>
      </c>
      <c r="G45" s="123">
        <f>F13</f>
        <v>0.65</v>
      </c>
      <c r="H45" s="33">
        <f>J45*I45</f>
        <v>34398</v>
      </c>
      <c r="I45" s="55">
        <v>1.05</v>
      </c>
      <c r="J45" s="30">
        <f>F33</f>
        <v>32760</v>
      </c>
      <c r="K45" s="121">
        <v>0.8</v>
      </c>
      <c r="L45" s="33">
        <f>J45*K45</f>
        <v>26208</v>
      </c>
      <c r="M45" s="78">
        <f>F66</f>
        <v>11796.951406649618</v>
      </c>
      <c r="N45" s="78">
        <f>H45+M45</f>
        <v>46194.951406649619</v>
      </c>
      <c r="P45" s="30">
        <v>115</v>
      </c>
      <c r="Q45" s="78">
        <f>L45/P45</f>
        <v>227.89565217391305</v>
      </c>
      <c r="R45" s="133">
        <v>1</v>
      </c>
      <c r="S45" s="78">
        <f>Q45*R45</f>
        <v>227.89565217391305</v>
      </c>
      <c r="T45" s="27"/>
    </row>
    <row r="46" spans="2:23" s="102" customFormat="1" ht="12" x14ac:dyDescent="0.25">
      <c r="B46" s="28" t="s">
        <v>102</v>
      </c>
      <c r="C46" s="26">
        <v>2</v>
      </c>
      <c r="D46" s="28"/>
      <c r="E46" s="138"/>
      <c r="F46" s="33">
        <f>G11</f>
        <v>11000</v>
      </c>
      <c r="G46" s="123">
        <f>G13</f>
        <v>0.45</v>
      </c>
      <c r="H46" s="33">
        <f>J46*I46</f>
        <v>12993.75</v>
      </c>
      <c r="I46" s="55">
        <v>1.05</v>
      </c>
      <c r="J46" s="30">
        <f>G33</f>
        <v>12375</v>
      </c>
      <c r="K46" s="121">
        <v>0.85</v>
      </c>
      <c r="L46" s="33">
        <f>J46*K46</f>
        <v>10518.75</v>
      </c>
      <c r="M46" s="78">
        <f>G66</f>
        <v>5348.2</v>
      </c>
      <c r="N46" s="78">
        <f t="shared" ref="N46:N47" si="19">H46+M46</f>
        <v>18341.95</v>
      </c>
      <c r="P46" s="30">
        <v>125</v>
      </c>
      <c r="Q46" s="78">
        <f>L46/P46</f>
        <v>84.15</v>
      </c>
      <c r="R46" s="133">
        <v>1.3</v>
      </c>
      <c r="S46" s="78">
        <f t="shared" ref="S46:S47" si="20">Q46*R46</f>
        <v>109.39500000000001</v>
      </c>
      <c r="T46" s="27"/>
    </row>
    <row r="47" spans="2:23" s="102" customFormat="1" ht="12" x14ac:dyDescent="0.25">
      <c r="B47" s="28" t="s">
        <v>103</v>
      </c>
      <c r="C47" s="120">
        <v>3</v>
      </c>
      <c r="E47" s="138"/>
      <c r="F47" s="33">
        <f>H11</f>
        <v>13000</v>
      </c>
      <c r="G47" s="123">
        <f>H13</f>
        <v>0.45</v>
      </c>
      <c r="H47" s="33">
        <f>J47*I47</f>
        <v>15356.25</v>
      </c>
      <c r="I47" s="55">
        <v>1.05</v>
      </c>
      <c r="J47" s="30">
        <f>H33</f>
        <v>14625</v>
      </c>
      <c r="K47" s="121">
        <v>0.85</v>
      </c>
      <c r="L47" s="33">
        <f>J47*K47</f>
        <v>12431.25</v>
      </c>
      <c r="M47" s="78">
        <f>H66</f>
        <v>1236.1555555555533</v>
      </c>
      <c r="N47" s="78">
        <f t="shared" si="19"/>
        <v>16592.405555555553</v>
      </c>
      <c r="P47" s="30">
        <v>125</v>
      </c>
      <c r="Q47" s="78">
        <f>L47/P47</f>
        <v>99.45</v>
      </c>
      <c r="R47" s="133">
        <v>1.3</v>
      </c>
      <c r="S47" s="78">
        <f t="shared" si="20"/>
        <v>129.285</v>
      </c>
      <c r="T47" s="27"/>
    </row>
    <row r="48" spans="2:23" s="102" customFormat="1" ht="12" x14ac:dyDescent="0.25">
      <c r="B48" s="131" t="s">
        <v>53</v>
      </c>
      <c r="C48" s="131"/>
      <c r="D48" s="131"/>
      <c r="E48" s="49">
        <f>SUM(E45:E47)</f>
        <v>0</v>
      </c>
      <c r="F48" s="50">
        <f t="shared" ref="F48:M48" si="21">SUM(F45:F47)</f>
        <v>28800</v>
      </c>
      <c r="G48" s="50"/>
      <c r="H48" s="50">
        <f t="shared" si="21"/>
        <v>62748</v>
      </c>
      <c r="I48" s="49">
        <v>1.05</v>
      </c>
      <c r="J48" s="50">
        <f>SUM(J45:J47)</f>
        <v>59760</v>
      </c>
      <c r="K48" s="135">
        <f>L48/J48</f>
        <v>0.82259036144578312</v>
      </c>
      <c r="L48" s="50">
        <f t="shared" si="21"/>
        <v>49158</v>
      </c>
      <c r="M48" s="50">
        <f t="shared" si="21"/>
        <v>18381.30696220517</v>
      </c>
      <c r="N48" s="50">
        <f>SUM(N45:N47)</f>
        <v>81129.30696220517</v>
      </c>
      <c r="P48" s="52"/>
      <c r="Q48" s="52">
        <f>SUM(Q45:Q47)</f>
        <v>411.49565217391302</v>
      </c>
      <c r="R48" s="80"/>
      <c r="S48" s="52">
        <f>SUM(S45:S47)</f>
        <v>466.575652173913</v>
      </c>
      <c r="T48" s="27"/>
    </row>
    <row r="49" spans="2:8" s="102" customFormat="1" ht="12" x14ac:dyDescent="0.25">
      <c r="C49" s="120"/>
    </row>
    <row r="50" spans="2:8" s="102" customFormat="1" ht="12" x14ac:dyDescent="0.25">
      <c r="B50" s="139" t="s">
        <v>104</v>
      </c>
      <c r="C50" s="140"/>
      <c r="D50" s="141"/>
      <c r="E50" s="141"/>
      <c r="F50" s="141"/>
      <c r="G50" s="141"/>
      <c r="H50" s="141"/>
    </row>
    <row r="51" spans="2:8" s="102" customFormat="1" ht="12" x14ac:dyDescent="0.25">
      <c r="B51" s="142" t="s">
        <v>105</v>
      </c>
      <c r="C51" s="29" t="s">
        <v>30</v>
      </c>
      <c r="D51" s="122">
        <f>SUM(E51:H51)</f>
        <v>2600.0000000000009</v>
      </c>
      <c r="E51" s="119">
        <f>E21</f>
        <v>0</v>
      </c>
      <c r="F51" s="119">
        <f t="shared" ref="F51:H51" si="22">F21</f>
        <v>0</v>
      </c>
      <c r="G51" s="119">
        <f t="shared" si="22"/>
        <v>0</v>
      </c>
      <c r="H51" s="119">
        <f t="shared" si="22"/>
        <v>2600.0000000000009</v>
      </c>
    </row>
    <row r="52" spans="2:8" s="102" customFormat="1" ht="12" x14ac:dyDescent="0.25">
      <c r="B52" s="142" t="s">
        <v>106</v>
      </c>
      <c r="C52" s="29" t="s">
        <v>30</v>
      </c>
      <c r="D52" s="122">
        <f>D51/D53</f>
        <v>25</v>
      </c>
      <c r="E52" s="143">
        <v>25</v>
      </c>
      <c r="F52" s="143">
        <v>25</v>
      </c>
      <c r="G52" s="143">
        <v>25</v>
      </c>
      <c r="H52" s="143">
        <v>25</v>
      </c>
    </row>
    <row r="53" spans="2:8" s="102" customFormat="1" ht="12" x14ac:dyDescent="0.25">
      <c r="B53" s="142" t="s">
        <v>107</v>
      </c>
      <c r="C53" s="29" t="s">
        <v>61</v>
      </c>
      <c r="D53" s="122">
        <f>SUM(E53:H53)</f>
        <v>104.00000000000004</v>
      </c>
      <c r="E53" s="143">
        <f t="shared" ref="E53:H53" si="23">E51/E52</f>
        <v>0</v>
      </c>
      <c r="F53" s="143">
        <f t="shared" si="23"/>
        <v>0</v>
      </c>
      <c r="G53" s="143">
        <f t="shared" si="23"/>
        <v>0</v>
      </c>
      <c r="H53" s="143">
        <f t="shared" si="23"/>
        <v>104.00000000000004</v>
      </c>
    </row>
    <row r="54" spans="2:8" s="102" customFormat="1" ht="12" x14ac:dyDescent="0.25">
      <c r="B54" s="142"/>
      <c r="C54" s="29"/>
      <c r="D54" s="144"/>
    </row>
    <row r="55" spans="2:8" s="102" customFormat="1" ht="12" x14ac:dyDescent="0.25">
      <c r="B55" s="142" t="s">
        <v>108</v>
      </c>
      <c r="C55" s="29" t="s">
        <v>61</v>
      </c>
      <c r="D55" s="122">
        <f>SUM(E55:H55)</f>
        <v>0</v>
      </c>
      <c r="E55" s="119">
        <f>E32</f>
        <v>0</v>
      </c>
      <c r="F55" s="119">
        <f>F32</f>
        <v>0</v>
      </c>
      <c r="G55" s="119">
        <f>G32</f>
        <v>0</v>
      </c>
      <c r="H55" s="119">
        <f>H32</f>
        <v>0</v>
      </c>
    </row>
    <row r="56" spans="2:8" s="102" customFormat="1" ht="12" x14ac:dyDescent="0.25">
      <c r="B56" s="142" t="s">
        <v>109</v>
      </c>
      <c r="C56" s="29" t="s">
        <v>30</v>
      </c>
      <c r="D56" s="122" t="e">
        <f>D55/D57</f>
        <v>#DIV/0!</v>
      </c>
      <c r="E56" s="143">
        <v>40</v>
      </c>
      <c r="F56" s="143">
        <v>40</v>
      </c>
      <c r="G56" s="143">
        <v>40</v>
      </c>
      <c r="H56" s="143">
        <v>40</v>
      </c>
    </row>
    <row r="57" spans="2:8" s="102" customFormat="1" ht="12" x14ac:dyDescent="0.25">
      <c r="B57" s="142" t="s">
        <v>110</v>
      </c>
      <c r="C57" s="29" t="s">
        <v>30</v>
      </c>
      <c r="D57" s="122">
        <f>SUM(E57:H57)</f>
        <v>0</v>
      </c>
      <c r="E57" s="119">
        <f>E55*E56</f>
        <v>0</v>
      </c>
      <c r="F57" s="119">
        <f t="shared" ref="F57:H57" si="24">F55*F56</f>
        <v>0</v>
      </c>
      <c r="G57" s="119">
        <f t="shared" si="24"/>
        <v>0</v>
      </c>
      <c r="H57" s="119">
        <f t="shared" si="24"/>
        <v>0</v>
      </c>
    </row>
    <row r="58" spans="2:8" s="102" customFormat="1" ht="12" x14ac:dyDescent="0.25">
      <c r="B58" s="142" t="s">
        <v>111</v>
      </c>
      <c r="C58" s="29" t="s">
        <v>63</v>
      </c>
      <c r="D58" s="145" t="e">
        <f>D57/D59</f>
        <v>#DIV/0!</v>
      </c>
      <c r="E58" s="41">
        <v>0.85</v>
      </c>
      <c r="F58" s="41">
        <v>0.85</v>
      </c>
      <c r="G58" s="41">
        <v>0.9</v>
      </c>
      <c r="H58" s="41">
        <v>0.9</v>
      </c>
    </row>
    <row r="59" spans="2:8" s="102" customFormat="1" ht="12" x14ac:dyDescent="0.25">
      <c r="B59" s="142" t="s">
        <v>112</v>
      </c>
      <c r="C59" s="29" t="s">
        <v>30</v>
      </c>
      <c r="D59" s="122">
        <f>SUM(E59:H59)</f>
        <v>0</v>
      </c>
      <c r="E59" s="119">
        <f>E57/E58</f>
        <v>0</v>
      </c>
      <c r="F59" s="119">
        <f t="shared" ref="F59:H59" si="25">F57/F58</f>
        <v>0</v>
      </c>
      <c r="G59" s="119">
        <f t="shared" si="25"/>
        <v>0</v>
      </c>
      <c r="H59" s="119">
        <f t="shared" si="25"/>
        <v>0</v>
      </c>
    </row>
    <row r="60" spans="2:8" s="102" customFormat="1" ht="12" x14ac:dyDescent="0.25">
      <c r="B60" s="102" t="s">
        <v>113</v>
      </c>
      <c r="C60" s="120" t="s">
        <v>32</v>
      </c>
      <c r="D60" s="146">
        <f>D59/D14</f>
        <v>0</v>
      </c>
    </row>
    <row r="61" spans="2:8" s="102" customFormat="1" ht="12" x14ac:dyDescent="0.25">
      <c r="C61" s="120"/>
      <c r="D61" s="147"/>
    </row>
    <row r="62" spans="2:8" s="102" customFormat="1" ht="12" x14ac:dyDescent="0.25">
      <c r="B62" s="142" t="s">
        <v>114</v>
      </c>
      <c r="C62" s="29" t="s">
        <v>61</v>
      </c>
      <c r="D62" s="122">
        <f>SUM(E62:H62)</f>
        <v>980.60270671936769</v>
      </c>
      <c r="E62" s="148">
        <f>MAX(S41-E53-E55,0)</f>
        <v>618.02705454545469</v>
      </c>
      <c r="F62" s="148">
        <f>MAX(S45-F53-F55,0)</f>
        <v>227.89565217391305</v>
      </c>
      <c r="G62" s="148">
        <f>MAX(S46-G53-G55,0)</f>
        <v>109.39500000000001</v>
      </c>
      <c r="H62" s="148">
        <f>MAX(S47-H53-H55,0)</f>
        <v>25.284999999999954</v>
      </c>
    </row>
    <row r="63" spans="2:8" s="102" customFormat="1" ht="12" x14ac:dyDescent="0.25">
      <c r="B63" s="142" t="s">
        <v>115</v>
      </c>
      <c r="C63" s="29" t="s">
        <v>30</v>
      </c>
      <c r="D63" s="122">
        <f>D64/D62</f>
        <v>44.000000000000007</v>
      </c>
      <c r="E63" s="143">
        <v>44</v>
      </c>
      <c r="F63" s="143">
        <v>44</v>
      </c>
      <c r="G63" s="143">
        <v>44</v>
      </c>
      <c r="H63" s="143">
        <v>44</v>
      </c>
    </row>
    <row r="64" spans="2:8" s="102" customFormat="1" ht="12" x14ac:dyDescent="0.25">
      <c r="B64" s="142" t="s">
        <v>116</v>
      </c>
      <c r="C64" s="29" t="s">
        <v>30</v>
      </c>
      <c r="D64" s="122">
        <f>SUM(E64:H64)</f>
        <v>43146.519095652184</v>
      </c>
      <c r="E64" s="119">
        <f>E63*E62</f>
        <v>27193.190400000007</v>
      </c>
      <c r="F64" s="119">
        <f t="shared" ref="F64:H64" si="26">F63*F62</f>
        <v>10027.408695652175</v>
      </c>
      <c r="G64" s="119">
        <f t="shared" si="26"/>
        <v>4813.38</v>
      </c>
      <c r="H64" s="119">
        <f t="shared" si="26"/>
        <v>1112.5399999999979</v>
      </c>
    </row>
    <row r="65" spans="2:8" s="102" customFormat="1" ht="12" x14ac:dyDescent="0.25">
      <c r="B65" s="142" t="s">
        <v>117</v>
      </c>
      <c r="C65" s="29" t="s">
        <v>63</v>
      </c>
      <c r="D65" s="145">
        <f>D64/D66</f>
        <v>0.82383457149439643</v>
      </c>
      <c r="E65" s="41">
        <v>0.8</v>
      </c>
      <c r="F65" s="41">
        <v>0.85</v>
      </c>
      <c r="G65" s="41">
        <v>0.9</v>
      </c>
      <c r="H65" s="41">
        <v>0.9</v>
      </c>
    </row>
    <row r="66" spans="2:8" s="102" customFormat="1" ht="12" x14ac:dyDescent="0.25">
      <c r="B66" s="142" t="s">
        <v>118</v>
      </c>
      <c r="C66" s="29" t="s">
        <v>30</v>
      </c>
      <c r="D66" s="122">
        <f>SUM(E66:H66)</f>
        <v>52372.794962205175</v>
      </c>
      <c r="E66" s="119">
        <f>E64/E65</f>
        <v>33991.488000000005</v>
      </c>
      <c r="F66" s="119">
        <f t="shared" ref="F66:H66" si="27">F64/F65</f>
        <v>11796.951406649618</v>
      </c>
      <c r="G66" s="119">
        <f t="shared" si="27"/>
        <v>5348.2</v>
      </c>
      <c r="H66" s="119">
        <f t="shared" si="27"/>
        <v>1236.1555555555533</v>
      </c>
    </row>
    <row r="67" spans="2:8" s="102" customFormat="1" ht="12" x14ac:dyDescent="0.25">
      <c r="B67" s="102" t="s">
        <v>119</v>
      </c>
      <c r="C67" s="120" t="s">
        <v>32</v>
      </c>
      <c r="D67" s="146">
        <f>D66/D11</f>
        <v>1.6366498425689118</v>
      </c>
      <c r="E67" s="149">
        <f>E66/E11</f>
        <v>10.622340000000001</v>
      </c>
      <c r="F67" s="149">
        <f>F66/F11</f>
        <v>2.4576982097186701</v>
      </c>
      <c r="G67" s="149">
        <f>G66/G11</f>
        <v>0.48619999999999997</v>
      </c>
      <c r="H67" s="149">
        <f>H66/H11</f>
        <v>9.5088888888888709E-2</v>
      </c>
    </row>
    <row r="68" spans="2:8" s="102" customFormat="1" ht="12" x14ac:dyDescent="0.25">
      <c r="C68" s="120"/>
      <c r="D68" s="122"/>
    </row>
    <row r="69" spans="2:8" s="102" customFormat="1" ht="12" x14ac:dyDescent="0.25">
      <c r="B69" s="102" t="s">
        <v>120</v>
      </c>
      <c r="C69" s="29" t="s">
        <v>61</v>
      </c>
      <c r="D69" s="122">
        <f>D53+D62+D55</f>
        <v>1084.6027067193677</v>
      </c>
      <c r="E69" s="122">
        <f t="shared" ref="E69:H69" si="28">E53+E62+E55</f>
        <v>618.02705454545469</v>
      </c>
      <c r="F69" s="122">
        <f t="shared" si="28"/>
        <v>227.89565217391305</v>
      </c>
      <c r="G69" s="122">
        <f t="shared" si="28"/>
        <v>109.39500000000001</v>
      </c>
      <c r="H69" s="122">
        <f t="shared" si="28"/>
        <v>129.285</v>
      </c>
    </row>
    <row r="70" spans="2:8" s="102" customFormat="1" ht="12" x14ac:dyDescent="0.25">
      <c r="C70" s="120"/>
    </row>
    <row r="71" spans="2:8" s="102" customFormat="1" ht="12" x14ac:dyDescent="0.25">
      <c r="C71" s="120"/>
      <c r="E71" s="150" t="s">
        <v>121</v>
      </c>
      <c r="F71" s="150"/>
      <c r="G71" s="120" t="s">
        <v>122</v>
      </c>
      <c r="H71" s="120" t="s">
        <v>123</v>
      </c>
    </row>
    <row r="72" spans="2:8" s="102" customFormat="1" ht="12" x14ac:dyDescent="0.25">
      <c r="B72" s="102" t="s">
        <v>124</v>
      </c>
      <c r="C72" s="120"/>
      <c r="E72" s="150">
        <f>(E66+F66)/(E11+F11)</f>
        <v>5.7235549258312028</v>
      </c>
      <c r="F72" s="150"/>
      <c r="G72" s="151">
        <f>G67</f>
        <v>0.48619999999999997</v>
      </c>
      <c r="H72" s="151">
        <f>H67</f>
        <v>9.5088888888888709E-2</v>
      </c>
    </row>
  </sheetData>
  <mergeCells count="2">
    <mergeCell ref="E71:F71"/>
    <mergeCell ref="E72:F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Area Program - BR</vt:lpstr>
      <vt:lpstr>Area Program - 5 Star Hotel</vt:lpstr>
      <vt:lpstr>Project DAS</vt:lpstr>
      <vt:lpstr>Asset_type_1</vt:lpstr>
      <vt:lpstr>Asset_type_2.1</vt:lpstr>
      <vt:lpstr>Land_1</vt:lpstr>
      <vt:lpstr>Land_1.1</vt:lpstr>
      <vt:lpstr>Land_2</vt:lpstr>
      <vt:lpstr>Segement_1</vt:lpstr>
      <vt:lpstr>Segement_2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Akmal</dc:creator>
  <cp:lastModifiedBy>Muhammad Akmal</cp:lastModifiedBy>
  <dcterms:created xsi:type="dcterms:W3CDTF">2025-07-14T12:41:59Z</dcterms:created>
  <dcterms:modified xsi:type="dcterms:W3CDTF">2026-05-02T10:40:20Z</dcterms:modified>
</cp:coreProperties>
</file>