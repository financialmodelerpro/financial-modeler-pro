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acemakersglobal-my.sharepoint.com/personal/ahmad_din_pacemakersglobal_com/Documents/Ahmad Data/3 Financial Modeler Pro/Financial Modeling Platform/Tracker/"/>
    </mc:Choice>
  </mc:AlternateContent>
  <xr:revisionPtr revIDLastSave="35" documentId="13_ncr:1_{8A86EE8E-7B1E-4EDD-B49B-3CD2B26F0888}" xr6:coauthVersionLast="47" xr6:coauthVersionMax="47" xr10:uidLastSave="{EB8B6E86-B47E-4174-8A6F-BE432CC9D731}"/>
  <bookViews>
    <workbookView xWindow="-108" yWindow="-108" windowWidth="23256" windowHeight="12456" xr2:uid="{00000000-000D-0000-FFFF-FFFF00000000}"/>
  </bookViews>
  <sheets>
    <sheet name="Architecture" sheetId="1" r:id="rId1"/>
    <sheet name="Tracker" sheetId="2" r:id="rId2"/>
    <sheet name="Promp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G5" i="3"/>
  <c r="F5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</calcChain>
</file>

<file path=xl/sharedStrings.xml><?xml version="1.0" encoding="utf-8"?>
<sst xmlns="http://schemas.openxmlformats.org/spreadsheetml/2006/main" count="573" uniqueCount="408">
  <si>
    <t>REFM Platform: Architecture Reference</t>
  </si>
  <si>
    <t>Locked decisions. Every prompt must comply with these. Version 2 (supersedes Modeling_Hub_Prompt.xlsx)</t>
  </si>
  <si>
    <t>1. DATA HIERARCHY</t>
  </si>
  <si>
    <t>Layers</t>
  </si>
  <si>
    <t>5 layers: Master Holding → Sub-Project (Fund) → Phase → Asset → Sub-Unit. Single-project users leave Master Holding null. Sub-Project = a fund / zone / standalone project. Phase = sequenced timeline chunk within a Sub-Project. Asset = building or operating entity. Sub-Unit = saleable/operable inventory within an asset.</t>
  </si>
  <si>
    <t>Master Holding</t>
  </si>
  <si>
    <t>Optional top-level entity owning master land, takes revenue share % from each Sub-Project, carries master debt for land acquisition. Has its own P&amp;L, cashflow, returns. When present, Sub-Projects contribute equity (cash + land in-kind), pay revenue share, and roll up to Master Holding consolidation.</t>
  </si>
  <si>
    <t>Sub-Project (Fund)</t>
  </si>
  <si>
    <t>Independent financing unit. Has its own equity stack (cash + land in-kind), debt, scenarios, returns (FCFE IRR, DDM IRR, MOIC). Can have one or many Phases. Can stand alone (no Master Holding) or be part of a Master Holding.</t>
  </si>
  <si>
    <t>Phase</t>
  </si>
  <si>
    <t>Sequenced chunk with own Construction Start / Operations Start / Handover. Multiple Phases can overlap. Each Phase has its own capex curve, can have its own asset list. Phase-level financing is permitted but optional (most cases finance at Sub-Project level).</t>
  </si>
  <si>
    <t>Asset</t>
  </si>
  <si>
    <t>Building or operating entity. Has type (locked enum from list of 20, see section 2), category (Sell/Operate/Lease/Hybrid - drives form rendering), one or more Sub-Units. Has own land allocation, capex stack (9 categories), revenue stream(s).</t>
  </si>
  <si>
    <t>Sub-Unit</t>
  </si>
  <si>
    <t>Inventory unit. For Sell mode: 1BR/2BR/Studio/Branded Suite/Villa V1/V2 etc. For Operate mode: Twin Key/King Key/Suite. For Lease mode: optional split by floor or zone. Each Sub-Unit has area, count, price/rate, and may have its own pricing escalation.</t>
  </si>
  <si>
    <t>Securitization</t>
  </si>
  <si>
    <t>OUT OF SCOPE for v1. Not modeled. Defer to v2.</t>
  </si>
  <si>
    <t>2. ASSET TYPE CATALOG</t>
  </si>
  <si>
    <t>Pre-built types (20)</t>
  </si>
  <si>
    <t>Sell category: Branded Villas, Branded Apartments, High-end Villas, High-end Apartments, Class B Apartments. Operate category: Hotel 4-star, Hotel 5-star, Resort, Serviced Apartments, Senior Living, Student Housing. Lease category: Retail, Office, Industrial, Healthcare, Self-Storage, Data Center. Mixed/Special: Marina, Cinema, Mixed-Use.</t>
  </si>
  <si>
    <t>Custom types</t>
  </si>
  <si>
    <t>User can add custom asset types. Required fields: name (string), category (dropdown: Sell / Operate / Lease / Hybrid). Category drives form rendering, Sell shows units × price form, Operate shows occupancy × ADR form, Lease shows area × rate form, Hybrid shows multiple stream forms.</t>
  </si>
  <si>
    <t>Category enum</t>
  </si>
  <si>
    <t>Sell, Operate, Lease, Hybrid. Locked. Hybrid asset can have 2+ revenue streams (e.g., serviced apartments selling AND operating same units; mixed-use building leasing podium and operating hotel floors). Each stream is configured separately within the Hybrid asset.</t>
  </si>
  <si>
    <t>Type → P&amp;L mapping</t>
  </si>
  <si>
    <t>Sell types use revenue recognition + receivables roll-forward. Operate types use full Uniform System of Accounts P&amp;L (see section 6). Lease types use NOI = Revenue − OpEx. Hybrid types compose multiple.</t>
  </si>
  <si>
    <t>3. CURRENCY</t>
  </si>
  <si>
    <t>Single currency per project</t>
  </si>
  <si>
    <t>v1 limitation. Set at Sub-Project creation. All values in that currency. Master Holding currency = Sub-Projects currency (must match).</t>
  </si>
  <si>
    <t>Multi-currency</t>
  </si>
  <si>
    <t>DEFERRED to v2.</t>
  </si>
  <si>
    <t>4. SCENARIO SYSTEM</t>
  </si>
  <si>
    <t>Three primary scenarios</t>
  </si>
  <si>
    <t>Base / Management / Upside. Each is a named scenario stored as a delta over Base assumptions for: occupancy curves, ADR growth, sale velocity, down payment %, escalation, payment plan installments, rental growth, vacancy.</t>
  </si>
  <si>
    <t>Additional scenarios</t>
  </si>
  <si>
    <t>User can add unlimited additional named scenarios. UI surfaces the 3 primaries by default; user accesses extras via a 'More scenarios' menu.</t>
  </si>
  <si>
    <t>Active scenario</t>
  </si>
  <si>
    <t>Toggle in Topbar drives display. All KPIs, charts, exports reflect active scenario.</t>
  </si>
  <si>
    <t>Sensitivity inputs</t>
  </si>
  <si>
    <t>Per scenario, user can override: occupancy %, ADR growth %, ADR base, sale velocity (units sold per year curve), down payment %, escalation %, payment plan installments, rental growth %, vacancy %. Other inputs inherit from Base.</t>
  </si>
  <si>
    <t>Final Dashboard scenario toggle</t>
  </si>
  <si>
    <t>Module 11 dashboard has live scenario switcher. KPIs, charts, returns refresh on toggle without reload.</t>
  </si>
  <si>
    <t>5. FINANCING STRUCTURE</t>
  </si>
  <si>
    <t>Tranches</t>
  </si>
  <si>
    <t>Up to 3 financing tranches per Sub-Project, with seniority order (1=most senior). Each tranche has: name, principal amount or % of capex, term, interest rate (fixed only for v1), drawdown schedule (linear / s-curve / custom %), repayment method (fixed / cash sweep / balloon), repayment start period. Standard pattern: Senior + Mezzanine + Equity.</t>
  </si>
  <si>
    <t>Equity composition</t>
  </si>
  <si>
    <t>Equity = Cash + Land In-kind. Both contribute to equity stack. Land in-kind value uses Land Value × parcel allocation. Cash equity drawdowns scheduled separately.</t>
  </si>
  <si>
    <t>Interest</t>
  </si>
  <si>
    <t>Fixed rate per tranche for v1. Floating (SAIBOR + premium) deferred to v2. Interest During Construction capitalizes per tranche toggle. Half-period interest convention on drawdowns.</t>
  </si>
  <si>
    <t>Master Fund debt</t>
  </si>
  <si>
    <t>If Master Holding exists, it can carry its own debt (typically for land acquisition) separate from Sub-Project debt. Master Holding interest expensed against Master Holding revenue share.</t>
  </si>
  <si>
    <t>DSCR / ICR</t>
  </si>
  <si>
    <t>Calculated and displayed per period. DSCR &lt; 1.2x flagged amber, &lt; 1.0x flagged red. Used for monitoring, not for sizing in v1.</t>
  </si>
  <si>
    <t>OUT OF SCOPE.</t>
  </si>
  <si>
    <t>6. HOSPITALITY P&amp;L (Uniform System of Accounts for the Lodging Industry, USAH)</t>
  </si>
  <si>
    <t>Revenue</t>
  </si>
  <si>
    <t>Departmental: Rooms (Occupied Nights × ADR), F&amp;B (% of Rooms or Occupied × Guests/Room × Spend/Guest), Spa/Health Club (% of Rooms), Other (% of Rooms). ADR Growth Rate per year (compounding).</t>
  </si>
  <si>
    <t>Departmental Expenses</t>
  </si>
  <si>
    <t>Per department as % of departmental revenue. Defaults: Rooms 15-25%, F&amp;B 50-60%, Spa 50%, Other 40%. User configurable per asset.</t>
  </si>
  <si>
    <t>Departmental Income</t>
  </si>
  <si>
    <t>Departmental Revenue − Departmental Expenses.</t>
  </si>
  <si>
    <t>Undistributed Operating Expenses</t>
  </si>
  <si>
    <t>% of total revenue: A&amp;G (Admin &amp; General), Group Services, Marketing/Sales, POM (Property Ops &amp; Maintenance), Utilities. User configurable per asset.</t>
  </si>
  <si>
    <t>Gross Operating Profit (GOP)</t>
  </si>
  <si>
    <t>Departmental Income − Undistributed.</t>
  </si>
  <si>
    <t>Base Management Fee</t>
  </si>
  <si>
    <t>% of total revenue. User configurable. Defaults vary 1.5-3%.</t>
  </si>
  <si>
    <t>Adjusted GOP</t>
  </si>
  <si>
    <t>GOP − Base Management Fee.</t>
  </si>
  <si>
    <t>Fixed Expenses</t>
  </si>
  <si>
    <t>Incentive Management Fee (% of Adjusted GOP), Insurance (% of revenue), Replacement Reserve / FF&amp;E Reserve (% of revenue), Property Tax / Land Lease (if applicable).</t>
  </si>
  <si>
    <t>EBITDA after FF&amp;E Reserve</t>
  </si>
  <si>
    <t>Final operating output. Reported with PAR (per available room) and POR (per occupied room) KPIs.</t>
  </si>
  <si>
    <t>Land Lease</t>
  </si>
  <si>
    <t>Optional toggle per asset. Deducted as separate line above EBITDA when active. Has own growth rate.</t>
  </si>
  <si>
    <t>7. REVENUE MODES (3 modes + hybrid)</t>
  </si>
  <si>
    <t>SELL mode</t>
  </si>
  <si>
    <t>Inventory: Sub-Units × Price/Unit OR Area sqm × Price/sqm. Indexation factor compounding annually. Pre-sale velocity schedule (% sold per year, sums to ≤100%). Down Payment % per year. Payment plan after DP (installments over N years). Cash collection profile per cohort (2D matrix: Year-N sales generate collections in Year N, N+1, N+2 per installment schedule). Revenue Recognition profile separate from cash collection (over construction period). Sales During Operation (residual unsold sold post-handover at indexed price). Receivables Roll-Forward: Opening + New Sales − Collected = Closing. Sales Commission % deducted from revenue.</t>
  </si>
  <si>
    <t>OPERATE mode (full USAH per section 6)</t>
  </si>
  <si>
    <t>Inventory: Keys/Units × Days/Year × Occupancy %. Revenue: Occupied × ADR. F&amp;B/Spa/Other as % of Rooms. Operations Start Year per asset (not project-level). Multi-scenario occupancy curves.</t>
  </si>
  <si>
    <t>LEASE mode</t>
  </si>
  <si>
    <t>Inventory: Total Lease Area sqm. Loading factor: Gross × (1−Loading%) = Rentable. Vacancy %: Rentable × (1−Vacancy) = Leased. Revenue = Leased × Rent SAR/sqm/year. Rental Growth Rate compounding. OpEx % of revenue (or itemized). NOI = Revenue − OpEx.</t>
  </si>
  <si>
    <t>HYBRID mode</t>
  </si>
  <si>
    <t>Asset has 2+ revenue streams running simultaneously. Common case: serviced apartments (Sell + Operate same units, sold post-handover). Mixed-use building (Lease podium + Operate hotel floors). Each stream configured separately, all roll up to single asset P&amp;L.</t>
  </si>
  <si>
    <t>8. CAPEX STACK (per Asset)</t>
  </si>
  <si>
    <t>9 line categories</t>
  </si>
  <si>
    <t>1. Land Cost (parcel area × rate × active flag). 2. Hard Construction (broken by Sub-Unit, sqm × rate or per-key). 3. Construction Parking (Parking sqm × rate). 4. Infrastructure (Land sqm × % × rate). 5. Landscaping (Land sqm × % × rate). 6. Pre-operating (% of Hard + Infra + Landscape). 7. Professional Fee (% of Hard + Parking). 8. Commission (% of Pre-sale + Post-operation revenue, creates loop). 9. Contingency (% of Hard + Parking).</t>
  </si>
  <si>
    <t>Capex phasing</t>
  </si>
  <si>
    <t>Each cost category has its own % allocation across construction periods, summing to 100%. Standard patterns: Land 100% Y1, Hard 30/30/30/10 over 4 years, Pre-op spread per asset operations curve, Commission tied to revenue schedule.</t>
  </si>
  <si>
    <t>Cost methods</t>
  </si>
  <si>
    <t>fixed, rate_total_allocated, rate_net_developable, rate_roads, rate_gfa, rate_bua, percent_base (loops over selectedIds), percent_total_land, percent_cash_land, percent_inkind_land. Existing Module 1 supports these, preserve.</t>
  </si>
  <si>
    <t>Project-scope vs asset-scope</t>
  </si>
  <si>
    <t>Cost item has scope='asset' (belongs to one asset) or scope='project' (allocated across assets via direct_cost share or gfa share). Existing Module 1 V14, preserve.</t>
  </si>
  <si>
    <t>Dev Fee circular</t>
  </si>
  <si>
    <t>When devFeeMode='include', dev fee total = base × rate / (1 − rate). Existing V14 logic, preserve.</t>
  </si>
  <si>
    <t>9. AI AGENTS</t>
  </si>
  <si>
    <t>Research agent</t>
  </si>
  <si>
    <t>Pulls market intel for a city: population, demographics, GDP, key sectors, infrastructure, transport, regulations. Anthropic SDK + web search tool. Cached per city for 7 days.</t>
  </si>
  <si>
    <t>Market Rates agent</t>
  </si>
  <si>
    <t>Pulls current ADR / RevPAR / Cap Rates / Rental rates / Construction costs by (city, asset_type) pair. Anthropic SDK + web search tool. Cached per (city, asset_type) for 7 days.</t>
  </si>
  <si>
    <t>User override</t>
  </si>
  <si>
    <t>Every agent-suggested value has user override input. User-set values take priority. Agent values are suggestions stored separately for audit.</t>
  </si>
  <si>
    <t>Cost control</t>
  </si>
  <si>
    <t>Cache aggressively. Single agent run per (key, day) per user. Display 'Last refreshed N days ago' with manual refresh button.</t>
  </si>
  <si>
    <t>10. EXPORT</t>
  </si>
  <si>
    <t>Excel Static</t>
  </si>
  <si>
    <t>Token-driven exceljs. FAST color convention (blue inputs / black formulas / green cross-sheet / red external / yellow assumptions). Built. Phase 2 of design tokens shipped.</t>
  </si>
  <si>
    <t>Excel Formula</t>
  </si>
  <si>
    <t>Full formula-driven workbook with named ranges, XIRR/XNPV, scenario switches via INDIRECT, sensitivity tables. Enterprise tier. Build in Module 13.</t>
  </si>
  <si>
    <t>PDF Basic</t>
  </si>
  <si>
    <t>@react-pdf/renderer. Token-driven. Built. Phase 3 shipped.</t>
  </si>
  <si>
    <t>PDF Whitelabel</t>
  </si>
  <si>
    <t>Per-client branded PDF (logo, color override, custom footer). Enterprise tier. Build in Module 13.</t>
  </si>
  <si>
    <t>Investment Memorandum (PDF + PPT)</t>
  </si>
  <si>
    <t>Module 12. Sections: Cover, Exec Summary, Highlights, Market, Location, Project Description, Development Program, Financial Summary, Investment Structure, Comparables, Risks, Macro, Developer Profile. PDF + PPT formats. v1 only static export, in-app interactive view deferred.</t>
  </si>
  <si>
    <t>11. FINAL DASHBOARD (Module 11)</t>
  </si>
  <si>
    <t>Purpose</t>
  </si>
  <si>
    <t>Project home screen with live KPIs, charts, scenario switcher. Becomes the default view after Module 1 setup is complete.</t>
  </si>
  <si>
    <t>KPIs</t>
  </si>
  <si>
    <t>IRR (FCFE + DDM), MOIC, NPV at user-set discount rate, Payback Year, Development Margin %, Profit on Cost %, Cash-on-Cash, DSCR average, LTC, LTV, Equity Multiple.</t>
  </si>
  <si>
    <t>Charts</t>
  </si>
  <si>
    <t>Cashflow waterfall (capex → revenue → debt service → equity returns), Sources &amp; Uses bar, Returns by year line, Sensitivity tornado, Breakeven occupancy chart, Capital stack pie, Distribution timeline.</t>
  </si>
  <si>
    <t>Scenario switcher</t>
  </si>
  <si>
    <t>Top-of-page toggle for Base / Management / Upside / Custom. All metrics + charts refresh live.</t>
  </si>
  <si>
    <t>Sensitivity tables</t>
  </si>
  <si>
    <t>NPV vs discount rate, IRR vs occupancy, IRR vs sale price, IRR vs ADR. 2D tables with conditional formatting.</t>
  </si>
  <si>
    <t>Breakeven analysis</t>
  </si>
  <si>
    <t>Per asset: occupancy that breaks even on EBITDA / Interest / Debt Service. For Sell: sale price that breaks even on equity invested.</t>
  </si>
  <si>
    <t>12. DESIGN TOKENS &amp; FAST CONVENTION (locked from Phase 1-4)</t>
  </si>
  <si>
    <t>Token system</t>
  </si>
  <si>
    <t>src/hubs/modeling/design-tokens/. Universal across all platforms. Pulled from CMS header_settings.brand_color (currently #1E3A8A navy) for chrome. FAST cells encoded as semantic tokens.</t>
  </si>
  <si>
    <t>FAST cell rules</t>
  </si>
  <si>
    <t>Inputs: blue text on white background (--color-navy-pale + --color-navy). Formulas: black text on light grey (--color-grey-pale + --color-heading). Linked: green text. External: red text. Assumptions: yellow background. ABSOLUTE: no hardcoded hex anywhere outside token files.</t>
  </si>
  <si>
    <t>Cell primitives</t>
  </si>
  <si>
    <t>InputCell, FormulaCell, LinkedCell, AssumptionCell, SectionHeader, KpiCard, TableHeader. Use these, do not write inline styles.</t>
  </si>
  <si>
    <t>Light + Dark mode</t>
  </si>
  <si>
    <t>All components must work in both. Light = white surfaces. Dark = navy-tinted surfaces. Brand chrome stays navy in both. Test every screen in both modes.</t>
  </si>
  <si>
    <t>13. PERSISTENCE</t>
  </si>
  <si>
    <t>Current state</t>
  </si>
  <si>
    <t>localStorage key refm_v2. JSON-serialized. Per-project versioning. NO Supabase persistence yet.</t>
  </si>
  <si>
    <t>v1 target</t>
  </si>
  <si>
    <t>Move REFM project storage to Supabase. New tables: refm_projects, refm_project_versions. Per-user RLS. localStorage becomes cache only. Migration: existing localStorage data uploads to Supabase on next save.</t>
  </si>
  <si>
    <t>Schema migration policy</t>
  </si>
  <si>
    <t>Every breaking schema change has a migrator function. Loaded versions auto-upgrade to current schema. Document in CLAUDE-DB.md.</t>
  </si>
  <si>
    <t>14. FOLDER STRUCTURE</t>
  </si>
  <si>
    <t>Hubs structure</t>
  </si>
  <si>
    <t>src/core/ (DB, types, env, formatters), src/shared/ (auth, email, newsletter), src/hubs/main/, src/hubs/training/, src/hubs/modeling/. Modeling Hub: src/hubs/modeling/platforms/refm/ (and reserved bvm/, fpa/, etc.).</t>
  </si>
  <si>
    <t>REFM internal structure</t>
  </si>
  <si>
    <t>src/hubs/modeling/platforms/refm/components/ (UI), components/cells/ (cell primitives), components/modules/ (Module N tabs), lib/modules/ (calculation engines per module), lib/exporters/ (excel + pdf builders), lib/agents/ (research + market-rates), lib/state/ (Zustand store after refactor).</t>
  </si>
  <si>
    <t>ESLint boundary</t>
  </si>
  <si>
    <t>Enforced. modeling cannot import from training. core/shared shared by all. Already in place.</t>
  </si>
  <si>
    <t>15. PROCESS RULES (carry over from Phase 1-4)</t>
  </si>
  <si>
    <t>Ahmad → Claude (chat) → Claude Code</t>
  </si>
  <si>
    <t>Ahmad describes task. Chat-Claude writes prompt. Ahmad pastes to Claude Code. Code executes, commits, pushes, reports.</t>
  </si>
  <si>
    <t>Per-phase commit</t>
  </si>
  <si>
    <t>One logical commit per phase. Type-check + build pass before commit.</t>
  </si>
  <si>
    <t>Snapshot diff</t>
  </si>
  <si>
    <t>Mandatory for any change to Module 1 calculation files. scripts/module1-snapshot-diff.ts must exit 0.</t>
  </si>
  <si>
    <t>No em dashes</t>
  </si>
  <si>
    <t>Use commas / colons / periods / parentheses / and-or instead. Carries to all written output, code comments, UI strings, exports.</t>
  </si>
  <si>
    <t>Eyeball verification</t>
  </si>
  <si>
    <t>After every UI commit, Ahmad verifies in browser before approving next phase. Light + dark both checked.</t>
  </si>
  <si>
    <t>Stop at boundaries</t>
  </si>
  <si>
    <t>Each phase pauses for confirmation. No multi-phase scope creep without explicit approval.</t>
  </si>
  <si>
    <t>REFM Platform: Build Tracker</t>
  </si>
  <si>
    <t>Sequenced execution plan. Each phase pauses for verification before next.</t>
  </si>
  <si>
    <t>Ph#</t>
  </si>
  <si>
    <t>Deliverable</t>
  </si>
  <si>
    <t>Status</t>
  </si>
  <si>
    <t>Hours</t>
  </si>
  <si>
    <t>Dependencies</t>
  </si>
  <si>
    <t>F0</t>
  </si>
  <si>
    <t>Folder restructure</t>
  </si>
  <si>
    <t>src/hubs/, src/core/, src/shared/, ESLint boundaries, path aliases</t>
  </si>
  <si>
    <t>Done</t>
  </si>
  <si>
    <t>Pre-existing</t>
  </si>
  <si>
    <t>F1</t>
  </si>
  <si>
    <t>Design tokens system</t>
  </si>
  <si>
    <t>src/hubs/modeling/design-tokens/, FAST cells, light+dark, Tailwind wiring, README</t>
  </si>
  <si>
    <t>F2</t>
  </si>
  <si>
    <t>Excel exporter token retrofit</t>
  </si>
  <si>
    <t>lib/exporters/excel.ts pure builder, FAST cell colors, fixture script</t>
  </si>
  <si>
    <t>F3</t>
  </si>
  <si>
    <t>PDF exporter token retrofit</t>
  </si>
  <si>
    <t>lib/exporters/pdf.ts pure builder, FAST cell colors, fixture script</t>
  </si>
  <si>
    <t>F4</t>
  </si>
  <si>
    <t>Module 1 snapshot guard</t>
  </si>
  <si>
    <t>tests/fixtures/module1-reference.json + scripts/module1-snapshot-diff.ts</t>
  </si>
  <si>
    <t>F5</t>
  </si>
  <si>
    <t>REFM component token retrofit</t>
  </si>
  <si>
    <t>All 15 REFM files. Phase 4.1-4.15. Hex/rgba grep zero across folder.</t>
  </si>
  <si>
    <t>F1, F4</t>
  </si>
  <si>
    <t>F6</t>
  </si>
  <si>
    <t>Modeling Hub sidebar shell</t>
  </si>
  <si>
    <t>/modeling/dashboard sidebar layout, CMS logo, dark mode toggle</t>
  </si>
  <si>
    <t>F7</t>
  </si>
  <si>
    <t>REFM Topbar dark mode toggle</t>
  </si>
  <si>
    <t>Independent localStorage key, scoped to .app-shell</t>
  </si>
  <si>
    <t>F8</t>
  </si>
  <si>
    <t>Module name editing</t>
  </si>
  <si>
    <t>ProjectModal edit mode wired, pencil button on Overview + Projects</t>
  </si>
  <si>
    <t>M1.R</t>
  </si>
  <si>
    <t>Module 1 typed-shape refactor</t>
  </si>
  <si>
    <t>Lift hardcoded asset enum to AssetClass[]; replace single-phase model with Phase[]; normalize residentialCosts/hospitalityCosts/retailCosts into a single costs[] keyed by assetId. Calculations bit-identical (snapshot diff exit 0). Persistence migrator handles old refm_v2 shape.</t>
  </si>
  <si>
    <t>Not started</t>
  </si>
  <si>
    <t>F4 snapshot</t>
  </si>
  <si>
    <t>M1.5</t>
  </si>
  <si>
    <t>Module 1 hierarchy upgrade</t>
  </si>
  <si>
    <t>Add Master Holding (optional) → Sub-Project → Phase → Asset → Sub-Unit support to Module 1. UI gains Hierarchy tab (5th tab) for managing layers. Existing Timeline/Area/Costs/Financing tabs remain but operate per-Phase.</t>
  </si>
  <si>
    <t>M1.6</t>
  </si>
  <si>
    <t>Module 1 Supabase persistence</t>
  </si>
  <si>
    <t>Migrate from localStorage to Supabase tables refm_projects, refm_project_versions. Per-user RLS. localStorage becomes cache. Migrator uploads existing data on first save.</t>
  </si>
  <si>
    <t>M2.1</t>
  </si>
  <si>
    <t>Module 2, Revenue: Sell stream</t>
  </si>
  <si>
    <t>Per-asset Sell mode: Sub-Units × price grid, indexation, pre-sale velocity schedule, down payment %, payment plan installments, cash collection cohort matrix, revenue recognition profile, sales during operation, receivables roll-forward, sales commission. Outputs to Module1Exports interface for downstream modules.</t>
  </si>
  <si>
    <t>M2.2</t>
  </si>
  <si>
    <t>Module 2, Revenue: Operate stream (USAH)</t>
  </si>
  <si>
    <t>Per-asset Operate mode: Keys × Days × Occupancy = Occupied, ADR + ADR growth, F&amp;B as % of Rooms or per-occupied, Spa, Other. Departmental Revenue + Departmental Expenses + Departmental Income + Undistributed (A&amp;G/Marketing/POM/Utilities) + GOP + Base Mgmt Fee + Adjusted GOP + Fixed (Insurance/FF&amp;E Reserve/Property Tax/Land Lease) + Incentive Mgmt Fee. EBITDA after FF&amp;E Reserve. PAR + POR KPIs. Multi-scenario occupancy curves.</t>
  </si>
  <si>
    <t>M2.3</t>
  </si>
  <si>
    <t>Module 2, Revenue: Lease stream</t>
  </si>
  <si>
    <t>Per-asset Lease mode: Total Lease Area, Loading factor, Vacancy %, Rent/sqm, Rental Growth Rate, OpEx (% of revenue or itemized). NOI = Revenue − OpEx.</t>
  </si>
  <si>
    <t>M2.4</t>
  </si>
  <si>
    <t>Module 2, Revenue: Hybrid composition</t>
  </si>
  <si>
    <t>Hybrid asset combines 2+ streams (e.g., serviced apartments Sell + Operate same units). Streams configured separately, roll up to single asset P&amp;L. Common patterns pre-built: Serviced Apartments, Mixed-Use Building (Lease podium + Operate hotel).</t>
  </si>
  <si>
    <t>M2.1, M2.2, M2.3</t>
  </si>
  <si>
    <t>M2.5</t>
  </si>
  <si>
    <t>Module 2 UI tabs</t>
  </si>
  <si>
    <t>Tabs per Asset: Stream config, Pricing/ADR/Rent, Schedules (velocity/occupancy/vacancy), Outputs (per-period revenue + collections). FAST cells throughout.</t>
  </si>
  <si>
    <t>M2.1-M2.4</t>
  </si>
  <si>
    <t>M2.6</t>
  </si>
  <si>
    <t>Module 2 sample fixture + snapshot guard</t>
  </si>
  <si>
    <t>Add Module 2 to scripts/snapshot-diff. Cover Sell + Operate + Lease + Hybrid sample assets. Reference numbers verified against MAAD + Hospitality fixture patterns.</t>
  </si>
  <si>
    <t>M3</t>
  </si>
  <si>
    <t>Module 3, Operating Expenses</t>
  </si>
  <si>
    <t>Beyond hospitality direct opex (handled in M2.2): corporate overhead (e.g., New Company Costs SAR 2M/year), Zakat/Tax %, Working Capital days. Per-period schedules. Outputs ready for M5 financial statements.</t>
  </si>
  <si>
    <t>M2</t>
  </si>
  <si>
    <t>M4.1</t>
  </si>
  <si>
    <t>Module 4, Project IRR / Equity IRR</t>
  </si>
  <si>
    <t>Unlevered Project IRR (capex out, NOI/EBITDA in, terminal value in). Levered Equity IRR (after debt service). Per Sub-Project. Per Master Holding (when present).</t>
  </si>
  <si>
    <t>M2, M3</t>
  </si>
  <si>
    <t>M4.2</t>
  </si>
  <si>
    <t>Module 4, FCFE + DDM dual returns</t>
  </si>
  <si>
    <t>FCFE IRR/MOIC and DDM IRR/MOIC computed in parallel per Sub-Project. Shareholder split when JV (e.g., 65/35) drives per-investor returns. Match Hospitality + Alma model patterns.</t>
  </si>
  <si>
    <t>M4.3</t>
  </si>
  <si>
    <t>Module 4, NPV, MOIC, Payback, Margins</t>
  </si>
  <si>
    <t>NPV at user-discount-rate, MOIC = total distributions / total equity, Payback Year (cumulative cash crosses zero), Development Margin = (Revenue − Cost) / Revenue, Profit on Cost = (Revenue − Cost) / Cost, Cash-on-Cash annual.</t>
  </si>
  <si>
    <t>M4.4</t>
  </si>
  <si>
    <t>Module 4, DSCR, ICR, LTC, LTV per period</t>
  </si>
  <si>
    <t>Coverage and leverage ratios per period. DSCR &lt; 1.2x amber, &lt; 1.0x red. Display in returns dashboard.</t>
  </si>
  <si>
    <t>M4.5</t>
  </si>
  <si>
    <t>Module 4, Terminal Value</t>
  </si>
  <si>
    <t>Terminal Value computed at terminal year per asset: capitalized NOI / cap rate, OR multiple × final-year EBITDA, OR exit price. User picks method per asset. Selling Cost % deducted.</t>
  </si>
  <si>
    <t>M5.1</t>
  </si>
  <si>
    <t>Module 5, P&amp;L statement</t>
  </si>
  <si>
    <t>Per-period P&amp;L per Sub-Project: Revenue (by stream) → COGS (capex amortized over recognized revenue for Sell, none for Operate/Lease) → Gross Profit → OpEx → EBITDA → D&amp;A → EBIT → Interest → EBT → Tax/Zakat → Net Income.</t>
  </si>
  <si>
    <t>M2, M3, M4</t>
  </si>
  <si>
    <t>M5.2</t>
  </si>
  <si>
    <t>Module 5, Cash Flow statement</t>
  </si>
  <si>
    <t>Per-period CF per Sub-Project: Operating CF (EBITDA − Tax − ΔWC) + Investing CF (Capex, FF&amp;E Reserve) + Financing CF (Equity drawdown, Debt drawdown, Debt repayment, Interest paid, Dividends) = Net Change. Master Holding consolidated CF when applicable.</t>
  </si>
  <si>
    <t>M5.3</t>
  </si>
  <si>
    <t>Module 5, Balance Sheet</t>
  </si>
  <si>
    <t>Per-period BS: Land + WIP + Receivables + Cash = Loan + Payables + Equity + Retained Earnings. Reconciles to CF.</t>
  </si>
  <si>
    <t>M5.4</t>
  </si>
  <si>
    <t>Module 5, Cash Sweep waterfall</t>
  </si>
  <si>
    <t>Available cash − Min cash required = Distributable to dividend. Per scenario. Master Holding consolidation when applicable.</t>
  </si>
  <si>
    <t>M6</t>
  </si>
  <si>
    <t>Module 6, Reports &amp; Visualizations</t>
  </si>
  <si>
    <t>Tabular and chart views of Module 4 + Module 5 outputs. Charts: Cashflow waterfall, Sources &amp; Uses, Returns by year, Capital stack. Per-period drill-down. Print-ready layouts.</t>
  </si>
  <si>
    <t>M5</t>
  </si>
  <si>
    <t>M7.1</t>
  </si>
  <si>
    <t>Module 7, Scenario engine</t>
  </si>
  <si>
    <t>Scenario delta storage. 3 primary (Base/Management/Upside) + unlimited custom. Each scenario stores deltas for: occupancy curves, ADR growth, sale velocity, DP%, escalation, payment plan, rental growth, vacancy. Active scenario toggle drives display.</t>
  </si>
  <si>
    <t>M7.2</t>
  </si>
  <si>
    <t>Module 7, Sensitivity tables</t>
  </si>
  <si>
    <t>2D sensitivity: NPV vs discount rate, IRR vs occupancy, IRR vs sale price, IRR vs ADR. Conditional formatting. Tornado charts.</t>
  </si>
  <si>
    <t>M7.1, M4</t>
  </si>
  <si>
    <t>M7.3</t>
  </si>
  <si>
    <t>Module 7, Breakeven analysis</t>
  </si>
  <si>
    <t>Per asset: solve for occupancy that hits EBITDA / Interest / Debt Service breakeven. For Sell assets: solve for sale price that breaks even on equity invested. Match Hospitality model breakeven format.</t>
  </si>
  <si>
    <t>M4</t>
  </si>
  <si>
    <t>M8.1</t>
  </si>
  <si>
    <t>Module 8, Portfolio rollup</t>
  </si>
  <si>
    <t>Master Holding rollup view across all Sub-Projects: consolidated revenue, EBITDA, capex, debt, returns. Per-Sub-Project comparison table. Tracks Hospitality 7-project model + Alma 7-fund model patterns.</t>
  </si>
  <si>
    <t>M8.2</t>
  </si>
  <si>
    <t>Module 8, Cross-project allocation</t>
  </si>
  <si>
    <t>Project-scope cost allocation across Sub-Projects (master infrastructure, master marketing, master overhead) by share rules (revenue share, capex share, gfa share).</t>
  </si>
  <si>
    <t>M9.1</t>
  </si>
  <si>
    <t>Module 9, Research agent</t>
  </si>
  <si>
    <t>Anthropic SDK + web search. City market intel: population, demographics, GDP, sectors, infra, regs. 7-day cache per city.</t>
  </si>
  <si>
    <t>M9.2</t>
  </si>
  <si>
    <t>Module 9, Market Rates agent</t>
  </si>
  <si>
    <t>Anthropic SDK + web search. ADR/RevPAR/Cap Rates/Rental rates/Construction costs by (city, asset_type). 7-day cache per pair.</t>
  </si>
  <si>
    <t>M9.3</t>
  </si>
  <si>
    <t>Module 9, Agent UI integration</t>
  </si>
  <si>
    <t>Per asset/parcel, 'Suggest from market' button calls relevant agent, displays result with override input. User-set values priority. Audit log of suggested vs accepted values.</t>
  </si>
  <si>
    <t>M10</t>
  </si>
  <si>
    <t>Module 10, Collaborate (Pro tier)</t>
  </si>
  <si>
    <t>Multi-user project access, role-based permissions (already has RBAC modal), comment threads, change history, share link. Defer post-launch if scope tight.</t>
  </si>
  <si>
    <t>Optional v1.5</t>
  </si>
  <si>
    <t>M1.6 Supabase</t>
  </si>
  <si>
    <t>M11.1</t>
  </si>
  <si>
    <t>Module 11, Final Dashboard layout</t>
  </si>
  <si>
    <t>Project home screen replacing current Overview. Top scenario switcher. KPI grid (IRR FCFE, IRR DDM, MOIC, NPV, Payback, Dev Margin, PoC, CoC, DSCR avg, LTC, LTV, Equity Multiple).</t>
  </si>
  <si>
    <t>M4, M5, M7</t>
  </si>
  <si>
    <t>M11.2</t>
  </si>
  <si>
    <t>Module 11, Charts package</t>
  </si>
  <si>
    <t>Cashflow waterfall, Sources &amp; Uses bar, Returns by year line, Sensitivity tornado, Breakeven occupancy chart, Capital stack pie, Distribution timeline. Recharts.</t>
  </si>
  <si>
    <t>M11.3</t>
  </si>
  <si>
    <t>Module 11, Live scenario switcher</t>
  </si>
  <si>
    <t>Toggle scenarios, all KPIs and charts refresh without reload. Custom scenario picker for non-primary scenarios.</t>
  </si>
  <si>
    <t>M11.1, M7.1</t>
  </si>
  <si>
    <t>M12.1</t>
  </si>
  <si>
    <t>Module 12, IM PDF builder</t>
  </si>
  <si>
    <t>Sections: Cover, Exec Summary, Highlights, Market, Location, Project Description, Development Program, Financial Summary, Investment Structure, Comparables, Risks, Macro, Developer Profile. @react-pdf/renderer. Token-driven.</t>
  </si>
  <si>
    <t>M11</t>
  </si>
  <si>
    <t>M12.2</t>
  </si>
  <si>
    <t>Module 12, IM PPT builder</t>
  </si>
  <si>
    <t>Same content, PPT format. pptxgenjs library. Token-driven.</t>
  </si>
  <si>
    <t>M13.1</t>
  </si>
  <si>
    <t>Module 13, Excel formula export (Enterprise)</t>
  </si>
  <si>
    <t>Full formula-driven workbook: named ranges, XIRR/XNPV, scenario switch via INDIRECT, 2D sensitivity tables, all Module 5 statements. Replicates entire model in Excel.</t>
  </si>
  <si>
    <t>M5, M7</t>
  </si>
  <si>
    <t>M13.2</t>
  </si>
  <si>
    <t>Module 13, PDF Whitelabel (Enterprise)</t>
  </si>
  <si>
    <t>Per-client branded PDF: logo, color override, custom footer/header. Reads from client_branding table.</t>
  </si>
  <si>
    <t>Q1</t>
  </si>
  <si>
    <t>Integration QA, Hospitality fixture</t>
  </si>
  <si>
    <t>Build the 7-project hospitality model from earlier (Project 1-7, hotel + retail + office) end-to-end through the platform. Reconcile outputs against the Excel reference.</t>
  </si>
  <si>
    <t>M1-M11</t>
  </si>
  <si>
    <t>Q2</t>
  </si>
  <si>
    <t>Integration QA, MAAD fixture</t>
  </si>
  <si>
    <t>Build the 5-asset 3-phase MAAD residential + hotel model end-to-end. Reconcile against Excel.</t>
  </si>
  <si>
    <t>Q3</t>
  </si>
  <si>
    <t>Integration QA, Alma fixture</t>
  </si>
  <si>
    <t>Build a 7-fund Master Holding + sub-funds + zones model (subset of full Alma, Master Fund + 2-3 sub-funds is enough to validate hierarchy). Reconcile.</t>
  </si>
  <si>
    <t>Q4</t>
  </si>
  <si>
    <t>End-to-end snapshot guards</t>
  </si>
  <si>
    <t>Add fixtures + snapshot diffs for M2-M11 covering all calculation paths. Mandatory exit 0 before any future commit touching modules.</t>
  </si>
  <si>
    <t>Q1-Q3</t>
  </si>
  <si>
    <t>L1</t>
  </si>
  <si>
    <t>Pre-launch hardening</t>
  </si>
  <si>
    <t>Performance audit, accessibility pass, error boundaries, loading states, empty states, mobile-responsive checks for view-only.</t>
  </si>
  <si>
    <t>L2</t>
  </si>
  <si>
    <t>Pricing tier integration</t>
  </si>
  <si>
    <t>Re-introduce subscription system removed in Phase 5 admin cleanup. Plan-based feature gating restored. Stripe / payment integration.</t>
  </si>
  <si>
    <t>L3</t>
  </si>
  <si>
    <t>Launch</t>
  </si>
  <si>
    <t>Public REFM availability for app.financialmodelerpro.com modeling hub. Module 10 (Collaborate) post-launch v1.5.</t>
  </si>
  <si>
    <t>TOTAL</t>
  </si>
  <si>
    <t>REFM Platform: Paste-Ready Prompts</t>
  </si>
  <si>
    <t>Each prompt is one execution unit for Claude Code. Read the Architecture sheet first. Comply with all 15 sections. Snapshot diff exit 0 mandatory for any change touching Module 1 calculations.</t>
  </si>
  <si>
    <t>Prompt</t>
  </si>
  <si>
    <t>Refactor Module 1 to support multi-asset and multi-phase data shape without changing calculation outputs.
Read Architecture sheet sections 1, 2, 8, 14 before starting.
Target outcome:
1. Replace the hardcoded `'residential' | 'hospitality' | 'retail'` string union with a typed AssetClass[] array. Each asset has: id, name, type (from 20 pre-built or custom string), category ('Sell' | 'Operate' | 'Lease' | 'Hybrid'), allocationPct (% of project GFA), deductPct, efficiencyPct.
2. Replace the single Construction-Operations timeline with a Phase[] array. Each phase has: id, name, constructionStart, constructionPeriods, operationsStart, operationsPeriods, overlapPeriods. Single-phase users have one phase. Multi-phase users add more.
3. Normalize the parallel `residentialCosts[] / hospitalityCosts[] / retailCosts[]` arrays into a single `costs[]` keyed by `assetId` (and optional `phaseId` for phase-specific costs).
4. Lift state from 30+ useState hooks in RealEstatePlatform.tsx into a Zustand store at `src/hubs/modeling/platforms/refm/lib/state/module1-store.ts`. Store exposes typed selectors and actions. Component reads via selectors.
5. Persistence migrator: on load, detect old refm_v2 shape (3 hardcoded asset arrays) and convert to new shape (1 normalized assets[] + 1 normalized costs[] + 1 phases[] with single phase). Preserve all data.
6. Calculations bit-identical. Snapshot diff `npx tsx scripts/module1-snapshot-diff.ts` must exit 0 against existing baseline.
Constraints:
- Do not introduce new calculations. Only restructure data and adapt existing calc functions to read from new shape.
- buildAssetFinancing, calculateItemTotal, distributeCost, getAreas, allocateToAssets, calcItemTotalV14, getAssetDirectCost all preserve their signatures externally; internally they iterate the new assets[] array.
- Same-for-all mode preserved as a UI/state preference, propagating non-land cost lines across all assets in costs[].
- All 4 Module 1 tabs (Timeline / Area / Costs / Financing) continue rendering correctly, in light + dark.
- FAST cell convention preserved.
Verification:
- Snapshot diff exit 0
- Type-check + build pass
- Manually: load existing project, verify all numbers identical
- Eyeball Module 1 in light + dark
One commit. Push to main.</t>
  </si>
  <si>
    <t>Add the 5-layer hierarchy to Module 1.
Read Architecture sheet section 1 before starting.
Target outcome:
1. New types: MasterHolding (optional), SubProject, Phase, Asset, SubUnit. SubProject has: id, name, currency, masterHoldingId (nullable), revenueShareToMaster (% if linked to master).
2. New "Hierarchy" tab in Module 1 (5th tab, becomes default landing of Module 1). UI: tree view of MasterHolding (optional) → SubProjects → Phases → Assets → SubUnits with create/edit/reorder controls.
3. Existing tabs (Timeline / Area / Costs / Financing) operate within a selected Phase context. Phase selector at top of these tabs.
4. SubUnit: per-asset inventory with name, count or area, price/rate (auto-driven by asset category Sell/Operate/Lease).
5. Master Holding: optional. When present, has its own land cost, debt, revenue share % from sub-projects, P&amp;L, returns. UI shows separate "Master Holding" entity in Hierarchy tab.
6. Persistence: extend Zustand store and Supabase schema (preview only, actual Supabase migration in M1.6). Migrator handles old single-project shape.
Constraints:
- Single-project users (no Master Holding, one Sub-Project, one Phase) get a streamlined UX. Master Holding panel hidden until enabled. Multi-phase users see Phase selector. Default new project: 1 Sub-Project + 1 Phase + empty assets array.
- Snapshot diff still passes for the single-phase fixture.
- FAST cells throughout new Hierarchy tab.
Verification:
- Snapshot diff exit 0 (single-phase legacy fixture)
- New fixture for multi-phase + multi-asset case added to tests/fixtures/
- Type-check + build pass
- Eyeball: create a 3-phase project, add assets to each phase, switch phases, verify isolation</t>
  </si>
  <si>
    <t>Migrate REFM project storage from localStorage to Supabase.
Read Architecture sheet sections 13, 14 before starting.
Target outcome:
1. Two tables: refm_projects (id, user_id, name, location, currency, created_at, updated_at, status, master_holding JSONB, sub_projects JSONB) and refm_project_versions (id, project_id, version_name, snapshot JSONB, created_at).
2. Migration file: db/migrations/NNN_refm_projects.sql with both tables + RLS policies (per-user read/write).
3. Server actions or API routes for: list projects, get project, save project, save version, load version, delete project. Use Supabase service role for server, client uses anon + RLS.
4. Module 1 store reads/writes via these actions. localStorage becomes a cache for offline editing. On save: write to Supabase, update localStorage. On load: read from Supabase, fallback to localStorage if offline.
5. Migrator: on first load of existing user, detect localStorage refm_v2 data and upload to Supabase. After successful upload, retain localStorage as cache.
Constraints:
- Snapshot diff still passes
- No breaking change for existing users; migrator handles transition transparently
- Type-safe: generate Supabase types and use them in store
Verification:
- Snapshot diff exit 0
- Type-check + build pass
- Test with two users: each can only see own projects (RLS verified)
- Refresh browser: data persists from Supabase</t>
  </si>
  <si>
    <t>Module 2 Revenue, Sell stream</t>
  </si>
  <si>
    <t>Build the Sell revenue stream for Module 2.
Read Architecture sheet sections 7, 1, 12 before starting. Reference existing MAAD residential model (already discussed), use its Sell pattern.
Target outcome:
1. New file `lib/modules/module2-revenue.ts` (replace existing 2-line stub).
2. Per-asset Sell config: SubUnits[] each with count/area, price/rate, indexation factor. Pre-sale velocity schedule (% sold per year, sums ≤100%, residual = post-handover). Down Payment % per year. Payment plan: installment count after DP. Cash collection cohort matrix (Year-N sales generate collections in Year N, N+1...). Revenue Recognition profile (separate from cash, recognizes over construction period).
3. Sales Commission %: deducted from revenue, ties back into Module 1 capex via percent_base loop.
4. Receivables Roll-Forward per period: Opening + New Sales − Collected = Closing.
5. Sales During Operation: residual unsold inventory sold post-handover at indexed price.
6. Outputs: per-asset per-period revenue (recognized), cash collected, receivables balance, units sold cumulative.
7. UI: new Module 2 tab "Revenue" with sub-tab per Asset. FAST cells throughout. Sub-Unit grid editable. Schedule grids (velocity/DP/payment plan) editable. Outputs table read-only.
8. Wires into Module 1 Exports interface, produce module2 outputs object that downstream modules (M4, M5, M11) will consume.
Constraints:
- Reference: MAAD model 5 sellable assets pattern (Branded Apartments T2/T3, T4/T5, Residential Tower 01, etc.)
- Indexation compounds annually
- Match the pattern exactly: pre-sale year × payment plan installments produces 2D cohort matrix
- No hardcoded colors, FAST cells only
Verification:
- New snapshot fixture tests/fixtures/module2-sell-reference.json with sample 1BR/2BR Branded Apartments asset
- Snapshot diff for Module 2 outputs exit 0
- Type-check + build pass
- Eyeball: configure sample asset, verify revenue/collection numbers tie out manually</t>
  </si>
  <si>
    <t>Module 2 Revenue, Operate stream (USAH)</t>
  </si>
  <si>
    <t>Build the Operate revenue stream for Module 2 with full Uniform System of Accounts for Hotels.
Read Architecture sheet sections 6, 7 before starting. Reference Hospitality model (7-project) Hotel P&amp;L + Alma H sheets.
Target outcome:
1. Per-asset Operate config: Keys (or Units) by Sub-Unit type (Twin/King/Suite), Days/Year (default 365), Occupancy % per period (multi-scenario), ADR per Sub-Unit, ADR Growth Rate per year (compounding).
2. Revenue: Departmental, Rooms (Occupied × ADR), F&amp;B (% of Rooms or Occupied × Guests/Room × Spend/Guest, user picks method), Spa/Health Club (% of Rooms), Other (% of Rooms).
3. Departmental Expenses: % of departmental revenue. Defaults Rooms 20%, F&amp;B 55%, Spa 50%, Other 40%. User configurable.
4. Departmental Income: Departmental Revenue − Departmental Expenses.
5. Undistributed Operating Expenses: A&amp;G, Group Services, Marketing/Sales, POM, Utilities. Each as % of total revenue. Defaults A&amp;G 8%, Marketing 5%, POM 4%, Utilities 4%, Group Services 3%.
6. Gross Operating Profit (GOP): Departmental Income − Undistributed.
7. Base Management Fee: % of total revenue. Default 2%.
8. Adjusted GOP: GOP − Base Mgmt Fee.
9. Fixed Expenses: Insurance % of revenue, Replacement Reserve / FF&amp;E Reserve % of revenue, Property Tax (lump or %), Land Lease (separate toggle).
10. Incentive Management Fee: % of Adjusted GOP. Default 0%, user configurable.
11. EBITDA after FF&amp;E Reserve: final operating output.
12. KPIs: PAR (Per Available Room) = Revenue / (Keys × Days), POR (Per Occupied Room) = Revenue / Occupied.
13. UI: per-asset config form with all defaults pre-filled. FAST cells. Output table per period showing full P&amp;L breakdown.
Constraints:
- Match USAH structure exactly. Reference the Hospitality fixture model H 1-MA Hospitality sheet.
- Multi-scenario occupancy: when active scenario changes, occupancy curve switches.
- Operations Start Year is per asset, not project-level.
- All hardcoded numbers above are defaults; user overrides per asset.
Verification:
- New snapshot fixture tests/fixtures/module2-operate-reference.json (sample 200-key 4-star hotel)
- Numbers tie to manual calculation against Hospitality fixture pattern
- Snapshot diff exit 0
- Type-check + build pass
- Eyeball PAR + POR display correctly</t>
  </si>
  <si>
    <t>Module 2 Revenue, Lease stream</t>
  </si>
  <si>
    <t>Build the Lease revenue stream for Module 2.
Read Architecture sheet section 7. Reference MAAD Support Retail + Hospitality model retail pattern.
Target outcome:
1. Per-asset Lease config: Total Lease Area sqm, Loading Factor % (gross-to-rentable conversion), Vacancy % per period (multi-scenario), Base Rent SAR/sqm/year, Rental Growth Rate % per year (compounding).
2. Revenue per period: Rentable = Gross × (1 − Loading%). Leased = Rentable × (1 − Vacancy%). Revenue = Leased × Rent × (1 + Growth)^year.
3. OpEx: % of revenue (default 15%) OR itemized: Property Mgmt %, Asset Mgmt %, Utilities %, Insurance %, Reserve %. User picks method.
4. NOI per period = Revenue − OpEx.
5. UI: per-asset config form. FAST cells. Output table per period showing Rentable / Leased / Revenue / OpEx / NOI.
Constraints:
- Match MAAD pattern (Support Retail Phase 2 + Phase 3, Operations Start Year per asset).
- Operations Start Year per asset, not project-level.
- Indexation compounds annually.
Verification:
- New snapshot fixture tests/fixtures/module2-lease-reference.json (sample retail asset)
- Snapshot diff exit 0
- Type-check + build pass</t>
  </si>
  <si>
    <t>Module 2 Revenue, Hybrid composition</t>
  </si>
  <si>
    <t>Build Hybrid revenue mode that composes 2+ streams within one asset.
Read Architecture sheet section 7.
Target outcome:
1. Hybrid asset has streams[] array. Each stream is a {category: 'Sell' | 'Operate' | 'Lease', config: SellConfig | OperateConfig | LeaseConfig}. Streams run in parallel.
2. Pre-built hybrid patterns user can insert: Serviced Apartments (Sell stream for post-handover sales + Operate stream for pre-handover service), Mixed-Use Building (Lease stream for podium retail + Operate stream for hotel floors above).
3. Per-asset rollup: sum revenue across streams. Display per-stream breakdown for transparency.
4. UI: when asset category = 'Hybrid', show multi-stream config interface. User can add/remove/reorder streams. Each stream uses the same form as standalone Sell/Operate/Lease.
Constraints:
- A Hybrid asset can have any combination of stream categories
- Stream-level outputs preserved separately for downstream attribution
Verification:
- New snapshot fixture for hybrid asset (Serviced Apartments mirroring MAAD Residential Tower 01)
- Snapshot diff exit 0</t>
  </si>
  <si>
    <t>Build the full Module 2 UI shell.
Target outcome:
1. Module 2 main tab contains: per-asset list (left), per-asset detail (right). Detail has sub-tabs per asset based on category.
2. Sub-tabs for any asset: Stream Config, Pricing/ADR/Rent, Schedules (velocity/occupancy/vacancy curves), Outputs (per-period revenue, collections, receivables).
3. All inputs use InputCell. All calculated outputs use FormulaCell. SectionHeader for major divisions.
4. Both light + dark mode.
5. Asset list shows asset name + category badge + revenue stream count.
Verification:
- Type-check + build pass
- Eyeball every sub-tab in light + dark
- Sample fixture loads and renders all categories</t>
  </si>
  <si>
    <t>Module 2 snapshot guard</t>
  </si>
  <si>
    <t>Add Module 2 to the snapshot diff system.
Target outcome:
1. Extend scripts/module1-snapshot.ts to scripts/modeling-snapshot.ts (renamed) covering Module 1 + Module 2.
2. New baseline file tests/snapshots/modeling-baseline.json containing Module 1 + Module 2 outputs for the multi-asset multi-phase fixture.
3. Diff script returns exit 0 only if both Modules match baseline.
4. Update Phase 4 prep documentation in scripts/module1-pipeline.ts header comment to reflect new contract.
Verification:
- Run diff: exit 0
- Modify a calculation intentionally: diff exit 1 with clear failure message
- Revert: exit 0</t>
  </si>
  <si>
    <t>Build Module 3 (corporate-level OpEx separate from per-asset operating costs).
Read Architecture sheet sections 5, 6.
Target outcome:
1. New file lib/modules/module3-opex.ts (replace stub).
2. Per Sub-Project corporate overhead: New Company Costs (lump sum SAR/year, default 2M, growing), Working Capital days (DSO, DPO, DIO), Tax/Zakat % rate.
3. Per-period schedule: corporate overhead × inflation, WC change calculation, Zakat applied to net income (computed in M5).
4. UI: Module 3 tab with corporate cost grid (FAST inputs), schedules (FormulaCells), and a small KPI panel.
5. Outputs feed Module 5 financial statements.
Verification:
- Snapshot guard extended
- Type-check + build pass</t>
  </si>
  <si>
    <t>Build the core IRR engine for Module 4.
Read Architecture sheet sections 4, 5.
Target outcome:
1. New file lib/modules/module4-returns.ts (replace stub).
2. Project IRR (unlevered): assemble per-period unlevered cash flows. Year 0 = (capex). Year 1+ = NOI/EBITDA + WC change. Terminal year = + Terminal Value − Selling Cost. Run XIRR against the cashflow series + dates.
3. Equity IRR (levered): assemble per-period equity cash flows. Year 0 = (equity drawdowns). Year N = + dividends − additional equity injection. Terminal year = + equity terminal value. XIRR.
4. Per Sub-Project. Per Master Holding (when present, treats SubProjects' revenue share + Master debt as flows).
Constraints:
- Use a robust XIRR implementation (no native JS function; build or import a tested one)
- Handle no-cashflow scenarios gracefully (display "n/a")
- All numbers feed Module 11 dashboard
Verification:
- Snapshot fixture for IRR validated against Excel XIRR for same fixture
- Tolerance: 0.01% deviation max
- Type-check + build pass</t>
  </si>
  <si>
    <t>Add FCFE + DDM dual computation per Sub-Project.
Read Architecture sheet section 4. Reference Alma Master Fund + sub-fund pattern.
Target outcome:
1. FCFE IRR: Free Cash Flow to Equity per period (Net Income + D&amp;A − Capex − ΔWC + ΔDebt). Plus Terminal Value at terminal year. XIRR.
2. DDM IRR: Dividend Discount Model (Distributable Cash to Equity Holders only, after Min Cash Required). Plus Terminal Value. XIRR.
3. MOIC for each: Total Distributions / Total Equity.
4. JV split: when Sub-Project has joint venture shareholding (e.g., 65% / 35%), compute per-investor IRR and MOIC. UI shows split returns.
Verification:
- Snapshot fixture matches Alma model FCFE / DDM IRRs to 0.5% tolerance
- JV split case validated against Hospitality model 7-project DI + Proper IRR pattern</t>
  </si>
  <si>
    <t>Add the auxiliary return metrics.
Target outcome:
1. NPV: user-set discount rate (default 10%), XNPV against unlevered cashflows.
2. MOIC: total distributions / total equity invested, both Sub-Project level and per-investor when JV.
3. Payback Year: first period where cumulative cash flow turns positive.
4. Development Margin %: (Total Revenue − Total Cost) / Total Revenue.
5. Profit on Cost %: (Total Revenue − Total Cost) / Total Cost.
6. Cash-on-Cash: per-year NOI / Equity Invested.
Verification:
- Manual reconciliation against MAAD + Alma fixtures
- Snapshot guard extended</t>
  </si>
  <si>
    <t>Module 4, DSCR, ICR, LTC, LTV</t>
  </si>
  <si>
    <t>Add coverage and leverage ratios per period.
Target outcome:
1. DSCR per period: NOI / (Interest + Principal Repayment). Average DSCR + min DSCR reported.
2. ICR per period: NOI / Interest. Average + min reported.
3. LTC: Total Debt / Total Capex.
4. LTV: Total Debt / Asset Value (use total revenue × cap rate or similar approximation).
5. Display in Module 4 ratios panel and Module 11 dashboard. &lt; 1.2x DSCR amber, &lt; 1.0x red.
Verification:
- Snapshot fixture extended
- Color-coding tested in UI</t>
  </si>
  <si>
    <t>Build Terminal Value computation per asset.
Read Architecture sheet section 4.
Target outcome:
1. Per asset, user picks one of three methods:
   a) Capitalized NOI: NOI(terminal year) / Cap Rate
   b) Multiple × EBITDA: User-set multiple × final-year EBITDA
   c) Exit Sale Price: Direct user-input
2. Selling Cost % deducted from terminal value (default 2%).
3. Terminal Value summed across assets per Sub-Project, added as final-year inflow in Module 4 IRR.
Verification:
- Match Hospitality model "Exit Value" pattern
- Match MAAD model exit calculation</t>
  </si>
  <si>
    <t>Module 5, P&amp;L Statement</t>
  </si>
  <si>
    <t>Build the per-period P&amp;L per Sub-Project and Master Holding.
Read Architecture sheet section 6.
Target outcome:
1. New file lib/modules/module5-statements.ts (replace stub).
2. P&amp;L Structure per Sub-Project per period: Revenue (by stream Sell/Operate/Lease, summed) → COGS (capex amortized over recognized revenue for Sell, none for Operate/Lease) → Gross Profit → OpEx (per asset operating costs from M2.2 + M2.3 + M3 corporate) → EBITDA → D&amp;A (capex / useful life) → EBIT → Interest (from M1 Financing) → EBT → Tax/Zakat → Net Income.
3. Master Holding P&amp;L: Revenue Share from Sub-Projects + Interest Income on intra-group loans − Master overhead − Interest on Master debt − Tax = Net Income.
4. UI: Module 5 sub-tab "P&amp;L" with year columns, line items as rows. FAST cells (calculations black on grey).
5. Both light + dark.
Verification:
- Match MAAD CF Phase 1, 2 &amp; 3 P&amp;L structure
- Snapshot guard extended</t>
  </si>
  <si>
    <t>Module 5, Cash Flow Statement</t>
  </si>
  <si>
    <t>Build the per-period Cash Flow Statement.
Target outcome:
1. CF per Sub-Project: Operating CF (EBITDA − Tax − ΔWC) + Investing CF (Capex, FF&amp;E Reserve) + Financing CF (Equity drawdown, Debt drawdown, Debt repayment, Interest paid, Dividends) = Net Change in Cash. Opening + Net Change = Closing.
2. Master Holding consolidated CF when applicable.
3. UI: Module 5 sub-tab "Cash Flow" with year columns.
Verification:
- Tie out to P&amp;L (Net Income + non-cash adjustments → operating CF)
- Closing cash matches BS in M5.3</t>
  </si>
  <si>
    <t>Build the per-period Balance Sheet.
Target outcome:
1. Assets: Land + WIP (capex incurred not yet operating) + Receivables + Cash. Liabilities: Loan Balance + Payables. Equity: Equity Contributed + Retained Earnings.
2. Reconcile Assets = Liabilities + Equity per period.
3. UI: Module 5 sub-tab "Balance Sheet".
Verification:
- BS balances per period (within 0.01 SAR rounding tolerance)
- Reconciles to CF statement</t>
  </si>
  <si>
    <t>Module 5, Cash Sweep Waterfall</t>
  </si>
  <si>
    <t>Build the Cash Sweep distribution mechanics.
Target outcome:
1. Per period: Available Cash − Min Cash Required = Distributable. Distributable goes to equity per JV split (or 100% to equity if single investor).
2. Master Holding sweep: Sub-Project distributions roll up to Master Holding, sweep continues at Master level if applicable.
3. UI: visual waterfall diagram per period.
Verification:
- Match Hospitality model Cash Sweep waterfall pattern</t>
  </si>
  <si>
    <t>Build the Module 6 tabular and chart reports.
Target outcome:
1. New file lib/modules/module6-reports.ts (replace stub).
2. Report views: Annual Summary, Quarterly Detail (if monthly model), 5-year forecast, Cumulative metrics.
3. Charts (Recharts, FAST-compliant colors): Cashflow Waterfall, Sources &amp; Uses bar, Returns by Year line, Capital Stack pie.
4. Print-ready layout with consistent margins.
5. UI: Module 6 tab with chart selector + table view.
Verification:
- Charts render in light + dark
- Numbers reconcile to M5 statements</t>
  </si>
  <si>
    <t>Build the scenario delta storage and switching.
Read Architecture sheet section 4.
Target outcome:
1. New file lib/modules/module7-scenarios.ts (replace stub).
2. Scenario: { id, name, isPrimary, deltas: { occupancyCurve?, adrGrowth?, saleVelocity?, downPayment?, escalation?, paymentPlan?, rentalGrowth?, vacancy? } }.
3. Three primary scenarios pre-seeded: Base, Management, Upside. User can edit primaries' deltas. User can add custom scenarios (unlimited).
4. Active scenario state in Zustand store. Toggle in Topbar + in Module 11 dashboard.
5. Calculations re-run when active scenario changes. Module 2 (revenue) reads scenario deltas to override base assumptions where set.
Verification:
- Switch scenarios, verify revenue + IRR change accordingly
- Snapshot fixture for each primary scenario</t>
  </si>
  <si>
    <t>Add 2D sensitivity tables and tornado charts.
Target outcome:
1. 2D tables: NPV vs Discount Rate (rows) × Occupancy (cols). IRR vs Sale Price × Occupancy. IRR vs ADR × Occupancy. User can configure axes.
2. Conditional formatting: gradient from red (low) to green (high).
3. Tornado chart: each variable's impact on a target metric (e.g., IRR), bars show min/max range.
Verification:
- Numbers reconcile (corner values match base case)
- Charts render correctly</t>
  </si>
  <si>
    <t>Build per-asset breakeven solver.
Target outcome:
1. Per Operate asset: solve for occupancy that hits EBITDA / Interest / Debt Service breakeven (3 thresholds).
2. Per Sell asset: solve for sale price that breaks even on equity invested (NPV = 0 at user-discount-rate).
3. Per Lease asset: solve for vacancy or rent that hits breakeven.
4. UI: breakeven table per Sub-Project with all assets, side-by-side breakeven values.
Verification:
- Match Hospitality model breakeven analysis pattern (3 cases per project)</t>
  </si>
  <si>
    <t>Build the Master Holding portfolio view.
Read Architecture sheet sections 1, 11.
Target outcome:
1. New file lib/modules/module8-portfolio.ts (replace stub).
2. Rollup: across all Sub-Projects belonging to a Master Holding, sum revenue, EBITDA, capex, debt, equity, distributions per period.
3. Per-Sub-Project comparison table: name, status, IRR, MOIC, capex, terminal value, returns.
4. Top-level KPIs at portfolio level.
5. UI: Module 8 tab with rollup summary + comparison table + per-Sub-Project drill-down.
Verification:
- Match Hospitality 7-project Return Analysis consolidated rollup
- Match Alma Consolidated Summary pattern</t>
  </si>
  <si>
    <t>Add project-scope cost allocation across Sub-Projects.
Target outcome:
1. Allocation rules at Master Holding level: master infrastructure cost, master marketing cost, master overhead. User picks share basis: revenue share / capex share / GFA share.
2. Allocations flow into Sub-Project cost stacks as project-scope items.
Verification:
- Numbers reconcile (sum of Sub-Project allocations = Master cost)</t>
  </si>
  <si>
    <t>Build the city market research AI agent.
Read Architecture sheet section 9.
Target outcome:
1. New file lib/agents/research-agent.ts (replace stub at app/api/agents/research/route.ts).
2. POST endpoint accepts {city, country?}. Calls Anthropic SDK with web search tool. Prompt asks for: population, demographics breakdown, GDP, key sectors, transport infrastructure, regulatory environment for real estate, recent market trends.
3. Response cached in Supabase table agent_research_cache (key: city normalized lowercase, ttl 7 days).
4. Returns structured JSON: { population, demographics, gdp, sectors, infrastructure, regulations, marketTrends, sources[] }.
5. Cost guard: max 1 call per (city, day) per user.
Verification:
- Test with "Riyadh", returns reasonable Saudi market intel
- Cache hit on second call within 7 days</t>
  </si>
  <si>
    <t>Build the market rates AI agent.
Target outcome:
1. New file lib/agents/market-rates-agent.ts.
2. POST endpoint accepts {city, assetType}. Calls Anthropic SDK with web search. Asks for: ADR (if hospitality), RevPAR, Cap Rate, Rental rates per sqm (if lease), Construction cost per sqm, Land rates per sqm, recent comparable transactions.
3. Cached per (city, assetType) for 7 days.
4. Returns structured JSON with ranges (low/avg/high) plus sources[].
Verification:
- Test with (Riyadh, Hotel 5-star), returns reasonable Saudi luxury hotel ADR ~SAR 1500-2500
- Cache hit confirmed</t>
  </si>
  <si>
    <t>Add the "Suggest from market" UI affordance throughout REFM.
Target outcome:
1. Per land parcel: "Suggest land rate" button calls market-rates agent.
2. Per Operate asset: "Suggest ADR / Cap Rate / Construction cost" button.
3. Per Lease asset: "Suggest rental rate" button.
4. UI: agent suggestion appears as advisory text near input. User-set value takes priority. Audit log stored: timestamp, suggested value, accepted/overridden, final value.
5. "Last refreshed N days ago" displayed with manual refresh button.
Verification:
- Click suggest button, see suggestion populate, override it, save, verify override persists not suggestion</t>
  </si>
  <si>
    <t>Build the Final Dashboard as the project home screen.
Read Architecture sheet section 11.
Target outcome:
1. New file lib/modules/module11-dashboard.ts and corresponding components.
2. Top: Scenario Switcher (toggle Base/Management/Upside or pick Custom).
3. KPI Grid (12 tiles): IRR FCFE, IRR DDM, MOIC, NPV, Payback Year, Development Margin %, Profit on Cost %, Cash-on-Cash avg, DSCR avg, LTC, LTV, Equity Multiple.
4. Each tile uses KpiCard primitive.
5. Becomes the default view after Module 1 setup is complete (replaces current Overview).
6. Both light + dark.
Verification:
- All KPIs display with correct units and formatting
- Eyeball in light + dark</t>
  </si>
  <si>
    <t>Add the chart suite to Module 11.
Target outcome:
1. Cashflow Waterfall chart: capex outflows, revenue inflows, debt service, equity returns over time. Recharts.
2. Sources &amp; Uses bar chart: equity, debt, revenue (sources) vs land, hard cost, soft cost, financing (uses).
3. Returns by Year line chart: cumulative IRR or annual returns.
4. Sensitivity Tornado chart: top 5 variables by impact on IRR.
5. Breakeven Occupancy chart: gauge or threshold meter.
6. Capital Stack pie: equity vs debt vs land in-kind.
7. Distribution Timeline: dividends per year stacked.
8. All charts use FAST-compliant token colors. Light + dark.
Verification:
- All charts render
- Colors token-driven (no hex)</t>
  </si>
  <si>
    <t>Wire the scenario switcher to live-refresh the dashboard.
Target outcome:
1. Toggle scenarios in dashboard top bar. All KPIs and charts refresh without page reload.
2. Custom scenarios accessible via dropdown menu.
3. State managed via Zustand active scenario selector.
Verification:
- Switch scenarios rapidly, see all numbers + charts update smoothly
- No flash of stale data</t>
  </si>
  <si>
    <t>Build the Investment Memorandum PDF.
Read Architecture sheet section 10.
Target outcome:
1. New file lib/exporters/im-pdf.ts using @react-pdf/renderer.
2. Sections (each its own component): Cover, Executive Summary, Project Highlights, Market Overview, Location, Project Description, Development Program, Financial Summary, Investment Structure, Comparables, Risks &amp; Mitigations, Macro Outlook, Developer Profile.
3. Sections pull data from Modules 1-11.
4. Token-driven (FAST colors + chrome navy).
5. Output: 25-50 page PDF.
Verification:
- Generate IM for sample project
- All sections populated</t>
  </si>
  <si>
    <t>Add PPT export of IM same content.
Target outcome:
1. New file lib/exporters/im-pptx.ts using pptxgenjs library.
2. Same content as PDF but slide-formatted.
3. ~20-30 slides.
Verification:
- Open in PowerPoint, verify rendering</t>
  </si>
  <si>
    <t>Build the Enterprise-tier formula-driven Excel export.
Target outcome:
1. New file lib/exporters/excel-formula.ts using exceljs.
2. Full formula model: named ranges (e.g., NamedRange "TaxRate" → cell), XIRR/XNPV functions, scenario switch via INDIRECT(scenario_name &amp; "!" &amp; cell), 2D sensitivity tables with TABLE function or manual grid, all Module 5 statements with cross-sheet references (green-text FAST convention).
3. Replicates the entire calc chain in Excel.
4. Token-driven cell formatting.
Verification:
- Open generated file in Excel, verify all formulas calculate
- Modify input cell, see derived cells recalculate
- All FAST conventions visible</t>
  </si>
  <si>
    <t>Add per-client branded PDF export.
Target outcome:
1. New file lib/exporters/pdf-whitelabel.ts.
2. Reads client_branding table (logo, primary color, footer text, font preference).
3. Wraps existing PDF basic with custom branding.
Verification:
- Two clients with different branding produce visually distinct PDFs</t>
  </si>
  <si>
    <t>Run the 7-project Hospitality model end-to-end through the platform.
Target outcome:
1. Recreate the 7-project hospitality model (Project 1-7) in REFM:
   - Master Holding: optional, but in this case 7 sub-projects with shared P&amp;L view
   - 7 Sub-Projects, each with hotel + retail (+ office for P1)
   - Phased construction starts across years
   - Use exact inputs from the reference Excel
2. Reconcile output against reference Excel:
   - Per-Sub-Project Total Capex within 0.5%
   - Per-Sub-Project IRR within 0.5%
   - Consolidated DDM IRR within 0.5%
3. Document any discrepancies found and fix.
Verification:
- All 7 projects modeled
- Reconciliation report saved to tests/qa/hospitality-reconciliation.md</t>
  </si>
  <si>
    <t>Run the MAAD residential 5-asset 3-phase model end-to-end.
Target outcome:
1. Recreate MAAD model:
   - 1 Sub-Project, 3 Phases (Phase 1 VOCO Hotel operating 2026, Phase 2 multiple assets ops 2029, Phase 3)
   - 5 Assets: Branded Apartments T2&amp;T3, T4&amp;T5, Residential Tower 01, Hotel 01, Support Retail
   - Hybrid for Residential Tower 01 (Sell + Operate)
2. Reconcile against MAAD Excel:
   - Total capex SAR 5,604,977k within 0.5%
   - 2026 Net Cash Flow within 0.5%
   - Closing cash through 2030 within 1%
Verification:
- Model loads
- Reconciliation report saved</t>
  </si>
  <si>
    <t>Run a Master Holding + Sub-Funds Alma model subset end-to-end.
Target outcome:
1. Recreate Alma subset:
   - 1 Master Holding (carries land debt)
   - 2-3 Sub-Funds (e.g., Alma Fund 1, Fund 2, Fund 3)
   - Each fund with own zone, own assets, own debt
   - Master Fund takes 30% revenue share
   - JV equity split per fund
2. Reconcile against Alma reference:
   - Master Fund FCFE IRR within 0.5%
   - Per-fund IRR within 0.5%
   - Consolidated returns within 1%
Verification:
- Master Holding mechanics validated
- Reconciliation report saved</t>
  </si>
  <si>
    <t>Lock in regression coverage for all modules.
Target outcome:
1. Add snapshot fixtures for each of M2-M11 covering: Sell, Operate, Lease, Hybrid, Master Holding, JV split, Multi-phase, Multi-scenario.
2. Single combined diff script: scripts/refm-snapshot-diff.ts. Exit 0 only if all module outputs match.
3. Documented as mandatory pre-commit gate going forward.
Verification:
- Diff exit 0 with current code
- Intentional break: clear error message identifying which module diverged</t>
  </si>
  <si>
    <t>Production hardening before launch.
Target outcome:
1. Performance audit: Lighthouse + Vercel Speed Insights. Target FCP &lt; 2s, LCP &lt; 2.5s, CLS &lt; 0.1.
2. Accessibility: keyboard nav, ARIA labels, color contrast WCAG AA.
3. Error boundaries on every route.
4. Loading states on all async operations.
5. Empty states on all lists/tables.
6. Mobile responsive: view-only mode acceptable for phones, full editing on tablets+.
Verification:
- Lighthouse scores reported
- Manual a11y audit completed</t>
  </si>
  <si>
    <t>Re-introduce subscription-based feature gating.
Target outcome:
1. Restore subscription system from Phase 5 admin cleanup. Build canAccess() resolver based on user's plan tier.
2. Plan tiers: Free (Module 1 + Excel/PDF basic), Professional (Modules 1-11 + Module 10 Collaborate), Enterprise (Module 13 formula export + whitelabel + Module 12 PPT).
3. Stripe / payment integration. Webhook syncs tier changes to user's plan field.
4. Wire UpgradePrompt buttons to checkout flow.
Verification:
- Free user sees lock on Modules 2-11
- Professional unlocks
- Enterprise unlocks formula export</t>
  </si>
  <si>
    <t>REFM public launch.
Target outcome:
1. Remove Coming Soon mode in modeling hub.
2. Public registration enabled for app.financialmodelerpro.com.
3. Marketing site updated.
4. Launch announcement.
Verification:
- New user can register, sign in, access Module 1, complete setup, run Modules 2-11, export, upgrade to paid tier</t>
  </si>
  <si>
    <t xml:space="preserve">Done </t>
  </si>
  <si>
    <t>Not Started</t>
  </si>
  <si>
    <t>In Progress</t>
  </si>
  <si>
    <t>Completion Date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</si>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</sst>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6"/>
      <color rgb="FF1E3A8A"/>
      <name val="Arial"/>
    </font>
    <font>
      <i/>
      <sz val="10"/>
      <color rgb="FF6B728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ont>
        <color theme="3" tint="-0.24994659260841701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6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C7" sqref="C7"/>
    </sheetView>
  </sheetViews>
  <sheetFormatPr defaultRowHeight="14.4" x14ac:dyDescent="0.3"/>
  <cols>
    <col min="1" max="1" width="4" customWidth="1"/>
    <col min="2" max="2" width="32" customWidth="1"/>
    <col min="3" max="3" width="90" customWidth="1"/>
  </cols>
  <sheetData>
    <row r="1" spans="2:3" ht="28.05" customHeight="1" x14ac:dyDescent="0.4">
      <c r="B1" s="6" t="s">
        <v>0</v>
      </c>
      <c r="C1" s="7"/>
    </row>
    <row r="2" spans="2:3" ht="18" customHeight="1" x14ac:dyDescent="0.3">
      <c r="B2" s="8" t="s">
        <v>1</v>
      </c>
      <c r="C2" s="7"/>
    </row>
    <row r="4" spans="2:3" x14ac:dyDescent="0.3">
      <c r="B4" s="9" t="s">
        <v>2</v>
      </c>
      <c r="C4" s="10"/>
    </row>
    <row r="5" spans="2:3" ht="55.95" customHeight="1" x14ac:dyDescent="0.3">
      <c r="B5" s="1" t="s">
        <v>3</v>
      </c>
      <c r="C5" s="2" t="s">
        <v>4</v>
      </c>
    </row>
    <row r="6" spans="2:3" ht="55.95" customHeight="1" x14ac:dyDescent="0.3">
      <c r="B6" s="1" t="s">
        <v>5</v>
      </c>
      <c r="C6" s="2" t="s">
        <v>6</v>
      </c>
    </row>
    <row r="7" spans="2:3" ht="42" customHeight="1" x14ac:dyDescent="0.3">
      <c r="B7" s="1" t="s">
        <v>7</v>
      </c>
      <c r="C7" s="2" t="s">
        <v>8</v>
      </c>
    </row>
    <row r="8" spans="2:3" ht="42" customHeight="1" x14ac:dyDescent="0.3">
      <c r="B8" s="1" t="s">
        <v>9</v>
      </c>
      <c r="C8" s="2" t="s">
        <v>10</v>
      </c>
    </row>
    <row r="9" spans="2:3" ht="42" customHeight="1" x14ac:dyDescent="0.3">
      <c r="B9" s="1" t="s">
        <v>11</v>
      </c>
      <c r="C9" s="2" t="s">
        <v>12</v>
      </c>
    </row>
    <row r="10" spans="2:3" ht="42" customHeight="1" x14ac:dyDescent="0.3">
      <c r="B10" s="1" t="s">
        <v>13</v>
      </c>
      <c r="C10" s="2" t="s">
        <v>14</v>
      </c>
    </row>
    <row r="11" spans="2:3" ht="19.95" customHeight="1" x14ac:dyDescent="0.3">
      <c r="B11" s="1" t="s">
        <v>15</v>
      </c>
      <c r="C11" s="2" t="s">
        <v>16</v>
      </c>
    </row>
    <row r="13" spans="2:3" x14ac:dyDescent="0.3">
      <c r="B13" s="9" t="s">
        <v>17</v>
      </c>
      <c r="C13" s="10"/>
    </row>
    <row r="14" spans="2:3" ht="55.95" customHeight="1" x14ac:dyDescent="0.3">
      <c r="B14" s="1" t="s">
        <v>18</v>
      </c>
      <c r="C14" s="2" t="s">
        <v>19</v>
      </c>
    </row>
    <row r="15" spans="2:3" ht="55.95" customHeight="1" x14ac:dyDescent="0.3">
      <c r="B15" s="1" t="s">
        <v>20</v>
      </c>
      <c r="C15" s="2" t="s">
        <v>21</v>
      </c>
    </row>
    <row r="16" spans="2:3" ht="42" customHeight="1" x14ac:dyDescent="0.3">
      <c r="B16" s="1" t="s">
        <v>22</v>
      </c>
      <c r="C16" s="2" t="s">
        <v>23</v>
      </c>
    </row>
    <row r="17" spans="2:3" ht="42" customHeight="1" x14ac:dyDescent="0.3">
      <c r="B17" s="1" t="s">
        <v>24</v>
      </c>
      <c r="C17" s="2" t="s">
        <v>25</v>
      </c>
    </row>
    <row r="19" spans="2:3" x14ac:dyDescent="0.3">
      <c r="B19" s="9" t="s">
        <v>26</v>
      </c>
      <c r="C19" s="10"/>
    </row>
    <row r="20" spans="2:3" ht="28.05" customHeight="1" x14ac:dyDescent="0.3">
      <c r="B20" s="1" t="s">
        <v>27</v>
      </c>
      <c r="C20" s="2" t="s">
        <v>28</v>
      </c>
    </row>
    <row r="21" spans="2:3" ht="19.95" customHeight="1" x14ac:dyDescent="0.3">
      <c r="B21" s="1" t="s">
        <v>29</v>
      </c>
      <c r="C21" s="2" t="s">
        <v>30</v>
      </c>
    </row>
    <row r="23" spans="2:3" x14ac:dyDescent="0.3">
      <c r="B23" s="9" t="s">
        <v>31</v>
      </c>
      <c r="C23" s="10"/>
    </row>
    <row r="24" spans="2:3" ht="42" customHeight="1" x14ac:dyDescent="0.3">
      <c r="B24" s="1" t="s">
        <v>32</v>
      </c>
      <c r="C24" s="2" t="s">
        <v>33</v>
      </c>
    </row>
    <row r="25" spans="2:3" ht="28.05" customHeight="1" x14ac:dyDescent="0.3">
      <c r="B25" s="1" t="s">
        <v>34</v>
      </c>
      <c r="C25" s="2" t="s">
        <v>35</v>
      </c>
    </row>
    <row r="26" spans="2:3" ht="19.95" customHeight="1" x14ac:dyDescent="0.3">
      <c r="B26" s="1" t="s">
        <v>36</v>
      </c>
      <c r="C26" s="2" t="s">
        <v>37</v>
      </c>
    </row>
    <row r="27" spans="2:3" ht="42" customHeight="1" x14ac:dyDescent="0.3">
      <c r="B27" s="1" t="s">
        <v>38</v>
      </c>
      <c r="C27" s="2" t="s">
        <v>39</v>
      </c>
    </row>
    <row r="28" spans="2:3" ht="28.05" customHeight="1" x14ac:dyDescent="0.3">
      <c r="B28" s="1" t="s">
        <v>40</v>
      </c>
      <c r="C28" s="2" t="s">
        <v>41</v>
      </c>
    </row>
    <row r="30" spans="2:3" x14ac:dyDescent="0.3">
      <c r="B30" s="9" t="s">
        <v>42</v>
      </c>
      <c r="C30" s="10"/>
    </row>
    <row r="31" spans="2:3" ht="55.95" customHeight="1" x14ac:dyDescent="0.3">
      <c r="B31" s="1" t="s">
        <v>43</v>
      </c>
      <c r="C31" s="2" t="s">
        <v>44</v>
      </c>
    </row>
    <row r="32" spans="2:3" ht="28.05" customHeight="1" x14ac:dyDescent="0.3">
      <c r="B32" s="1" t="s">
        <v>45</v>
      </c>
      <c r="C32" s="2" t="s">
        <v>46</v>
      </c>
    </row>
    <row r="33" spans="2:3" ht="42" customHeight="1" x14ac:dyDescent="0.3">
      <c r="B33" s="1" t="s">
        <v>47</v>
      </c>
      <c r="C33" s="2" t="s">
        <v>48</v>
      </c>
    </row>
    <row r="34" spans="2:3" ht="42" customHeight="1" x14ac:dyDescent="0.3">
      <c r="B34" s="1" t="s">
        <v>49</v>
      </c>
      <c r="C34" s="2" t="s">
        <v>50</v>
      </c>
    </row>
    <row r="35" spans="2:3" ht="28.05" customHeight="1" x14ac:dyDescent="0.3">
      <c r="B35" s="1" t="s">
        <v>51</v>
      </c>
      <c r="C35" s="2" t="s">
        <v>52</v>
      </c>
    </row>
    <row r="36" spans="2:3" ht="19.95" customHeight="1" x14ac:dyDescent="0.3">
      <c r="B36" s="1" t="s">
        <v>15</v>
      </c>
      <c r="C36" s="2" t="s">
        <v>53</v>
      </c>
    </row>
    <row r="38" spans="2:3" x14ac:dyDescent="0.3">
      <c r="B38" s="9" t="s">
        <v>54</v>
      </c>
      <c r="C38" s="10"/>
    </row>
    <row r="39" spans="2:3" ht="42" customHeight="1" x14ac:dyDescent="0.3">
      <c r="B39" s="1" t="s">
        <v>55</v>
      </c>
      <c r="C39" s="2" t="s">
        <v>56</v>
      </c>
    </row>
    <row r="40" spans="2:3" ht="28.05" customHeight="1" x14ac:dyDescent="0.3">
      <c r="B40" s="1" t="s">
        <v>57</v>
      </c>
      <c r="C40" s="2" t="s">
        <v>58</v>
      </c>
    </row>
    <row r="41" spans="2:3" ht="19.95" customHeight="1" x14ac:dyDescent="0.3">
      <c r="B41" s="1" t="s">
        <v>59</v>
      </c>
      <c r="C41" s="2" t="s">
        <v>60</v>
      </c>
    </row>
    <row r="42" spans="2:3" ht="28.05" customHeight="1" x14ac:dyDescent="0.3">
      <c r="B42" s="1" t="s">
        <v>61</v>
      </c>
      <c r="C42" s="2" t="s">
        <v>62</v>
      </c>
    </row>
    <row r="43" spans="2:3" ht="19.95" customHeight="1" x14ac:dyDescent="0.3">
      <c r="B43" s="1" t="s">
        <v>63</v>
      </c>
      <c r="C43" s="2" t="s">
        <v>64</v>
      </c>
    </row>
    <row r="44" spans="2:3" ht="19.95" customHeight="1" x14ac:dyDescent="0.3">
      <c r="B44" s="1" t="s">
        <v>65</v>
      </c>
      <c r="C44" s="2" t="s">
        <v>66</v>
      </c>
    </row>
    <row r="45" spans="2:3" ht="19.95" customHeight="1" x14ac:dyDescent="0.3">
      <c r="B45" s="1" t="s">
        <v>67</v>
      </c>
      <c r="C45" s="2" t="s">
        <v>68</v>
      </c>
    </row>
    <row r="46" spans="2:3" ht="28.05" customHeight="1" x14ac:dyDescent="0.3">
      <c r="B46" s="1" t="s">
        <v>69</v>
      </c>
      <c r="C46" s="2" t="s">
        <v>70</v>
      </c>
    </row>
    <row r="47" spans="2:3" ht="28.05" customHeight="1" x14ac:dyDescent="0.3">
      <c r="B47" s="1" t="s">
        <v>71</v>
      </c>
      <c r="C47" s="2" t="s">
        <v>72</v>
      </c>
    </row>
    <row r="48" spans="2:3" ht="28.05" customHeight="1" x14ac:dyDescent="0.3">
      <c r="B48" s="1" t="s">
        <v>73</v>
      </c>
      <c r="C48" s="2" t="s">
        <v>74</v>
      </c>
    </row>
    <row r="50" spans="2:3" x14ac:dyDescent="0.3">
      <c r="B50" s="9" t="s">
        <v>75</v>
      </c>
      <c r="C50" s="10"/>
    </row>
    <row r="51" spans="2:3" ht="112.05" customHeight="1" x14ac:dyDescent="0.3">
      <c r="B51" s="1" t="s">
        <v>76</v>
      </c>
      <c r="C51" s="2" t="s">
        <v>77</v>
      </c>
    </row>
    <row r="52" spans="2:3" ht="42" customHeight="1" x14ac:dyDescent="0.3">
      <c r="B52" s="1" t="s">
        <v>78</v>
      </c>
      <c r="C52" s="2" t="s">
        <v>79</v>
      </c>
    </row>
    <row r="53" spans="2:3" ht="42" customHeight="1" x14ac:dyDescent="0.3">
      <c r="B53" s="1" t="s">
        <v>80</v>
      </c>
      <c r="C53" s="2" t="s">
        <v>81</v>
      </c>
    </row>
    <row r="54" spans="2:3" ht="42" customHeight="1" x14ac:dyDescent="0.3">
      <c r="B54" s="1" t="s">
        <v>82</v>
      </c>
      <c r="C54" s="2" t="s">
        <v>83</v>
      </c>
    </row>
    <row r="56" spans="2:3" x14ac:dyDescent="0.3">
      <c r="B56" s="9" t="s">
        <v>84</v>
      </c>
      <c r="C56" s="10"/>
    </row>
    <row r="57" spans="2:3" ht="70.05" customHeight="1" x14ac:dyDescent="0.3">
      <c r="B57" s="1" t="s">
        <v>85</v>
      </c>
      <c r="C57" s="2" t="s">
        <v>86</v>
      </c>
    </row>
    <row r="58" spans="2:3" ht="42" customHeight="1" x14ac:dyDescent="0.3">
      <c r="B58" s="1" t="s">
        <v>87</v>
      </c>
      <c r="C58" s="2" t="s">
        <v>88</v>
      </c>
    </row>
    <row r="59" spans="2:3" ht="42" customHeight="1" x14ac:dyDescent="0.3">
      <c r="B59" s="1" t="s">
        <v>89</v>
      </c>
      <c r="C59" s="2" t="s">
        <v>90</v>
      </c>
    </row>
    <row r="60" spans="2:3" ht="28.05" customHeight="1" x14ac:dyDescent="0.3">
      <c r="B60" s="1" t="s">
        <v>91</v>
      </c>
      <c r="C60" s="2" t="s">
        <v>92</v>
      </c>
    </row>
    <row r="61" spans="2:3" ht="28.05" customHeight="1" x14ac:dyDescent="0.3">
      <c r="B61" s="1" t="s">
        <v>93</v>
      </c>
      <c r="C61" s="2" t="s">
        <v>94</v>
      </c>
    </row>
    <row r="63" spans="2:3" x14ac:dyDescent="0.3">
      <c r="B63" s="9" t="s">
        <v>95</v>
      </c>
      <c r="C63" s="10"/>
    </row>
    <row r="64" spans="2:3" ht="28.05" customHeight="1" x14ac:dyDescent="0.3">
      <c r="B64" s="1" t="s">
        <v>96</v>
      </c>
      <c r="C64" s="2" t="s">
        <v>97</v>
      </c>
    </row>
    <row r="65" spans="2:3" ht="28.05" customHeight="1" x14ac:dyDescent="0.3">
      <c r="B65" s="1" t="s">
        <v>98</v>
      </c>
      <c r="C65" s="2" t="s">
        <v>99</v>
      </c>
    </row>
    <row r="66" spans="2:3" ht="28.05" customHeight="1" x14ac:dyDescent="0.3">
      <c r="B66" s="1" t="s">
        <v>100</v>
      </c>
      <c r="C66" s="2" t="s">
        <v>101</v>
      </c>
    </row>
    <row r="67" spans="2:3" ht="28.05" customHeight="1" x14ac:dyDescent="0.3">
      <c r="B67" s="1" t="s">
        <v>102</v>
      </c>
      <c r="C67" s="2" t="s">
        <v>103</v>
      </c>
    </row>
    <row r="69" spans="2:3" x14ac:dyDescent="0.3">
      <c r="B69" s="9" t="s">
        <v>104</v>
      </c>
      <c r="C69" s="10"/>
    </row>
    <row r="70" spans="2:3" ht="28.05" customHeight="1" x14ac:dyDescent="0.3">
      <c r="B70" s="1" t="s">
        <v>105</v>
      </c>
      <c r="C70" s="2" t="s">
        <v>106</v>
      </c>
    </row>
    <row r="71" spans="2:3" ht="28.05" customHeight="1" x14ac:dyDescent="0.3">
      <c r="B71" s="1" t="s">
        <v>107</v>
      </c>
      <c r="C71" s="2" t="s">
        <v>108</v>
      </c>
    </row>
    <row r="72" spans="2:3" ht="19.95" customHeight="1" x14ac:dyDescent="0.3">
      <c r="B72" s="1" t="s">
        <v>109</v>
      </c>
      <c r="C72" s="2" t="s">
        <v>110</v>
      </c>
    </row>
    <row r="73" spans="2:3" ht="28.05" customHeight="1" x14ac:dyDescent="0.3">
      <c r="B73" s="1" t="s">
        <v>111</v>
      </c>
      <c r="C73" s="2" t="s">
        <v>112</v>
      </c>
    </row>
    <row r="74" spans="2:3" ht="55.95" customHeight="1" x14ac:dyDescent="0.3">
      <c r="B74" s="1" t="s">
        <v>113</v>
      </c>
      <c r="C74" s="2" t="s">
        <v>114</v>
      </c>
    </row>
    <row r="76" spans="2:3" x14ac:dyDescent="0.3">
      <c r="B76" s="9" t="s">
        <v>115</v>
      </c>
      <c r="C76" s="10"/>
    </row>
    <row r="77" spans="2:3" ht="28.05" customHeight="1" x14ac:dyDescent="0.3">
      <c r="B77" s="1" t="s">
        <v>116</v>
      </c>
      <c r="C77" s="2" t="s">
        <v>117</v>
      </c>
    </row>
    <row r="78" spans="2:3" ht="28.05" customHeight="1" x14ac:dyDescent="0.3">
      <c r="B78" s="1" t="s">
        <v>118</v>
      </c>
      <c r="C78" s="2" t="s">
        <v>119</v>
      </c>
    </row>
    <row r="79" spans="2:3" ht="42" customHeight="1" x14ac:dyDescent="0.3">
      <c r="B79" s="1" t="s">
        <v>120</v>
      </c>
      <c r="C79" s="2" t="s">
        <v>121</v>
      </c>
    </row>
    <row r="80" spans="2:3" ht="28.05" customHeight="1" x14ac:dyDescent="0.3">
      <c r="B80" s="1" t="s">
        <v>122</v>
      </c>
      <c r="C80" s="2" t="s">
        <v>123</v>
      </c>
    </row>
    <row r="81" spans="2:3" ht="28.05" customHeight="1" x14ac:dyDescent="0.3">
      <c r="B81" s="1" t="s">
        <v>124</v>
      </c>
      <c r="C81" s="2" t="s">
        <v>125</v>
      </c>
    </row>
    <row r="82" spans="2:3" ht="28.05" customHeight="1" x14ac:dyDescent="0.3">
      <c r="B82" s="1" t="s">
        <v>126</v>
      </c>
      <c r="C82" s="2" t="s">
        <v>127</v>
      </c>
    </row>
    <row r="84" spans="2:3" x14ac:dyDescent="0.3">
      <c r="B84" s="9" t="s">
        <v>128</v>
      </c>
      <c r="C84" s="10"/>
    </row>
    <row r="85" spans="2:3" ht="42" customHeight="1" x14ac:dyDescent="0.3">
      <c r="B85" s="1" t="s">
        <v>129</v>
      </c>
      <c r="C85" s="2" t="s">
        <v>130</v>
      </c>
    </row>
    <row r="86" spans="2:3" ht="55.95" customHeight="1" x14ac:dyDescent="0.3">
      <c r="B86" s="1" t="s">
        <v>131</v>
      </c>
      <c r="C86" s="2" t="s">
        <v>132</v>
      </c>
    </row>
    <row r="87" spans="2:3" ht="28.05" customHeight="1" x14ac:dyDescent="0.3">
      <c r="B87" s="1" t="s">
        <v>133</v>
      </c>
      <c r="C87" s="2" t="s">
        <v>134</v>
      </c>
    </row>
    <row r="88" spans="2:3" ht="28.05" customHeight="1" x14ac:dyDescent="0.3">
      <c r="B88" s="1" t="s">
        <v>135</v>
      </c>
      <c r="C88" s="2" t="s">
        <v>136</v>
      </c>
    </row>
    <row r="90" spans="2:3" x14ac:dyDescent="0.3">
      <c r="B90" s="9" t="s">
        <v>137</v>
      </c>
      <c r="C90" s="10"/>
    </row>
    <row r="91" spans="2:3" ht="28.05" customHeight="1" x14ac:dyDescent="0.3">
      <c r="B91" s="1" t="s">
        <v>138</v>
      </c>
      <c r="C91" s="2" t="s">
        <v>139</v>
      </c>
    </row>
    <row r="92" spans="2:3" ht="42" customHeight="1" x14ac:dyDescent="0.3">
      <c r="B92" s="1" t="s">
        <v>140</v>
      </c>
      <c r="C92" s="2" t="s">
        <v>141</v>
      </c>
    </row>
    <row r="93" spans="2:3" ht="28.05" customHeight="1" x14ac:dyDescent="0.3">
      <c r="B93" s="1" t="s">
        <v>142</v>
      </c>
      <c r="C93" s="2" t="s">
        <v>143</v>
      </c>
    </row>
    <row r="95" spans="2:3" x14ac:dyDescent="0.3">
      <c r="B95" s="9" t="s">
        <v>144</v>
      </c>
      <c r="C95" s="10"/>
    </row>
    <row r="96" spans="2:3" ht="42" customHeight="1" x14ac:dyDescent="0.3">
      <c r="B96" s="1" t="s">
        <v>145</v>
      </c>
      <c r="C96" s="2" t="s">
        <v>146</v>
      </c>
    </row>
    <row r="97" spans="2:3" ht="55.95" customHeight="1" x14ac:dyDescent="0.3">
      <c r="B97" s="1" t="s">
        <v>147</v>
      </c>
      <c r="C97" s="2" t="s">
        <v>148</v>
      </c>
    </row>
    <row r="98" spans="2:3" ht="28.05" customHeight="1" x14ac:dyDescent="0.3">
      <c r="B98" s="1" t="s">
        <v>149</v>
      </c>
      <c r="C98" s="2" t="s">
        <v>150</v>
      </c>
    </row>
    <row r="100" spans="2:3" x14ac:dyDescent="0.3">
      <c r="B100" s="9" t="s">
        <v>151</v>
      </c>
      <c r="C100" s="10"/>
    </row>
    <row r="101" spans="2:3" ht="28.05" customHeight="1" x14ac:dyDescent="0.3">
      <c r="B101" s="1" t="s">
        <v>152</v>
      </c>
      <c r="C101" s="2" t="s">
        <v>153</v>
      </c>
    </row>
    <row r="102" spans="2:3" ht="19.95" customHeight="1" x14ac:dyDescent="0.3">
      <c r="B102" s="1" t="s">
        <v>154</v>
      </c>
      <c r="C102" s="2" t="s">
        <v>155</v>
      </c>
    </row>
    <row r="103" spans="2:3" ht="28.05" customHeight="1" x14ac:dyDescent="0.3">
      <c r="B103" s="1" t="s">
        <v>156</v>
      </c>
      <c r="C103" s="2" t="s">
        <v>157</v>
      </c>
    </row>
    <row r="104" spans="2:3" ht="28.05" customHeight="1" x14ac:dyDescent="0.3">
      <c r="B104" s="1" t="s">
        <v>158</v>
      </c>
      <c r="C104" s="2" t="s">
        <v>159</v>
      </c>
    </row>
    <row r="105" spans="2:3" ht="28.05" customHeight="1" x14ac:dyDescent="0.3">
      <c r="B105" s="1" t="s">
        <v>160</v>
      </c>
      <c r="C105" s="2" t="s">
        <v>161</v>
      </c>
    </row>
    <row r="106" spans="2:3" ht="19.95" customHeight="1" x14ac:dyDescent="0.3">
      <c r="B106" s="1" t="s">
        <v>162</v>
      </c>
      <c r="C106" s="2" t="s">
        <v>163</v>
      </c>
    </row>
  </sheetData>
  <mergeCells count="17">
    <mergeCell ref="B30:C30"/>
    <mergeCell ref="B1:C1"/>
    <mergeCell ref="B4:C4"/>
    <mergeCell ref="B100:C100"/>
    <mergeCell ref="B90:C90"/>
    <mergeCell ref="B19:C19"/>
    <mergeCell ref="B95:C95"/>
    <mergeCell ref="B76:C76"/>
    <mergeCell ref="B23:C23"/>
    <mergeCell ref="B84:C84"/>
    <mergeCell ref="B50:C50"/>
    <mergeCell ref="B63:C63"/>
    <mergeCell ref="B56:C56"/>
    <mergeCell ref="B13:C13"/>
    <mergeCell ref="B69:C69"/>
    <mergeCell ref="B38:C38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5" sqref="E5"/>
    </sheetView>
  </sheetViews>
  <sheetFormatPr defaultRowHeight="14.4" x14ac:dyDescent="0.3"/>
  <cols>
    <col min="1" max="1" width="4" style="13" customWidth="1"/>
    <col min="2" max="2" width="8" style="13" customWidth="1"/>
    <col min="3" max="3" width="32" style="13" customWidth="1"/>
    <col min="4" max="4" width="50" style="13" customWidth="1"/>
    <col min="5" max="5" width="12" style="21" customWidth="1"/>
    <col min="6" max="7" width="12" style="29" customWidth="1"/>
    <col min="8" max="8" width="8" style="13" customWidth="1"/>
    <col min="9" max="9" width="35" style="13" customWidth="1"/>
    <col min="10" max="16384" width="8.88671875" style="13"/>
  </cols>
  <sheetData>
    <row r="1" spans="2:11" ht="28.05" customHeight="1" x14ac:dyDescent="0.3">
      <c r="B1" s="11" t="s">
        <v>164</v>
      </c>
      <c r="C1" s="12"/>
      <c r="D1" s="12"/>
      <c r="E1" s="12"/>
      <c r="F1" s="12"/>
      <c r="G1" s="12"/>
      <c r="H1" s="12"/>
      <c r="I1" s="12"/>
      <c r="K1" s="13" t="s">
        <v>403</v>
      </c>
    </row>
    <row r="2" spans="2:11" x14ac:dyDescent="0.3">
      <c r="B2" s="14" t="s">
        <v>165</v>
      </c>
      <c r="C2" s="12"/>
      <c r="D2" s="12"/>
      <c r="E2" s="12"/>
      <c r="F2" s="12"/>
      <c r="G2" s="12"/>
      <c r="H2" s="12"/>
      <c r="I2" s="12"/>
      <c r="K2" s="13" t="s">
        <v>404</v>
      </c>
    </row>
    <row r="3" spans="2:11" x14ac:dyDescent="0.3">
      <c r="K3" s="13" t="s">
        <v>405</v>
      </c>
    </row>
    <row r="4" spans="2:11" ht="24" customHeight="1" x14ac:dyDescent="0.3">
      <c r="B4" s="3" t="s">
        <v>166</v>
      </c>
      <c r="C4" s="3" t="s">
        <v>9</v>
      </c>
      <c r="D4" s="3" t="s">
        <v>167</v>
      </c>
      <c r="E4" s="22" t="s">
        <v>168</v>
      </c>
      <c r="F4" s="30" t="s">
        <v>407</v>
      </c>
      <c r="G4" s="30" t="s">
        <v>406</v>
      </c>
      <c r="H4" s="3" t="s">
        <v>169</v>
      </c>
      <c r="I4" s="3" t="s">
        <v>170</v>
      </c>
    </row>
    <row r="5" spans="2:11" ht="28.05" customHeight="1" x14ac:dyDescent="0.3">
      <c r="B5" s="15" t="s">
        <v>171</v>
      </c>
      <c r="C5" s="16" t="s">
        <v>172</v>
      </c>
      <c r="D5" s="16" t="s">
        <v>173</v>
      </c>
      <c r="E5" s="23" t="s">
        <v>174</v>
      </c>
      <c r="F5" s="31"/>
      <c r="G5" s="31"/>
      <c r="H5" s="17"/>
      <c r="I5" s="16" t="s">
        <v>175</v>
      </c>
    </row>
    <row r="6" spans="2:11" ht="28.05" customHeight="1" x14ac:dyDescent="0.3">
      <c r="B6" s="15" t="s">
        <v>176</v>
      </c>
      <c r="C6" s="16" t="s">
        <v>177</v>
      </c>
      <c r="D6" s="16" t="s">
        <v>178</v>
      </c>
      <c r="E6" s="23" t="s">
        <v>174</v>
      </c>
      <c r="F6" s="31"/>
      <c r="G6" s="31"/>
      <c r="H6" s="17"/>
      <c r="I6" s="16" t="s">
        <v>175</v>
      </c>
    </row>
    <row r="7" spans="2:11" ht="28.05" customHeight="1" x14ac:dyDescent="0.3">
      <c r="B7" s="15" t="s">
        <v>179</v>
      </c>
      <c r="C7" s="16" t="s">
        <v>180</v>
      </c>
      <c r="D7" s="16" t="s">
        <v>181</v>
      </c>
      <c r="E7" s="23" t="s">
        <v>174</v>
      </c>
      <c r="F7" s="31"/>
      <c r="G7" s="31"/>
      <c r="H7" s="17"/>
      <c r="I7" s="16" t="s">
        <v>176</v>
      </c>
    </row>
    <row r="8" spans="2:11" ht="28.05" customHeight="1" x14ac:dyDescent="0.3">
      <c r="B8" s="15" t="s">
        <v>182</v>
      </c>
      <c r="C8" s="16" t="s">
        <v>183</v>
      </c>
      <c r="D8" s="16" t="s">
        <v>184</v>
      </c>
      <c r="E8" s="23" t="s">
        <v>174</v>
      </c>
      <c r="F8" s="31"/>
      <c r="G8" s="31"/>
      <c r="H8" s="17"/>
      <c r="I8" s="16" t="s">
        <v>176</v>
      </c>
    </row>
    <row r="9" spans="2:11" ht="28.05" customHeight="1" x14ac:dyDescent="0.3">
      <c r="B9" s="15" t="s">
        <v>185</v>
      </c>
      <c r="C9" s="16" t="s">
        <v>186</v>
      </c>
      <c r="D9" s="16" t="s">
        <v>187</v>
      </c>
      <c r="E9" s="23" t="s">
        <v>174</v>
      </c>
      <c r="F9" s="31"/>
      <c r="G9" s="31"/>
      <c r="H9" s="17"/>
      <c r="I9" s="16" t="s">
        <v>176</v>
      </c>
    </row>
    <row r="10" spans="2:11" ht="28.05" customHeight="1" x14ac:dyDescent="0.3">
      <c r="B10" s="15" t="s">
        <v>188</v>
      </c>
      <c r="C10" s="16" t="s">
        <v>189</v>
      </c>
      <c r="D10" s="16" t="s">
        <v>190</v>
      </c>
      <c r="E10" s="23" t="s">
        <v>174</v>
      </c>
      <c r="F10" s="31"/>
      <c r="G10" s="31"/>
      <c r="H10" s="17"/>
      <c r="I10" s="16" t="s">
        <v>191</v>
      </c>
    </row>
    <row r="11" spans="2:11" ht="28.05" customHeight="1" x14ac:dyDescent="0.3">
      <c r="B11" s="15" t="s">
        <v>192</v>
      </c>
      <c r="C11" s="16" t="s">
        <v>193</v>
      </c>
      <c r="D11" s="16" t="s">
        <v>194</v>
      </c>
      <c r="E11" s="23" t="s">
        <v>174</v>
      </c>
      <c r="F11" s="31"/>
      <c r="G11" s="31"/>
      <c r="H11" s="17"/>
      <c r="I11" s="16" t="s">
        <v>176</v>
      </c>
    </row>
    <row r="12" spans="2:11" ht="28.05" customHeight="1" x14ac:dyDescent="0.3">
      <c r="B12" s="15" t="s">
        <v>195</v>
      </c>
      <c r="C12" s="16" t="s">
        <v>196</v>
      </c>
      <c r="D12" s="16" t="s">
        <v>197</v>
      </c>
      <c r="E12" s="23" t="s">
        <v>174</v>
      </c>
      <c r="F12" s="31"/>
      <c r="G12" s="31"/>
      <c r="H12" s="17"/>
      <c r="I12" s="16" t="s">
        <v>188</v>
      </c>
    </row>
    <row r="13" spans="2:11" ht="28.05" customHeight="1" x14ac:dyDescent="0.3">
      <c r="B13" s="15" t="s">
        <v>198</v>
      </c>
      <c r="C13" s="16" t="s">
        <v>199</v>
      </c>
      <c r="D13" s="16" t="s">
        <v>200</v>
      </c>
      <c r="E13" s="23" t="s">
        <v>174</v>
      </c>
      <c r="F13" s="31"/>
      <c r="G13" s="31"/>
      <c r="H13" s="17"/>
      <c r="I13" s="16" t="s">
        <v>188</v>
      </c>
    </row>
    <row r="14" spans="2:11" ht="84" customHeight="1" x14ac:dyDescent="0.3">
      <c r="B14" s="18" t="s">
        <v>201</v>
      </c>
      <c r="C14" s="19" t="s">
        <v>202</v>
      </c>
      <c r="D14" s="19" t="s">
        <v>203</v>
      </c>
      <c r="E14" s="24" t="s">
        <v>204</v>
      </c>
      <c r="F14" s="32"/>
      <c r="G14" s="32"/>
      <c r="H14" s="20">
        <v>8</v>
      </c>
      <c r="I14" s="19" t="s">
        <v>205</v>
      </c>
    </row>
    <row r="15" spans="2:11" ht="70.05" customHeight="1" x14ac:dyDescent="0.3">
      <c r="B15" s="18" t="s">
        <v>206</v>
      </c>
      <c r="C15" s="19" t="s">
        <v>207</v>
      </c>
      <c r="D15" s="19" t="s">
        <v>208</v>
      </c>
      <c r="E15" s="24" t="s">
        <v>204</v>
      </c>
      <c r="F15" s="32"/>
      <c r="G15" s="32"/>
      <c r="H15" s="20">
        <v>12</v>
      </c>
      <c r="I15" s="19" t="s">
        <v>201</v>
      </c>
    </row>
    <row r="16" spans="2:11" ht="55.95" customHeight="1" x14ac:dyDescent="0.3">
      <c r="B16" s="18" t="s">
        <v>209</v>
      </c>
      <c r="C16" s="19" t="s">
        <v>210</v>
      </c>
      <c r="D16" s="19" t="s">
        <v>211</v>
      </c>
      <c r="E16" s="24" t="s">
        <v>204</v>
      </c>
      <c r="F16" s="32"/>
      <c r="G16" s="32"/>
      <c r="H16" s="20">
        <v>6</v>
      </c>
      <c r="I16" s="19" t="s">
        <v>206</v>
      </c>
    </row>
    <row r="17" spans="2:9" ht="97.95" customHeight="1" x14ac:dyDescent="0.3">
      <c r="B17" s="18" t="s">
        <v>212</v>
      </c>
      <c r="C17" s="19" t="s">
        <v>213</v>
      </c>
      <c r="D17" s="19" t="s">
        <v>214</v>
      </c>
      <c r="E17" s="24" t="s">
        <v>204</v>
      </c>
      <c r="F17" s="32"/>
      <c r="G17" s="32"/>
      <c r="H17" s="20">
        <v>14</v>
      </c>
      <c r="I17" s="19" t="s">
        <v>206</v>
      </c>
    </row>
    <row r="18" spans="2:9" ht="126" customHeight="1" x14ac:dyDescent="0.3">
      <c r="B18" s="18" t="s">
        <v>215</v>
      </c>
      <c r="C18" s="19" t="s">
        <v>216</v>
      </c>
      <c r="D18" s="19" t="s">
        <v>217</v>
      </c>
      <c r="E18" s="24" t="s">
        <v>204</v>
      </c>
      <c r="F18" s="32"/>
      <c r="G18" s="32"/>
      <c r="H18" s="20">
        <v>12</v>
      </c>
      <c r="I18" s="19" t="s">
        <v>206</v>
      </c>
    </row>
    <row r="19" spans="2:9" ht="55.95" customHeight="1" x14ac:dyDescent="0.3">
      <c r="B19" s="18" t="s">
        <v>218</v>
      </c>
      <c r="C19" s="19" t="s">
        <v>219</v>
      </c>
      <c r="D19" s="19" t="s">
        <v>220</v>
      </c>
      <c r="E19" s="24" t="s">
        <v>204</v>
      </c>
      <c r="F19" s="32"/>
      <c r="G19" s="32"/>
      <c r="H19" s="20">
        <v>6</v>
      </c>
      <c r="I19" s="19" t="s">
        <v>206</v>
      </c>
    </row>
    <row r="20" spans="2:9" ht="70.05" customHeight="1" x14ac:dyDescent="0.3">
      <c r="B20" s="18" t="s">
        <v>221</v>
      </c>
      <c r="C20" s="19" t="s">
        <v>222</v>
      </c>
      <c r="D20" s="19" t="s">
        <v>223</v>
      </c>
      <c r="E20" s="24" t="s">
        <v>204</v>
      </c>
      <c r="F20" s="32"/>
      <c r="G20" s="32"/>
      <c r="H20" s="20">
        <v>6</v>
      </c>
      <c r="I20" s="19" t="s">
        <v>224</v>
      </c>
    </row>
    <row r="21" spans="2:9" ht="55.95" customHeight="1" x14ac:dyDescent="0.3">
      <c r="B21" s="18" t="s">
        <v>225</v>
      </c>
      <c r="C21" s="19" t="s">
        <v>226</v>
      </c>
      <c r="D21" s="19" t="s">
        <v>227</v>
      </c>
      <c r="E21" s="24" t="s">
        <v>204</v>
      </c>
      <c r="F21" s="32"/>
      <c r="G21" s="32"/>
      <c r="H21" s="20">
        <v>10</v>
      </c>
      <c r="I21" s="19" t="s">
        <v>228</v>
      </c>
    </row>
    <row r="22" spans="2:9" ht="55.95" customHeight="1" x14ac:dyDescent="0.3">
      <c r="B22" s="18" t="s">
        <v>229</v>
      </c>
      <c r="C22" s="19" t="s">
        <v>230</v>
      </c>
      <c r="D22" s="19" t="s">
        <v>231</v>
      </c>
      <c r="E22" s="24" t="s">
        <v>204</v>
      </c>
      <c r="F22" s="32"/>
      <c r="G22" s="32"/>
      <c r="H22" s="20">
        <v>4</v>
      </c>
      <c r="I22" s="19" t="s">
        <v>225</v>
      </c>
    </row>
    <row r="23" spans="2:9" ht="70.05" customHeight="1" x14ac:dyDescent="0.3">
      <c r="B23" s="18" t="s">
        <v>232</v>
      </c>
      <c r="C23" s="19" t="s">
        <v>233</v>
      </c>
      <c r="D23" s="19" t="s">
        <v>234</v>
      </c>
      <c r="E23" s="24" t="s">
        <v>204</v>
      </c>
      <c r="F23" s="32"/>
      <c r="G23" s="32"/>
      <c r="H23" s="20">
        <v>8</v>
      </c>
      <c r="I23" s="19" t="s">
        <v>235</v>
      </c>
    </row>
    <row r="24" spans="2:9" ht="55.95" customHeight="1" x14ac:dyDescent="0.3">
      <c r="B24" s="18" t="s">
        <v>236</v>
      </c>
      <c r="C24" s="19" t="s">
        <v>237</v>
      </c>
      <c r="D24" s="19" t="s">
        <v>238</v>
      </c>
      <c r="E24" s="24" t="s">
        <v>204</v>
      </c>
      <c r="F24" s="32"/>
      <c r="G24" s="32"/>
      <c r="H24" s="20">
        <v>6</v>
      </c>
      <c r="I24" s="19" t="s">
        <v>239</v>
      </c>
    </row>
    <row r="25" spans="2:9" ht="55.95" customHeight="1" x14ac:dyDescent="0.3">
      <c r="B25" s="18" t="s">
        <v>240</v>
      </c>
      <c r="C25" s="19" t="s">
        <v>241</v>
      </c>
      <c r="D25" s="19" t="s">
        <v>242</v>
      </c>
      <c r="E25" s="24" t="s">
        <v>204</v>
      </c>
      <c r="F25" s="32"/>
      <c r="G25" s="32"/>
      <c r="H25" s="20">
        <v>6</v>
      </c>
      <c r="I25" s="19" t="s">
        <v>236</v>
      </c>
    </row>
    <row r="26" spans="2:9" ht="70.05" customHeight="1" x14ac:dyDescent="0.3">
      <c r="B26" s="18" t="s">
        <v>243</v>
      </c>
      <c r="C26" s="19" t="s">
        <v>244</v>
      </c>
      <c r="D26" s="19" t="s">
        <v>245</v>
      </c>
      <c r="E26" s="24" t="s">
        <v>204</v>
      </c>
      <c r="F26" s="32"/>
      <c r="G26" s="32"/>
      <c r="H26" s="20">
        <v>4</v>
      </c>
      <c r="I26" s="19" t="s">
        <v>236</v>
      </c>
    </row>
    <row r="27" spans="2:9" ht="42" customHeight="1" x14ac:dyDescent="0.3">
      <c r="B27" s="18" t="s">
        <v>246</v>
      </c>
      <c r="C27" s="19" t="s">
        <v>247</v>
      </c>
      <c r="D27" s="19" t="s">
        <v>248</v>
      </c>
      <c r="E27" s="24" t="s">
        <v>204</v>
      </c>
      <c r="F27" s="32"/>
      <c r="G27" s="32"/>
      <c r="H27" s="20">
        <v>4</v>
      </c>
      <c r="I27" s="19" t="s">
        <v>236</v>
      </c>
    </row>
    <row r="28" spans="2:9" ht="55.95" customHeight="1" x14ac:dyDescent="0.3">
      <c r="B28" s="18" t="s">
        <v>249</v>
      </c>
      <c r="C28" s="19" t="s">
        <v>250</v>
      </c>
      <c r="D28" s="19" t="s">
        <v>251</v>
      </c>
      <c r="E28" s="24" t="s">
        <v>204</v>
      </c>
      <c r="F28" s="32"/>
      <c r="G28" s="32"/>
      <c r="H28" s="20">
        <v>4</v>
      </c>
      <c r="I28" s="19" t="s">
        <v>236</v>
      </c>
    </row>
    <row r="29" spans="2:9" ht="70.05" customHeight="1" x14ac:dyDescent="0.3">
      <c r="B29" s="18" t="s">
        <v>252</v>
      </c>
      <c r="C29" s="19" t="s">
        <v>253</v>
      </c>
      <c r="D29" s="19" t="s">
        <v>254</v>
      </c>
      <c r="E29" s="24" t="s">
        <v>204</v>
      </c>
      <c r="F29" s="32"/>
      <c r="G29" s="32"/>
      <c r="H29" s="20">
        <v>6</v>
      </c>
      <c r="I29" s="19" t="s">
        <v>255</v>
      </c>
    </row>
    <row r="30" spans="2:9" ht="84" customHeight="1" x14ac:dyDescent="0.3">
      <c r="B30" s="18" t="s">
        <v>256</v>
      </c>
      <c r="C30" s="19" t="s">
        <v>257</v>
      </c>
      <c r="D30" s="19" t="s">
        <v>258</v>
      </c>
      <c r="E30" s="24" t="s">
        <v>204</v>
      </c>
      <c r="F30" s="32"/>
      <c r="G30" s="32"/>
      <c r="H30" s="20">
        <v>6</v>
      </c>
      <c r="I30" s="19" t="s">
        <v>252</v>
      </c>
    </row>
    <row r="31" spans="2:9" ht="42" customHeight="1" x14ac:dyDescent="0.3">
      <c r="B31" s="18" t="s">
        <v>259</v>
      </c>
      <c r="C31" s="19" t="s">
        <v>260</v>
      </c>
      <c r="D31" s="19" t="s">
        <v>261</v>
      </c>
      <c r="E31" s="24" t="s">
        <v>204</v>
      </c>
      <c r="F31" s="32"/>
      <c r="G31" s="32"/>
      <c r="H31" s="20">
        <v>6</v>
      </c>
      <c r="I31" s="19" t="s">
        <v>256</v>
      </c>
    </row>
    <row r="32" spans="2:9" ht="42" customHeight="1" x14ac:dyDescent="0.3">
      <c r="B32" s="18" t="s">
        <v>262</v>
      </c>
      <c r="C32" s="19" t="s">
        <v>263</v>
      </c>
      <c r="D32" s="19" t="s">
        <v>264</v>
      </c>
      <c r="E32" s="24" t="s">
        <v>204</v>
      </c>
      <c r="F32" s="32"/>
      <c r="G32" s="32"/>
      <c r="H32" s="20">
        <v>4</v>
      </c>
      <c r="I32" s="19" t="s">
        <v>256</v>
      </c>
    </row>
    <row r="33" spans="2:9" ht="55.95" customHeight="1" x14ac:dyDescent="0.3">
      <c r="B33" s="18" t="s">
        <v>265</v>
      </c>
      <c r="C33" s="19" t="s">
        <v>266</v>
      </c>
      <c r="D33" s="19" t="s">
        <v>267</v>
      </c>
      <c r="E33" s="24" t="s">
        <v>204</v>
      </c>
      <c r="F33" s="32"/>
      <c r="G33" s="32"/>
      <c r="H33" s="20">
        <v>8</v>
      </c>
      <c r="I33" s="19" t="s">
        <v>268</v>
      </c>
    </row>
    <row r="34" spans="2:9" ht="84" customHeight="1" x14ac:dyDescent="0.3">
      <c r="B34" s="18" t="s">
        <v>269</v>
      </c>
      <c r="C34" s="19" t="s">
        <v>270</v>
      </c>
      <c r="D34" s="19" t="s">
        <v>271</v>
      </c>
      <c r="E34" s="24" t="s">
        <v>204</v>
      </c>
      <c r="F34" s="32"/>
      <c r="G34" s="32"/>
      <c r="H34" s="20">
        <v>8</v>
      </c>
      <c r="I34" s="19" t="s">
        <v>235</v>
      </c>
    </row>
    <row r="35" spans="2:9" ht="42" customHeight="1" x14ac:dyDescent="0.3">
      <c r="B35" s="18" t="s">
        <v>272</v>
      </c>
      <c r="C35" s="19" t="s">
        <v>273</v>
      </c>
      <c r="D35" s="19" t="s">
        <v>274</v>
      </c>
      <c r="E35" s="24" t="s">
        <v>204</v>
      </c>
      <c r="F35" s="32"/>
      <c r="G35" s="32"/>
      <c r="H35" s="20">
        <v>6</v>
      </c>
      <c r="I35" s="19" t="s">
        <v>275</v>
      </c>
    </row>
    <row r="36" spans="2:9" ht="70.05" customHeight="1" x14ac:dyDescent="0.3">
      <c r="B36" s="18" t="s">
        <v>276</v>
      </c>
      <c r="C36" s="19" t="s">
        <v>277</v>
      </c>
      <c r="D36" s="19" t="s">
        <v>278</v>
      </c>
      <c r="E36" s="24" t="s">
        <v>204</v>
      </c>
      <c r="F36" s="32"/>
      <c r="G36" s="32"/>
      <c r="H36" s="20">
        <v>6</v>
      </c>
      <c r="I36" s="19" t="s">
        <v>279</v>
      </c>
    </row>
    <row r="37" spans="2:9" ht="70.05" customHeight="1" x14ac:dyDescent="0.3">
      <c r="B37" s="18" t="s">
        <v>280</v>
      </c>
      <c r="C37" s="19" t="s">
        <v>281</v>
      </c>
      <c r="D37" s="19" t="s">
        <v>282</v>
      </c>
      <c r="E37" s="24" t="s">
        <v>204</v>
      </c>
      <c r="F37" s="32"/>
      <c r="G37" s="32"/>
      <c r="H37" s="20">
        <v>8</v>
      </c>
      <c r="I37" s="19" t="s">
        <v>268</v>
      </c>
    </row>
    <row r="38" spans="2:9" ht="55.95" customHeight="1" x14ac:dyDescent="0.3">
      <c r="B38" s="18" t="s">
        <v>283</v>
      </c>
      <c r="C38" s="19" t="s">
        <v>284</v>
      </c>
      <c r="D38" s="19" t="s">
        <v>285</v>
      </c>
      <c r="E38" s="24" t="s">
        <v>204</v>
      </c>
      <c r="F38" s="32"/>
      <c r="G38" s="32"/>
      <c r="H38" s="20">
        <v>4</v>
      </c>
      <c r="I38" s="19" t="s">
        <v>280</v>
      </c>
    </row>
    <row r="39" spans="2:9" ht="42" customHeight="1" x14ac:dyDescent="0.3">
      <c r="B39" s="18" t="s">
        <v>286</v>
      </c>
      <c r="C39" s="19" t="s">
        <v>287</v>
      </c>
      <c r="D39" s="19" t="s">
        <v>288</v>
      </c>
      <c r="E39" s="24" t="s">
        <v>204</v>
      </c>
      <c r="F39" s="32"/>
      <c r="G39" s="32"/>
      <c r="H39" s="20">
        <v>8</v>
      </c>
      <c r="I39" s="19" t="s">
        <v>235</v>
      </c>
    </row>
    <row r="40" spans="2:9" ht="42" customHeight="1" x14ac:dyDescent="0.3">
      <c r="B40" s="18" t="s">
        <v>289</v>
      </c>
      <c r="C40" s="19" t="s">
        <v>290</v>
      </c>
      <c r="D40" s="19" t="s">
        <v>291</v>
      </c>
      <c r="E40" s="24" t="s">
        <v>204</v>
      </c>
      <c r="F40" s="32"/>
      <c r="G40" s="32"/>
      <c r="H40" s="20">
        <v>8</v>
      </c>
      <c r="I40" s="19" t="s">
        <v>286</v>
      </c>
    </row>
    <row r="41" spans="2:9" ht="55.95" customHeight="1" x14ac:dyDescent="0.3">
      <c r="B41" s="18" t="s">
        <v>292</v>
      </c>
      <c r="C41" s="19" t="s">
        <v>293</v>
      </c>
      <c r="D41" s="19" t="s">
        <v>294</v>
      </c>
      <c r="E41" s="24" t="s">
        <v>204</v>
      </c>
      <c r="F41" s="32"/>
      <c r="G41" s="32"/>
      <c r="H41" s="20">
        <v>6</v>
      </c>
      <c r="I41" s="19" t="s">
        <v>289</v>
      </c>
    </row>
    <row r="42" spans="2:9" ht="55.95" customHeight="1" x14ac:dyDescent="0.3">
      <c r="B42" s="18" t="s">
        <v>295</v>
      </c>
      <c r="C42" s="19" t="s">
        <v>296</v>
      </c>
      <c r="D42" s="19" t="s">
        <v>297</v>
      </c>
      <c r="E42" s="24" t="s">
        <v>298</v>
      </c>
      <c r="F42" s="32"/>
      <c r="G42" s="32"/>
      <c r="H42" s="20">
        <v>16</v>
      </c>
      <c r="I42" s="19" t="s">
        <v>299</v>
      </c>
    </row>
    <row r="43" spans="2:9" ht="55.95" customHeight="1" x14ac:dyDescent="0.3">
      <c r="B43" s="18" t="s">
        <v>300</v>
      </c>
      <c r="C43" s="19" t="s">
        <v>301</v>
      </c>
      <c r="D43" s="19" t="s">
        <v>302</v>
      </c>
      <c r="E43" s="24" t="s">
        <v>204</v>
      </c>
      <c r="F43" s="32"/>
      <c r="G43" s="32"/>
      <c r="H43" s="20">
        <v>6</v>
      </c>
      <c r="I43" s="19" t="s">
        <v>303</v>
      </c>
    </row>
    <row r="44" spans="2:9" ht="55.95" customHeight="1" x14ac:dyDescent="0.3">
      <c r="B44" s="18" t="s">
        <v>304</v>
      </c>
      <c r="C44" s="19" t="s">
        <v>305</v>
      </c>
      <c r="D44" s="19" t="s">
        <v>306</v>
      </c>
      <c r="E44" s="24" t="s">
        <v>204</v>
      </c>
      <c r="F44" s="32"/>
      <c r="G44" s="32"/>
      <c r="H44" s="20">
        <v>8</v>
      </c>
      <c r="I44" s="19" t="s">
        <v>300</v>
      </c>
    </row>
    <row r="45" spans="2:9" ht="42" customHeight="1" x14ac:dyDescent="0.3">
      <c r="B45" s="18" t="s">
        <v>307</v>
      </c>
      <c r="C45" s="19" t="s">
        <v>308</v>
      </c>
      <c r="D45" s="19" t="s">
        <v>309</v>
      </c>
      <c r="E45" s="24" t="s">
        <v>204</v>
      </c>
      <c r="F45" s="32"/>
      <c r="G45" s="32"/>
      <c r="H45" s="20">
        <v>4</v>
      </c>
      <c r="I45" s="19" t="s">
        <v>310</v>
      </c>
    </row>
    <row r="46" spans="2:9" ht="70.05" customHeight="1" x14ac:dyDescent="0.3">
      <c r="B46" s="18" t="s">
        <v>311</v>
      </c>
      <c r="C46" s="19" t="s">
        <v>312</v>
      </c>
      <c r="D46" s="19" t="s">
        <v>313</v>
      </c>
      <c r="E46" s="24" t="s">
        <v>204</v>
      </c>
      <c r="F46" s="32"/>
      <c r="G46" s="32"/>
      <c r="H46" s="20">
        <v>12</v>
      </c>
      <c r="I46" s="19" t="s">
        <v>314</v>
      </c>
    </row>
    <row r="47" spans="2:9" ht="28.05" customHeight="1" x14ac:dyDescent="0.3">
      <c r="B47" s="18" t="s">
        <v>315</v>
      </c>
      <c r="C47" s="19" t="s">
        <v>316</v>
      </c>
      <c r="D47" s="19" t="s">
        <v>317</v>
      </c>
      <c r="E47" s="24" t="s">
        <v>204</v>
      </c>
      <c r="F47" s="32"/>
      <c r="G47" s="32"/>
      <c r="H47" s="20">
        <v>8</v>
      </c>
      <c r="I47" s="19" t="s">
        <v>311</v>
      </c>
    </row>
    <row r="48" spans="2:9" ht="55.95" customHeight="1" x14ac:dyDescent="0.3">
      <c r="B48" s="18" t="s">
        <v>318</v>
      </c>
      <c r="C48" s="19" t="s">
        <v>319</v>
      </c>
      <c r="D48" s="19" t="s">
        <v>320</v>
      </c>
      <c r="E48" s="24" t="s">
        <v>204</v>
      </c>
      <c r="F48" s="32"/>
      <c r="G48" s="32"/>
      <c r="H48" s="20">
        <v>16</v>
      </c>
      <c r="I48" s="19" t="s">
        <v>321</v>
      </c>
    </row>
    <row r="49" spans="2:9" ht="42" customHeight="1" x14ac:dyDescent="0.3">
      <c r="B49" s="18" t="s">
        <v>322</v>
      </c>
      <c r="C49" s="19" t="s">
        <v>323</v>
      </c>
      <c r="D49" s="19" t="s">
        <v>324</v>
      </c>
      <c r="E49" s="24" t="s">
        <v>204</v>
      </c>
      <c r="F49" s="32"/>
      <c r="G49" s="32"/>
      <c r="H49" s="20">
        <v>6</v>
      </c>
      <c r="I49" s="19" t="s">
        <v>182</v>
      </c>
    </row>
    <row r="50" spans="2:9" ht="55.95" customHeight="1" x14ac:dyDescent="0.3">
      <c r="B50" s="18" t="s">
        <v>325</v>
      </c>
      <c r="C50" s="19" t="s">
        <v>326</v>
      </c>
      <c r="D50" s="19" t="s">
        <v>327</v>
      </c>
      <c r="E50" s="24" t="s">
        <v>204</v>
      </c>
      <c r="F50" s="32"/>
      <c r="G50" s="32"/>
      <c r="H50" s="20">
        <v>10</v>
      </c>
      <c r="I50" s="19" t="s">
        <v>328</v>
      </c>
    </row>
    <row r="51" spans="2:9" ht="28.05" customHeight="1" x14ac:dyDescent="0.3">
      <c r="B51" s="18" t="s">
        <v>329</v>
      </c>
      <c r="C51" s="19" t="s">
        <v>330</v>
      </c>
      <c r="D51" s="19" t="s">
        <v>331</v>
      </c>
      <c r="E51" s="24" t="s">
        <v>204</v>
      </c>
      <c r="F51" s="32"/>
      <c r="G51" s="32"/>
      <c r="H51" s="20">
        <v>10</v>
      </c>
      <c r="I51" s="19" t="s">
        <v>328</v>
      </c>
    </row>
    <row r="52" spans="2:9" ht="55.95" customHeight="1" x14ac:dyDescent="0.3">
      <c r="B52" s="18" t="s">
        <v>332</v>
      </c>
      <c r="C52" s="19" t="s">
        <v>333</v>
      </c>
      <c r="D52" s="19" t="s">
        <v>334</v>
      </c>
      <c r="E52" s="24" t="s">
        <v>204</v>
      </c>
      <c r="F52" s="32"/>
      <c r="G52" s="32"/>
      <c r="H52" s="20">
        <v>12</v>
      </c>
      <c r="I52" s="19" t="s">
        <v>328</v>
      </c>
    </row>
    <row r="53" spans="2:9" ht="42" customHeight="1" x14ac:dyDescent="0.3">
      <c r="B53" s="18" t="s">
        <v>335</v>
      </c>
      <c r="C53" s="19" t="s">
        <v>336</v>
      </c>
      <c r="D53" s="19" t="s">
        <v>337</v>
      </c>
      <c r="E53" s="24" t="s">
        <v>204</v>
      </c>
      <c r="F53" s="32"/>
      <c r="G53" s="32"/>
      <c r="H53" s="20">
        <v>6</v>
      </c>
      <c r="I53" s="19" t="s">
        <v>338</v>
      </c>
    </row>
    <row r="54" spans="2:9" ht="42" customHeight="1" x14ac:dyDescent="0.3">
      <c r="B54" s="18" t="s">
        <v>339</v>
      </c>
      <c r="C54" s="19" t="s">
        <v>340</v>
      </c>
      <c r="D54" s="19" t="s">
        <v>341</v>
      </c>
      <c r="E54" s="24" t="s">
        <v>204</v>
      </c>
      <c r="F54" s="32"/>
      <c r="G54" s="32"/>
      <c r="H54" s="20">
        <v>8</v>
      </c>
      <c r="I54" s="19" t="s">
        <v>335</v>
      </c>
    </row>
    <row r="55" spans="2:9" ht="42" customHeight="1" x14ac:dyDescent="0.3">
      <c r="B55" s="18" t="s">
        <v>342</v>
      </c>
      <c r="C55" s="19" t="s">
        <v>343</v>
      </c>
      <c r="D55" s="19" t="s">
        <v>344</v>
      </c>
      <c r="E55" s="24" t="s">
        <v>204</v>
      </c>
      <c r="F55" s="32"/>
      <c r="G55" s="32"/>
      <c r="H55" s="20">
        <v>12</v>
      </c>
      <c r="I55" s="19" t="s">
        <v>339</v>
      </c>
    </row>
    <row r="56" spans="2:9" ht="42" customHeight="1" x14ac:dyDescent="0.3">
      <c r="B56" s="18" t="s">
        <v>345</v>
      </c>
      <c r="C56" s="19" t="s">
        <v>346</v>
      </c>
      <c r="D56" s="19" t="s">
        <v>347</v>
      </c>
      <c r="E56" s="24" t="s">
        <v>204</v>
      </c>
      <c r="F56" s="32"/>
      <c r="G56" s="32"/>
      <c r="H56" s="20">
        <v>4</v>
      </c>
      <c r="I56" s="19" t="s">
        <v>342</v>
      </c>
    </row>
    <row r="57" spans="2:9" ht="22.05" customHeight="1" x14ac:dyDescent="0.3">
      <c r="B57" s="4"/>
      <c r="C57" s="4" t="s">
        <v>348</v>
      </c>
      <c r="D57" s="4"/>
      <c r="E57" s="25"/>
      <c r="F57" s="33"/>
      <c r="G57" s="33"/>
      <c r="H57" s="5">
        <v>332</v>
      </c>
      <c r="I57" s="4"/>
    </row>
  </sheetData>
  <mergeCells count="2">
    <mergeCell ref="B2:I2"/>
    <mergeCell ref="B1:I1"/>
  </mergeCells>
  <conditionalFormatting sqref="E1:E1048576">
    <cfRule type="containsText" dxfId="3" priority="3" operator="containsText" text="Done">
      <formula>NOT(ISERROR(SEARCH("Done",E1)))</formula>
    </cfRule>
    <cfRule type="containsText" dxfId="4" priority="2" operator="containsText" text="Not Started">
      <formula>NOT(ISERROR(SEARCH("Not Started",E1)))</formula>
    </cfRule>
    <cfRule type="containsText" dxfId="5" priority="1" operator="containsText" text="In Progress">
      <formula>NOT(ISERROR(SEARCH("In Progress",E1)))</formula>
    </cfRule>
  </conditionalFormatting>
  <dataValidations count="1">
    <dataValidation type="list" allowBlank="1" showInputMessage="1" showErrorMessage="1" sqref="E5:G56" xr:uid="{47917758-311F-4DD0-AC67-DAC1D7129E4B}">
      <formula1>$K$1:$K$3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1" width="4" style="13" customWidth="1"/>
    <col min="2" max="2" width="8" style="13" customWidth="1"/>
    <col min="3" max="3" width="32" style="13" customWidth="1"/>
    <col min="4" max="4" width="110" style="13" customWidth="1"/>
    <col min="5" max="5" width="11.88671875" style="13" bestFit="1" customWidth="1"/>
    <col min="6" max="16384" width="8.88671875" style="13"/>
  </cols>
  <sheetData>
    <row r="1" spans="2:7" ht="28.05" customHeight="1" x14ac:dyDescent="0.3">
      <c r="B1" s="11" t="s">
        <v>349</v>
      </c>
      <c r="C1" s="12"/>
      <c r="D1" s="12"/>
    </row>
    <row r="2" spans="2:7" ht="31.95" customHeight="1" x14ac:dyDescent="0.3">
      <c r="B2" s="14" t="s">
        <v>350</v>
      </c>
      <c r="C2" s="12"/>
      <c r="D2" s="12"/>
    </row>
    <row r="4" spans="2:7" ht="24" customHeight="1" x14ac:dyDescent="0.3">
      <c r="B4" s="3" t="s">
        <v>166</v>
      </c>
      <c r="C4" s="3" t="s">
        <v>9</v>
      </c>
      <c r="D4" s="3" t="s">
        <v>351</v>
      </c>
      <c r="E4" s="22" t="s">
        <v>168</v>
      </c>
      <c r="F4" s="34" t="s">
        <v>407</v>
      </c>
      <c r="G4" s="34" t="s">
        <v>406</v>
      </c>
    </row>
    <row r="5" spans="2:7" ht="409.6" customHeight="1" x14ac:dyDescent="0.3">
      <c r="B5" s="26" t="s">
        <v>201</v>
      </c>
      <c r="C5" s="27" t="s">
        <v>202</v>
      </c>
      <c r="D5" s="28" t="s">
        <v>352</v>
      </c>
      <c r="E5" s="23" t="str">
        <f>Tracker!E14</f>
        <v>Not started</v>
      </c>
      <c r="F5" s="13">
        <f>Tracker!F14</f>
        <v>0</v>
      </c>
      <c r="G5" s="13">
        <f>Tracker!G14</f>
        <v>0</v>
      </c>
    </row>
    <row r="6" spans="2:7" ht="409.6" customHeight="1" x14ac:dyDescent="0.3">
      <c r="B6" s="26" t="s">
        <v>206</v>
      </c>
      <c r="C6" s="27" t="s">
        <v>207</v>
      </c>
      <c r="D6" s="28" t="s">
        <v>353</v>
      </c>
      <c r="E6" s="23" t="str">
        <f>Tracker!E15</f>
        <v>Not started</v>
      </c>
    </row>
    <row r="7" spans="2:7" ht="409.6" customHeight="1" x14ac:dyDescent="0.3">
      <c r="B7" s="26" t="s">
        <v>209</v>
      </c>
      <c r="C7" s="27" t="s">
        <v>210</v>
      </c>
      <c r="D7" s="28" t="s">
        <v>354</v>
      </c>
      <c r="E7" s="23" t="str">
        <f>Tracker!E16</f>
        <v>Not started</v>
      </c>
    </row>
    <row r="8" spans="2:7" ht="409.6" customHeight="1" x14ac:dyDescent="0.3">
      <c r="B8" s="26" t="s">
        <v>212</v>
      </c>
      <c r="C8" s="27" t="s">
        <v>355</v>
      </c>
      <c r="D8" s="28" t="s">
        <v>356</v>
      </c>
      <c r="E8" s="23" t="str">
        <f>Tracker!E17</f>
        <v>Not started</v>
      </c>
    </row>
    <row r="9" spans="2:7" ht="409.6" customHeight="1" x14ac:dyDescent="0.3">
      <c r="B9" s="26" t="s">
        <v>215</v>
      </c>
      <c r="C9" s="27" t="s">
        <v>357</v>
      </c>
      <c r="D9" s="28" t="s">
        <v>358</v>
      </c>
      <c r="E9" s="23" t="str">
        <f>Tracker!E18</f>
        <v>Not started</v>
      </c>
    </row>
    <row r="10" spans="2:7" ht="409.6" customHeight="1" x14ac:dyDescent="0.3">
      <c r="B10" s="26" t="s">
        <v>218</v>
      </c>
      <c r="C10" s="27" t="s">
        <v>359</v>
      </c>
      <c r="D10" s="28" t="s">
        <v>360</v>
      </c>
      <c r="E10" s="23" t="str">
        <f>Tracker!E19</f>
        <v>Not started</v>
      </c>
    </row>
    <row r="11" spans="2:7" ht="364.05" customHeight="1" x14ac:dyDescent="0.3">
      <c r="B11" s="26" t="s">
        <v>221</v>
      </c>
      <c r="C11" s="27" t="s">
        <v>361</v>
      </c>
      <c r="D11" s="28" t="s">
        <v>362</v>
      </c>
      <c r="E11" s="23" t="str">
        <f>Tracker!E20</f>
        <v>Not started</v>
      </c>
    </row>
    <row r="12" spans="2:7" ht="252" customHeight="1" x14ac:dyDescent="0.3">
      <c r="B12" s="26" t="s">
        <v>225</v>
      </c>
      <c r="C12" s="27" t="s">
        <v>226</v>
      </c>
      <c r="D12" s="28" t="s">
        <v>363</v>
      </c>
      <c r="E12" s="23" t="str">
        <f>Tracker!E21</f>
        <v>Not started</v>
      </c>
    </row>
    <row r="13" spans="2:7" ht="238.05" customHeight="1" x14ac:dyDescent="0.3">
      <c r="B13" s="26" t="s">
        <v>229</v>
      </c>
      <c r="C13" s="27" t="s">
        <v>364</v>
      </c>
      <c r="D13" s="28" t="s">
        <v>365</v>
      </c>
      <c r="E13" s="23" t="str">
        <f>Tracker!E22</f>
        <v>Not started</v>
      </c>
    </row>
    <row r="14" spans="2:7" ht="265.95" customHeight="1" x14ac:dyDescent="0.3">
      <c r="B14" s="26" t="s">
        <v>232</v>
      </c>
      <c r="C14" s="27" t="s">
        <v>233</v>
      </c>
      <c r="D14" s="28" t="s">
        <v>366</v>
      </c>
      <c r="E14" s="24" t="str">
        <f>Tracker!E23</f>
        <v>Not started</v>
      </c>
    </row>
    <row r="15" spans="2:7" ht="391.95" customHeight="1" x14ac:dyDescent="0.3">
      <c r="B15" s="26" t="s">
        <v>236</v>
      </c>
      <c r="C15" s="27" t="s">
        <v>237</v>
      </c>
      <c r="D15" s="28" t="s">
        <v>367</v>
      </c>
      <c r="E15" s="24" t="str">
        <f>Tracker!E24</f>
        <v>Not started</v>
      </c>
    </row>
    <row r="16" spans="2:7" ht="265.95" customHeight="1" x14ac:dyDescent="0.3">
      <c r="B16" s="26" t="s">
        <v>240</v>
      </c>
      <c r="C16" s="27" t="s">
        <v>241</v>
      </c>
      <c r="D16" s="28" t="s">
        <v>368</v>
      </c>
      <c r="E16" s="24" t="str">
        <f>Tracker!E25</f>
        <v>Not started</v>
      </c>
    </row>
    <row r="17" spans="2:5" ht="238.05" customHeight="1" x14ac:dyDescent="0.3">
      <c r="B17" s="26" t="s">
        <v>243</v>
      </c>
      <c r="C17" s="27" t="s">
        <v>244</v>
      </c>
      <c r="D17" s="28" t="s">
        <v>369</v>
      </c>
      <c r="E17" s="24" t="str">
        <f>Tracker!E26</f>
        <v>Not started</v>
      </c>
    </row>
    <row r="18" spans="2:5" ht="223.95" customHeight="1" x14ac:dyDescent="0.3">
      <c r="B18" s="26" t="s">
        <v>246</v>
      </c>
      <c r="C18" s="27" t="s">
        <v>370</v>
      </c>
      <c r="D18" s="28" t="s">
        <v>371</v>
      </c>
      <c r="E18" s="24" t="str">
        <f>Tracker!E27</f>
        <v>Not started</v>
      </c>
    </row>
    <row r="19" spans="2:5" ht="265.95" customHeight="1" x14ac:dyDescent="0.3">
      <c r="B19" s="26" t="s">
        <v>249</v>
      </c>
      <c r="C19" s="27" t="s">
        <v>250</v>
      </c>
      <c r="D19" s="28" t="s">
        <v>372</v>
      </c>
      <c r="E19" s="24" t="str">
        <f>Tracker!E28</f>
        <v>Not started</v>
      </c>
    </row>
    <row r="20" spans="2:5" ht="307.95" customHeight="1" x14ac:dyDescent="0.3">
      <c r="B20" s="26" t="s">
        <v>252</v>
      </c>
      <c r="C20" s="27" t="s">
        <v>373</v>
      </c>
      <c r="D20" s="28" t="s">
        <v>374</v>
      </c>
      <c r="E20" s="24" t="str">
        <f>Tracker!E29</f>
        <v>Not started</v>
      </c>
    </row>
    <row r="21" spans="2:5" ht="196.05" customHeight="1" x14ac:dyDescent="0.3">
      <c r="B21" s="26" t="s">
        <v>256</v>
      </c>
      <c r="C21" s="27" t="s">
        <v>375</v>
      </c>
      <c r="D21" s="28" t="s">
        <v>376</v>
      </c>
      <c r="E21" s="24" t="str">
        <f>Tracker!E30</f>
        <v>Not started</v>
      </c>
    </row>
    <row r="22" spans="2:5" ht="181.95" customHeight="1" x14ac:dyDescent="0.3">
      <c r="B22" s="26" t="s">
        <v>259</v>
      </c>
      <c r="C22" s="27" t="s">
        <v>260</v>
      </c>
      <c r="D22" s="28" t="s">
        <v>377</v>
      </c>
      <c r="E22" s="24" t="str">
        <f>Tracker!E31</f>
        <v>Not started</v>
      </c>
    </row>
    <row r="23" spans="2:5" ht="168" customHeight="1" x14ac:dyDescent="0.3">
      <c r="B23" s="26" t="s">
        <v>262</v>
      </c>
      <c r="C23" s="27" t="s">
        <v>378</v>
      </c>
      <c r="D23" s="28" t="s">
        <v>379</v>
      </c>
      <c r="E23" s="24" t="str">
        <f>Tracker!E32</f>
        <v>Not started</v>
      </c>
    </row>
    <row r="24" spans="2:5" ht="223.95" customHeight="1" x14ac:dyDescent="0.3">
      <c r="B24" s="26" t="s">
        <v>265</v>
      </c>
      <c r="C24" s="27" t="s">
        <v>266</v>
      </c>
      <c r="D24" s="28" t="s">
        <v>380</v>
      </c>
      <c r="E24" s="24" t="str">
        <f>Tracker!E33</f>
        <v>Not started</v>
      </c>
    </row>
    <row r="25" spans="2:5" ht="294" customHeight="1" x14ac:dyDescent="0.3">
      <c r="B25" s="26" t="s">
        <v>269</v>
      </c>
      <c r="C25" s="27" t="s">
        <v>270</v>
      </c>
      <c r="D25" s="28" t="s">
        <v>381</v>
      </c>
      <c r="E25" s="24" t="str">
        <f>Tracker!E34</f>
        <v>Not started</v>
      </c>
    </row>
    <row r="26" spans="2:5" ht="181.95" customHeight="1" x14ac:dyDescent="0.3">
      <c r="B26" s="26" t="s">
        <v>272</v>
      </c>
      <c r="C26" s="27" t="s">
        <v>273</v>
      </c>
      <c r="D26" s="28" t="s">
        <v>382</v>
      </c>
      <c r="E26" s="24" t="str">
        <f>Tracker!E35</f>
        <v>Not started</v>
      </c>
    </row>
    <row r="27" spans="2:5" ht="196.05" customHeight="1" x14ac:dyDescent="0.3">
      <c r="B27" s="26" t="s">
        <v>276</v>
      </c>
      <c r="C27" s="27" t="s">
        <v>277</v>
      </c>
      <c r="D27" s="28" t="s">
        <v>383</v>
      </c>
      <c r="E27" s="24" t="str">
        <f>Tracker!E36</f>
        <v>Not started</v>
      </c>
    </row>
    <row r="28" spans="2:5" ht="265.95" customHeight="1" x14ac:dyDescent="0.3">
      <c r="B28" s="26" t="s">
        <v>280</v>
      </c>
      <c r="C28" s="27" t="s">
        <v>281</v>
      </c>
      <c r="D28" s="28" t="s">
        <v>384</v>
      </c>
      <c r="E28" s="24" t="str">
        <f>Tracker!E37</f>
        <v>Not started</v>
      </c>
    </row>
    <row r="29" spans="2:5" ht="154.05000000000001" customHeight="1" x14ac:dyDescent="0.3">
      <c r="B29" s="26" t="s">
        <v>283</v>
      </c>
      <c r="C29" s="27" t="s">
        <v>284</v>
      </c>
      <c r="D29" s="28" t="s">
        <v>385</v>
      </c>
      <c r="E29" s="24" t="str">
        <f>Tracker!E38</f>
        <v>Not started</v>
      </c>
    </row>
    <row r="30" spans="2:5" ht="294" customHeight="1" x14ac:dyDescent="0.3">
      <c r="B30" s="26" t="s">
        <v>286</v>
      </c>
      <c r="C30" s="27" t="s">
        <v>287</v>
      </c>
      <c r="D30" s="28" t="s">
        <v>386</v>
      </c>
      <c r="E30" s="24" t="str">
        <f>Tracker!E39</f>
        <v>Not started</v>
      </c>
    </row>
    <row r="31" spans="2:5" ht="210" customHeight="1" x14ac:dyDescent="0.3">
      <c r="B31" s="26" t="s">
        <v>289</v>
      </c>
      <c r="C31" s="27" t="s">
        <v>290</v>
      </c>
      <c r="D31" s="28" t="s">
        <v>387</v>
      </c>
      <c r="E31" s="24" t="str">
        <f>Tracker!E40</f>
        <v>Not started</v>
      </c>
    </row>
    <row r="32" spans="2:5" ht="223.95" customHeight="1" x14ac:dyDescent="0.3">
      <c r="B32" s="26" t="s">
        <v>292</v>
      </c>
      <c r="C32" s="27" t="s">
        <v>293</v>
      </c>
      <c r="D32" s="28" t="s">
        <v>388</v>
      </c>
      <c r="E32" s="24" t="str">
        <f>Tracker!E41</f>
        <v>Not started</v>
      </c>
    </row>
    <row r="33" spans="2:5" ht="280.05" customHeight="1" x14ac:dyDescent="0.3">
      <c r="B33" s="26" t="s">
        <v>300</v>
      </c>
      <c r="C33" s="27" t="s">
        <v>301</v>
      </c>
      <c r="D33" s="28" t="s">
        <v>389</v>
      </c>
      <c r="E33" s="24" t="str">
        <f>Tracker!E42</f>
        <v>Optional v1.5</v>
      </c>
    </row>
    <row r="34" spans="2:5" ht="280.05" customHeight="1" x14ac:dyDescent="0.3">
      <c r="B34" s="26" t="s">
        <v>304</v>
      </c>
      <c r="C34" s="27" t="s">
        <v>305</v>
      </c>
      <c r="D34" s="28" t="s">
        <v>390</v>
      </c>
      <c r="E34" s="24" t="str">
        <f>Tracker!E43</f>
        <v>Not started</v>
      </c>
    </row>
    <row r="35" spans="2:5" ht="168" customHeight="1" x14ac:dyDescent="0.3">
      <c r="B35" s="26" t="s">
        <v>307</v>
      </c>
      <c r="C35" s="27" t="s">
        <v>308</v>
      </c>
      <c r="D35" s="28" t="s">
        <v>391</v>
      </c>
      <c r="E35" s="24" t="str">
        <f>Tracker!E44</f>
        <v>Not started</v>
      </c>
    </row>
    <row r="36" spans="2:5" ht="265.95" customHeight="1" x14ac:dyDescent="0.3">
      <c r="B36" s="26" t="s">
        <v>311</v>
      </c>
      <c r="C36" s="27" t="s">
        <v>312</v>
      </c>
      <c r="D36" s="28" t="s">
        <v>392</v>
      </c>
      <c r="E36" s="24" t="str">
        <f>Tracker!E45</f>
        <v>Not started</v>
      </c>
    </row>
    <row r="37" spans="2:5" ht="139.94999999999999" customHeight="1" x14ac:dyDescent="0.3">
      <c r="B37" s="26" t="s">
        <v>315</v>
      </c>
      <c r="C37" s="27" t="s">
        <v>316</v>
      </c>
      <c r="D37" s="28" t="s">
        <v>393</v>
      </c>
      <c r="E37" s="24" t="str">
        <f>Tracker!E46</f>
        <v>Not started</v>
      </c>
    </row>
    <row r="38" spans="2:5" ht="238.05" customHeight="1" x14ac:dyDescent="0.3">
      <c r="B38" s="26" t="s">
        <v>318</v>
      </c>
      <c r="C38" s="27" t="s">
        <v>319</v>
      </c>
      <c r="D38" s="28" t="s">
        <v>394</v>
      </c>
      <c r="E38" s="24" t="str">
        <f>Tracker!E47</f>
        <v>Not started</v>
      </c>
    </row>
    <row r="39" spans="2:5" ht="154.05000000000001" customHeight="1" x14ac:dyDescent="0.3">
      <c r="B39" s="26" t="s">
        <v>322</v>
      </c>
      <c r="C39" s="27" t="s">
        <v>323</v>
      </c>
      <c r="D39" s="28" t="s">
        <v>395</v>
      </c>
      <c r="E39" s="24" t="str">
        <f>Tracker!E48</f>
        <v>Not started</v>
      </c>
    </row>
    <row r="40" spans="2:5" ht="322.05" customHeight="1" x14ac:dyDescent="0.3">
      <c r="B40" s="26" t="s">
        <v>325</v>
      </c>
      <c r="C40" s="27" t="s">
        <v>326</v>
      </c>
      <c r="D40" s="28" t="s">
        <v>396</v>
      </c>
      <c r="E40" s="24" t="str">
        <f>Tracker!E49</f>
        <v>Not started</v>
      </c>
    </row>
    <row r="41" spans="2:5" ht="265.95" customHeight="1" x14ac:dyDescent="0.3">
      <c r="B41" s="26" t="s">
        <v>329</v>
      </c>
      <c r="C41" s="27" t="s">
        <v>330</v>
      </c>
      <c r="D41" s="28" t="s">
        <v>397</v>
      </c>
      <c r="E41" s="24" t="str">
        <f>Tracker!E50</f>
        <v>Not started</v>
      </c>
    </row>
    <row r="42" spans="2:5" ht="294" customHeight="1" x14ac:dyDescent="0.3">
      <c r="B42" s="26" t="s">
        <v>332</v>
      </c>
      <c r="C42" s="27" t="s">
        <v>333</v>
      </c>
      <c r="D42" s="28" t="s">
        <v>398</v>
      </c>
      <c r="E42" s="24" t="str">
        <f>Tracker!E51</f>
        <v>Not started</v>
      </c>
    </row>
    <row r="43" spans="2:5" ht="181.95" customHeight="1" x14ac:dyDescent="0.3">
      <c r="B43" s="26" t="s">
        <v>335</v>
      </c>
      <c r="C43" s="27" t="s">
        <v>336</v>
      </c>
      <c r="D43" s="28" t="s">
        <v>399</v>
      </c>
      <c r="E43" s="24" t="str">
        <f>Tracker!E52</f>
        <v>Not started</v>
      </c>
    </row>
    <row r="44" spans="2:5" ht="223.95" customHeight="1" x14ac:dyDescent="0.3">
      <c r="B44" s="26" t="s">
        <v>339</v>
      </c>
      <c r="C44" s="27" t="s">
        <v>340</v>
      </c>
      <c r="D44" s="28" t="s">
        <v>400</v>
      </c>
      <c r="E44" s="24" t="str">
        <f>Tracker!E53</f>
        <v>Not started</v>
      </c>
    </row>
    <row r="45" spans="2:5" ht="223.95" customHeight="1" x14ac:dyDescent="0.3">
      <c r="B45" s="26" t="s">
        <v>342</v>
      </c>
      <c r="C45" s="27" t="s">
        <v>343</v>
      </c>
      <c r="D45" s="28" t="s">
        <v>401</v>
      </c>
      <c r="E45" s="24" t="str">
        <f>Tracker!E54</f>
        <v>Not started</v>
      </c>
    </row>
    <row r="46" spans="2:5" ht="168" customHeight="1" x14ac:dyDescent="0.3">
      <c r="B46" s="26" t="s">
        <v>345</v>
      </c>
      <c r="C46" s="27" t="s">
        <v>346</v>
      </c>
      <c r="D46" s="28" t="s">
        <v>402</v>
      </c>
      <c r="E46" s="24" t="str">
        <f>Tracker!E55</f>
        <v>Not started</v>
      </c>
    </row>
  </sheetData>
  <mergeCells count="2">
    <mergeCell ref="B1:D1"/>
    <mergeCell ref="B2:D2"/>
  </mergeCells>
  <conditionalFormatting sqref="E4:E46">
    <cfRule type="containsText" dxfId="0" priority="1" operator="containsText" text="In Progress">
      <formula>NOT(ISERROR(SEARCH("In Progress",E4)))</formula>
    </cfRule>
    <cfRule type="containsText" dxfId="1" priority="2" operator="containsText" text="Not Started">
      <formula>NOT(ISERROR(SEARCH("Not Started",E4)))</formula>
    </cfRule>
    <cfRule type="containsText" dxfId="2" priority="3" operator="containsText" text="Done">
      <formula>NOT(ISERROR(SEARCH("Done",E4)))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Architecture</vt:lpstr>
      <vt:lpstr>Tracker</vt:lpstr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Din</cp:lastModifiedBy>
  <dcterms:created xsi:type="dcterms:W3CDTF">2026-04-30T10:47:36Z</dcterms:created>
  <dcterms:modified xsi:type="dcterms:W3CDTF">2026-05-02T07:45:26Z</dcterms:modified>
</cp:coreProperties>
</file>