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MP\financial-modeler-pro\"/>
    </mc:Choice>
  </mc:AlternateContent>
  <xr:revisionPtr revIDLastSave="0" documentId="13_ncr:1_{7EF20A0B-F023-4087-A648-378460BBCC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rchitecture" sheetId="1" r:id="rId1"/>
    <sheet name="Tracker" sheetId="2" r:id="rId2"/>
    <sheet name="Prompts" sheetId="3" r:id="rId3"/>
    <sheet name="Back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F10" i="3"/>
  <c r="E10" i="3"/>
  <c r="D35" i="3" a="1"/>
  <c r="D35" i="3" s="1"/>
  <c r="D37" i="3" a="1"/>
  <c r="D37" i="3" s="1"/>
  <c r="D49" i="3" a="1"/>
  <c r="D49" i="3"/>
  <c r="D67" i="3" a="1"/>
  <c r="D67" i="3" s="1"/>
  <c r="D68" i="3" a="1"/>
  <c r="D68" i="3" s="1"/>
  <c r="D84" i="3" a="1"/>
  <c r="D84" i="3" s="1"/>
  <c r="D111" i="3" a="1"/>
  <c r="D111" i="3" s="1"/>
  <c r="D125" i="3" a="1"/>
  <c r="D125" i="3" s="1"/>
  <c r="G7" i="3"/>
  <c r="F7" i="3"/>
  <c r="E7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9" i="3"/>
  <c r="F9" i="3"/>
  <c r="E9" i="3"/>
  <c r="G8" i="3"/>
  <c r="F8" i="3"/>
  <c r="E8" i="3"/>
  <c r="G6" i="3"/>
  <c r="F6" i="3"/>
  <c r="E6" i="3"/>
  <c r="G5" i="3"/>
  <c r="F5" i="3"/>
  <c r="E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<sst xmlns="http://schemas.openxmlformats.org/spreadsheetml/2006/main" count="761" uniqueCount="562">
  <si>
    <t>REFM Platform: Build Tracker</t>
  </si>
  <si>
    <t xml:space="preserve">Done </t>
  </si>
  <si>
    <t>Sequenced execution plan. Each phase pauses for verification before next.</t>
  </si>
  <si>
    <t>Not Started</t>
  </si>
  <si>
    <t>In Progress</t>
  </si>
  <si>
    <t>Ph#</t>
  </si>
  <si>
    <t>Phase</t>
  </si>
  <si>
    <t>Deliverable</t>
  </si>
  <si>
    <t>Status</t>
  </si>
  <si>
    <t>Start Date</t>
  </si>
  <si>
    <t>Completion Date</t>
  </si>
  <si>
    <t>Hours</t>
  </si>
  <si>
    <t>Dependencies</t>
  </si>
  <si>
    <t>F0</t>
  </si>
  <si>
    <t>Folder restructure</t>
  </si>
  <si>
    <t>src/hubs/, src/core/, src/shared/, ESLint boundaries, path aliases</t>
  </si>
  <si>
    <t>Done</t>
  </si>
  <si>
    <t>Pre-existing</t>
  </si>
  <si>
    <t>F1</t>
  </si>
  <si>
    <t>Design tokens system</t>
  </si>
  <si>
    <t>src/hubs/modeling/design-tokens/, FAST cells, light+dark, Tailwind wiring, README</t>
  </si>
  <si>
    <t>F2</t>
  </si>
  <si>
    <t>Excel exporter token retrofit</t>
  </si>
  <si>
    <t>lib/exporters/excel.ts pure builder, FAST cell colors, fixture script</t>
  </si>
  <si>
    <t>F3</t>
  </si>
  <si>
    <t>PDF exporter token retrofit</t>
  </si>
  <si>
    <t>lib/exporters/pdf.ts pure builder, FAST cell colors, fixture script</t>
  </si>
  <si>
    <t>F4</t>
  </si>
  <si>
    <t>Module 1 snapshot guard</t>
  </si>
  <si>
    <t>tests/fixtures/module1-reference.json + scripts/module1-snapshot-diff.ts</t>
  </si>
  <si>
    <t>F5</t>
  </si>
  <si>
    <t>REFM component token retrofit</t>
  </si>
  <si>
    <t>All 15 REFM files. Phase 4.1-4.15. Hex/rgba grep zero across folder.</t>
  </si>
  <si>
    <t>F1, F4</t>
  </si>
  <si>
    <t>F6</t>
  </si>
  <si>
    <t>Modeling Hub sidebar shell</t>
  </si>
  <si>
    <t>/modeling/dashboard sidebar layout, CMS logo, dark mode toggle</t>
  </si>
  <si>
    <t>F7</t>
  </si>
  <si>
    <t>REFM Topbar dark mode toggle</t>
  </si>
  <si>
    <t>Independent localStorage key, scoped to .app-shell</t>
  </si>
  <si>
    <t>F8</t>
  </si>
  <si>
    <t>Module name editing</t>
  </si>
  <si>
    <t>ProjectModal edit mode wired, pencil button on Overview + Projects</t>
  </si>
  <si>
    <t>M1.R</t>
  </si>
  <si>
    <t>Module 1 typed-shape refactor</t>
  </si>
  <si>
    <t>Lift hardcoded asset enum to AssetClass[]; replace single-phase model with Phase[]; normalize residentialCosts/hospitalityCosts/retailCosts into a single costs[] keyed by assetId. Calculations bit-identical (snapshot diff exit 0). Persistence migrator handles old refm_v2 shape.</t>
  </si>
  <si>
    <t>F4 snapshot</t>
  </si>
  <si>
    <t>M1.5</t>
  </si>
  <si>
    <t>Module 1 hierarchy upgrade</t>
  </si>
  <si>
    <t>Add Master Holding (optional) → Sub-Project → Phase → Asset → Sub-Unit support to Module 1. UI gains Hierarchy tab (5th tab) for managing layers. Existing Timeline/Area/Costs/Financing tabs remain but operate per-Phase.</t>
  </si>
  <si>
    <t>M1.6</t>
  </si>
  <si>
    <t>Module 1 Supabase persistence</t>
  </si>
  <si>
    <t>Migrate from localStorage to Supabase tables refm_projects, refm_project_versions. Per-user RLS. localStorage becomes cache. Migrator uploads existing data on first save.</t>
  </si>
  <si>
    <t>Not started</t>
  </si>
  <si>
    <t>M1.7</t>
  </si>
  <si>
    <t>Module 1 Area Program</t>
  </si>
  <si>
    <t>Add Plot and optional Zone entities between Phase and Asset. Add Strategy allocation per Asset (Primary + Secondary with %). Add detailed area cascade per Asset (TBA, BUA Excl, GFA, GSA/GLA, MEP, Basement, Landscape, Hardscape, Other Technical, Back of House). Add Sub-Unit schedule with parking ratios. Add Podium vs Typical Floor split. Add parking calculation engine (surface, vertical, basement). New 'Area Program' tab in Module 1.</t>
  </si>
  <si>
    <t>M2.1</t>
  </si>
  <si>
    <t>Module 2, Revenue: Sell stream</t>
  </si>
  <si>
    <t>Per-asset Sell mode: Sub-Units × price grid, indexation, pre-sale velocity schedule, down payment %, payment plan installments, cash collection cohort matrix, revenue recognition profile, sales during operation, receivables roll-forward, sales commission. Outputs to Module1Exports interface for downstream modules.</t>
  </si>
  <si>
    <t>M2.2</t>
  </si>
  <si>
    <t>Module 2, Revenue: Operate stream (USAH)</t>
  </si>
  <si>
    <t>Per-asset Operate mode: Keys × Days × Occupancy = Occupied, ADR + ADR growth, F&amp;B as % of Rooms or per-occupied, Spa, Other. Departmental Revenue + Departmental Expenses + Departmental Income + Undistributed (A&amp;G/Marketing/POM/Utilities) + GOP + Base Mgmt Fee + Adjusted GOP + Fixed (Insurance/FF&amp;E Reserve/Property Tax/Land Lease) + Incentive Mgmt Fee. EBITDA after FF&amp;E Reserve. PAR + POR KPIs. Multi-scenario occupancy curves.</t>
  </si>
  <si>
    <t>M2.3</t>
  </si>
  <si>
    <t>Module 2, Revenue: Lease stream</t>
  </si>
  <si>
    <t>Per-asset Lease mode: Total Lease Area, Loading factor, Vacancy %, Rent/sqm, Rental Growth Rate, OpEx (% of revenue or itemized). NOI = Revenue − OpEx.</t>
  </si>
  <si>
    <t>M2.4</t>
  </si>
  <si>
    <t>Module 2, Revenue: Hybrid composition</t>
  </si>
  <si>
    <t>Hybrid asset combines 2+ streams (e.g., serviced apartments Sell + Operate same units). Streams configured separately, roll up to single asset P&amp;L. Common patterns pre-built: Serviced Apartments, Mixed-Use Building (Lease podium + Operate hotel).</t>
  </si>
  <si>
    <t>M2.1, M2.2, M2.3</t>
  </si>
  <si>
    <t>M2.5</t>
  </si>
  <si>
    <t>Module 2 UI tabs</t>
  </si>
  <si>
    <t>Tabs per Asset: Stream config, Pricing/ADR/Rent, Schedules (velocity/occupancy/vacancy), Outputs (per-period revenue + collections). FAST cells throughout.</t>
  </si>
  <si>
    <t>M2.1-M2.4</t>
  </si>
  <si>
    <t>M2.6</t>
  </si>
  <si>
    <t>Module 2 sample fixture + snapshot guard</t>
  </si>
  <si>
    <t>Add Module 2 to scripts/snapshot-diff. Cover Sell + Operate + Lease + Hybrid sample assets. Reference numbers verified against MAAD + Hospitality fixture patterns.</t>
  </si>
  <si>
    <t>M3</t>
  </si>
  <si>
    <t>Module 3, Operating Expenses</t>
  </si>
  <si>
    <t>Beyond hospitality direct opex (handled in M2.2): corporate overhead (e.g., New Company Costs SAR 2M/year), Zakat/Tax %, Working Capital days. Per-period schedules. Outputs ready for M5 financial statements.</t>
  </si>
  <si>
    <t>M2</t>
  </si>
  <si>
    <t>M4.1</t>
  </si>
  <si>
    <t>Module 4, Project IRR / Equity IRR</t>
  </si>
  <si>
    <t>Unlevered Project IRR (capex out, NOI/EBITDA in, terminal value in). Levered Equity IRR (after debt service). Per Sub-Project. Per Master Holding (when present).</t>
  </si>
  <si>
    <t>M2, M3</t>
  </si>
  <si>
    <t>M4.2</t>
  </si>
  <si>
    <t>Module 4, FCFE + DDM dual returns</t>
  </si>
  <si>
    <t>FCFE IRR/MOIC and DDM IRR/MOIC computed in parallel per Sub-Project. Shareholder split when JV (e.g., 65/35) drives per-investor returns. Match Hospitality + Alma model patterns.</t>
  </si>
  <si>
    <t>M4.3</t>
  </si>
  <si>
    <t>Module 4, NPV, MOIC, Payback, Margins</t>
  </si>
  <si>
    <t>NPV at user-discount-rate, MOIC = total distributions / total equity, Payback Year (cumulative cash crosses zero), Development Margin = (Revenue − Cost) / Revenue, Profit on Cost = (Revenue − Cost) / Cost, Cash-on-Cash annual.</t>
  </si>
  <si>
    <t>M4.4</t>
  </si>
  <si>
    <t>Module 4, DSCR, ICR, LTC, LTV per period</t>
  </si>
  <si>
    <t>Coverage and leverage ratios per period. DSCR &lt; 1.2x amber, &lt; 1.0x red. Display in returns dashboard.</t>
  </si>
  <si>
    <t>M4.5</t>
  </si>
  <si>
    <t>Module 4, Terminal Value</t>
  </si>
  <si>
    <t>Terminal Value computed at terminal year per asset: capitalized NOI / cap rate, OR multiple × final-year EBITDA, OR exit price. User picks method per asset. Selling Cost % deducted.</t>
  </si>
  <si>
    <t>M5.1</t>
  </si>
  <si>
    <t>Module 5, P&amp;L statement</t>
  </si>
  <si>
    <t>Per-period P&amp;L per Sub-Project: Revenue (by stream) → COGS (capex amortized over recognized revenue for Sell, none for Operate/Lease) → Gross Profit → OpEx → EBITDA → D&amp;A → EBIT → Interest → EBT → Tax/Zakat → Net Income.</t>
  </si>
  <si>
    <t>M2, M3, M4</t>
  </si>
  <si>
    <t>M5.2</t>
  </si>
  <si>
    <t>Module 5, Cash Flow statement</t>
  </si>
  <si>
    <t>Per-period CF per Sub-Project: Operating CF (EBITDA − Tax − ΔWC) + Investing CF (Capex, FF&amp;E Reserve) + Financing CF (Equity drawdown, Debt drawdown, Debt repayment, Interest paid, Dividends) = Net Change. Master Holding consolidated CF when applicable.</t>
  </si>
  <si>
    <t>M5.3</t>
  </si>
  <si>
    <t>Module 5, Balance Sheet</t>
  </si>
  <si>
    <t>Per-period BS: Land + WIP + Receivables + Cash = Loan + Payables + Equity + Retained Earnings. Reconciles to CF.</t>
  </si>
  <si>
    <t>M5.4</t>
  </si>
  <si>
    <t>Module 5, Cash Sweep waterfall</t>
  </si>
  <si>
    <t>Available cash − Min cash required = Distributable to dividend. Per scenario. Master Holding consolidation when applicable.</t>
  </si>
  <si>
    <t>M6</t>
  </si>
  <si>
    <t>Module 6, Reports &amp; Visualizations</t>
  </si>
  <si>
    <t>Tabular and chart views of Module 4 + Module 5 outputs. Charts: Cashflow waterfall, Sources &amp; Uses, Returns by year, Capital stack. Per-period drill-down. Print-ready layouts.</t>
  </si>
  <si>
    <t>M5</t>
  </si>
  <si>
    <t>M7.1</t>
  </si>
  <si>
    <t>Module 7, Scenario engine</t>
  </si>
  <si>
    <t>Scenario delta storage. 3 primary (Base/Management/Upside) + unlimited custom. Each scenario stores deltas for: occupancy curves, ADR growth, sale velocity, DP%, escalation, payment plan, rental growth, vacancy. Active scenario toggle drives display.</t>
  </si>
  <si>
    <t>M7.2</t>
  </si>
  <si>
    <t>Module 7, Sensitivity tables</t>
  </si>
  <si>
    <t>2D sensitivity: NPV vs discount rate, IRR vs occupancy, IRR vs sale price, IRR vs ADR. Conditional formatting. Tornado charts.</t>
  </si>
  <si>
    <t>M7.1, M4</t>
  </si>
  <si>
    <t>M7.3</t>
  </si>
  <si>
    <t>Module 7, Breakeven analysis</t>
  </si>
  <si>
    <t>Per asset: solve for occupancy that hits EBITDA / Interest / Debt Service breakeven. For Sell assets: solve for sale price that breaks even on equity invested. Match Hospitality model breakeven format.</t>
  </si>
  <si>
    <t>M4</t>
  </si>
  <si>
    <t>M8.1</t>
  </si>
  <si>
    <t>Module 8, Portfolio rollup</t>
  </si>
  <si>
    <t>Master Holding rollup view across all Sub-Projects: consolidated revenue, EBITDA, capex, debt, returns. Per-Sub-Project comparison table. Tracks Hospitality 7-project model + Alma 7-fund model patterns.</t>
  </si>
  <si>
    <t>M8.2</t>
  </si>
  <si>
    <t>Module 8, Cross-project allocation</t>
  </si>
  <si>
    <t>Project-scope cost allocation across Sub-Projects (master infrastructure, master marketing, master overhead) by share rules (revenue share, capex share, gfa share).</t>
  </si>
  <si>
    <t>M9.1</t>
  </si>
  <si>
    <t>Module 9, Research agent</t>
  </si>
  <si>
    <t>Anthropic SDK + web search. City market intel: population, demographics, GDP, sectors, infra, regs. 7-day cache per city.</t>
  </si>
  <si>
    <t>M9.2</t>
  </si>
  <si>
    <t>Module 9, Market Rates agent</t>
  </si>
  <si>
    <t>Anthropic SDK + web search. ADR/RevPAR/Cap Rates/Rental rates/Construction costs by (city, asset_type). 7-day cache per pair.</t>
  </si>
  <si>
    <t>M9.3</t>
  </si>
  <si>
    <t>Module 9, Agent UI integration</t>
  </si>
  <si>
    <t>Per asset/parcel, 'Suggest from market' button calls relevant agent, displays result with override input. User-set values priority. Audit log of suggested vs accepted values.</t>
  </si>
  <si>
    <t>M10</t>
  </si>
  <si>
    <t>Module 10, Collaborate (Pro tier)</t>
  </si>
  <si>
    <t>Multi-user project access, role-based permissions (already has RBAC modal), comment threads, change history, share link. Defer post-launch if scope tight.</t>
  </si>
  <si>
    <t>Optional v1.5</t>
  </si>
  <si>
    <t>M1.6 Supabase</t>
  </si>
  <si>
    <t>M11.1</t>
  </si>
  <si>
    <t>Module 11, Final Dashboard layout</t>
  </si>
  <si>
    <t>Project home screen replacing current Overview. Top scenario switcher. KPI grid (IRR FCFE, IRR DDM, MOIC, NPV, Payback, Dev Margin, PoC, CoC, DSCR avg, LTC, LTV, Equity Multiple).</t>
  </si>
  <si>
    <t>M4, M5, M7</t>
  </si>
  <si>
    <t>M11.2</t>
  </si>
  <si>
    <t>Module 11, Charts package</t>
  </si>
  <si>
    <t>Cashflow waterfall, Sources &amp; Uses bar, Returns by year line, Sensitivity tornado, Breakeven occupancy chart, Capital stack pie, Distribution timeline. Recharts.</t>
  </si>
  <si>
    <t>M11.3</t>
  </si>
  <si>
    <t>Module 11, Live scenario switcher</t>
  </si>
  <si>
    <t>Toggle scenarios, all KPIs and charts refresh without reload. Custom scenario picker for non-primary scenarios.</t>
  </si>
  <si>
    <t>M11.1, M7.1</t>
  </si>
  <si>
    <t>M12.1</t>
  </si>
  <si>
    <t>Module 12, IM PDF builder</t>
  </si>
  <si>
    <t>Sections: Cover, Exec Summary, Highlights, Market, Location, Project Description, Development Program, Financial Summary, Investment Structure, Comparables, Risks, Macro, Developer Profile. @react-pdf/renderer. Token-driven.</t>
  </si>
  <si>
    <t>M11</t>
  </si>
  <si>
    <t>M12.2</t>
  </si>
  <si>
    <t>Module 12, IM PPT builder</t>
  </si>
  <si>
    <t>Same content, PPT format. pptxgenjs library. Token-driven.</t>
  </si>
  <si>
    <t>M13.1</t>
  </si>
  <si>
    <t>Module 13, Excel formula export (Enterprise)</t>
  </si>
  <si>
    <t>Full formula-driven workbook: named ranges, XIRR/XNPV, scenario switch via INDIRECT, 2D sensitivity tables, all Module 5 statements. Replicates entire model in Excel.</t>
  </si>
  <si>
    <t>M5, M7</t>
  </si>
  <si>
    <t>M13.2</t>
  </si>
  <si>
    <t>Module 13, PDF Whitelabel (Enterprise)</t>
  </si>
  <si>
    <t>Per-client branded PDF: logo, color override, custom footer/header. Reads from client_branding table.</t>
  </si>
  <si>
    <t>Q1</t>
  </si>
  <si>
    <t>Integration QA, Hospitality fixture</t>
  </si>
  <si>
    <t>Build the 7-project hospitality model from earlier (Project 1-7, hotel + retail + office) end-to-end through the platform. Reconcile outputs against the Excel reference.</t>
  </si>
  <si>
    <t>M1-M11</t>
  </si>
  <si>
    <t>Q2</t>
  </si>
  <si>
    <t>Integration QA, MAAD fixture</t>
  </si>
  <si>
    <t>Build the 5-asset 3-phase MAAD residential + hotel model end-to-end. Reconcile against Excel.</t>
  </si>
  <si>
    <t>Q3</t>
  </si>
  <si>
    <t>Integration QA, Alma fixture</t>
  </si>
  <si>
    <t>Build a 7-fund Master Holding + sub-funds + zones model (subset of full Alma, Master Fund + 2-3 sub-funds is enough to validate hierarchy). Reconcile.</t>
  </si>
  <si>
    <t>Q4</t>
  </si>
  <si>
    <t>End-to-end snapshot guards</t>
  </si>
  <si>
    <t>Add fixtures + snapshot diffs for M2-M11 covering all calculation paths. Mandatory exit 0 before any future commit touching modules.</t>
  </si>
  <si>
    <t>Q1-Q3</t>
  </si>
  <si>
    <t>L1</t>
  </si>
  <si>
    <t>Pre-launch hardening</t>
  </si>
  <si>
    <t>Performance audit, accessibility pass, error boundaries, loading states, empty states, mobile-responsive checks for view-only.</t>
  </si>
  <si>
    <t>L2</t>
  </si>
  <si>
    <t>Pricing tier integration</t>
  </si>
  <si>
    <t>Re-introduce subscription system removed in Phase 5 admin cleanup. Plan-based feature gating restored. Stripe / payment integration.</t>
  </si>
  <si>
    <t>L3</t>
  </si>
  <si>
    <t>Launch</t>
  </si>
  <si>
    <t>Public REFM availability for app.financialmodelerpro.com modeling hub. Module 10 (Collaborate) post-launch v1.5.</t>
  </si>
  <si>
    <t>TOTAL</t>
  </si>
  <si>
    <t>REFM Platform: Architecture Reference</t>
  </si>
  <si>
    <t>Locked decisions. Every prompt must comply with these. Version 2 (supersedes Modeling_Hub_Prompt.xlsx)</t>
  </si>
  <si>
    <t>1. DATA HIERARCHY</t>
  </si>
  <si>
    <t>Layers</t>
  </si>
  <si>
    <t>5 layers: Master Holding → Sub-Project (Fund) → Phase → Asset → Sub-Unit. Single-project users leave Master Holding null. Sub-Project = a fund / zone / standalone project. Phase = sequenced timeline chunk within a Sub-Project. Asset = building or operating entity. Sub-Unit = saleable/operable inventory within an asset.</t>
  </si>
  <si>
    <t>Master Holding</t>
  </si>
  <si>
    <t>Optional top-level entity owning master land, takes revenue share % from each Sub-Project, carries master debt for land acquisition. Has its own P&amp;L, cashflow, returns. When present, Sub-Projects contribute equity (cash + land in-kind), pay revenue share, and roll up to Master Holding consolidation.</t>
  </si>
  <si>
    <t>Sub-Project (Fund)</t>
  </si>
  <si>
    <t>Independent financing unit. Has its own equity stack (cash + land in-kind), debt, scenarios, returns (FCFE IRR, DDM IRR, MOIC). Can have one or many Phases. Can stand alone (no Master Holding) or be part of a Master Holding.</t>
  </si>
  <si>
    <t>Sequenced chunk with own Construction Start / Operations Start / Handover. Multiple Phases can overlap. Each Phase has its own capex curve, can have its own asset list. Phase-level financing is permitted but optional (most cases finance at Sub-Project level).</t>
  </si>
  <si>
    <t>Asset</t>
  </si>
  <si>
    <t>Building or operating entity. Has type (locked enum from list of 20, see section 2), category (Sell/Operate/Lease/Hybrid - drives form rendering), one or more Sub-Units. Has own land allocation, capex stack (9 categories), revenue stream(s).</t>
  </si>
  <si>
    <t>Sub-Unit</t>
  </si>
  <si>
    <t>Inventory unit. For Sell mode: 1BR/2BR/Studio/Branded Suite/Villa V1/V2 etc. For Operate mode: Twin Key/King Key/Suite. For Lease mode: optional split by floor or zone. Each Sub-Unit has area, count, price/rate, and may have its own pricing escalation.</t>
  </si>
  <si>
    <t>Securitization</t>
  </si>
  <si>
    <t>OUT OF SCOPE for v1. Not modeled. Defer to v2.</t>
  </si>
  <si>
    <t>1A. AREA PROGRAM (Plot / Zone / Strategy / Sub-Unit physical hierarchy)</t>
  </si>
  <si>
    <t>Plot</t>
  </si>
  <si>
    <t>New entity between Phase and Asset. A Plot is a physical land parcel with: name, dimensions (length × width or area), Plot Area sqm, Max FAR, Max GFA (derived = Plot Area × Max FAR), Coverage % (footprint ratio), Footprint sqm (derived = Plot × Coverage), Public Area sqm (Plot − Footprint), Landscape %, Hardscape %, Number of Floors, Number of Podium Floors, Number of Typical Floors. A Phase can have one or many Plots. Each Plot has its own buildable envelope and FAR cap from regulator.</t>
  </si>
  <si>
    <t>Zone (optional)</t>
  </si>
  <si>
    <t>Optional sub-division of a Plot. A Plot can have one or many Zones. Each Zone has own dimensions, own Coverage %, own Floor count, own Podium GFA + Typical Floor GFA. Used when a single plot is split into mixed-use clusters (e.g., Project DAS Zone 1A is hotel+office+retail tower, Zone 1B is residences, Zone 2 is low-rise residential, Zone 3 is villas). When a Plot has only one Zone, UI hides the Zone layer.</t>
  </si>
  <si>
    <t>Strategy allocation per Asset</t>
  </si>
  <si>
    <t>Each Asset carries Primary Strategy (Develop &amp; Sell / Develop &amp; Lease / Develop &amp; Operate) with Allocation % (default 100%), and optional Secondary Strategy with Allocation % (default 0%). Allocations sum to 100%. Strategy + allocation drive which revenue stream(s) apply at what proportion. Cleaner than current Sell/Operate/Lease/Hybrid enum: Hybrid = any asset with secondary &gt; 0%.</t>
  </si>
  <si>
    <t>Detailed area cascade per Asset</t>
  </si>
  <si>
    <t>Asset-level area breakdown (replaces simple GFA → BUA → NSA chain). Per asset: Land Allocation %, Land Area, TBA (Total Built-Up Area), BUA Excluding (MEP &amp; Basement), GFA, GSA / GLA (with GLA/GFA efficiency ratio per sub-unit), MEP Area, Basement Parking allocation, Landscape &amp; Hardscape allocation. Plus building-level: Other Technical Floors, Back of House &amp; Circulation. All driven by per-sub-unit ratios that aggregate up.</t>
  </si>
  <si>
    <t>Sub-Unit schedule per Asset</t>
  </si>
  <si>
    <t>Per Asset, schedule of Sub-Units: Studio / 1BR / 2BR / 3BR / Branded Suite / Twin Key / King Key / Villa V1/V2 etc. Each Sub-Unit row: % of Total BUA, BUA sqm, GFA sqm, GSA/GLA sqm, MEP allocation, Basement allocation, Average Unit Size sqm, Number of Units/Keys, Parking Bays per Unit. Auto-aggregates to Asset Total/Average row.</t>
  </si>
  <si>
    <t>Parking calculation engine</t>
  </si>
  <si>
    <t>Per residential Sub-Unit: Parking Bays/Unit ratio (typical: Studio 1.0, 1BR 1.0, 2BR 1.6, 3BR 2.0). Per commercial Asset: Parking Bays per 25 sqm of GFA (Hotels typically 1 bay per key or per 35 sqm GFA, Offices 1 bay per 25 sqm GFA, Retail 1 bay per 25 sqm GFA). Then: Surface Parking Area + Vertical Parking Area + Basement Parking Area with Bay Size sqm (typically 25 surface, 40 vertical, 44 basement) + Number of Basement Floors derived = Total Parking Bays / (Basement Floor Area × Basement Efficiency / Bay Size). Drives basement capex significantly.</t>
  </si>
  <si>
    <t>Podium vs Typical Floor</t>
  </si>
  <si>
    <t>Critical for tower-on-podium designs. Podium has higher Coverage % (typically 0.65-0.75) and houses retail/hotel/offices/amenities. Typical Floors have lower Coverage % (typically 0.45-0.65) and house residences. Calculated separately: Podium GFA = Footprint × Number of Podium Floors. Typical Floor GFA = Typical Floor Coverage × Plot × Number of Typical Floors. Sum = Total GFA per Plot.</t>
  </si>
  <si>
    <t>2. ASSET TYPE CATALOG</t>
  </si>
  <si>
    <t>Pre-built types (20)</t>
  </si>
  <si>
    <t>Sell category: Branded Villas, Branded Apartments, High-end Villas, High-end Apartments, Class B Apartments. Operate category: Hotel 4-star, Hotel 5-star, Resort, Serviced Apartments, Senior Living, Student Housing. Lease category: Retail, Office, Industrial, Healthcare, Self-Storage, Data Center. Mixed/Special: Marina, Cinema, Mixed-Use.</t>
  </si>
  <si>
    <t>Custom types</t>
  </si>
  <si>
    <t>User can add custom asset types. Required fields: name (string), category (dropdown: Sell / Operate / Lease / Hybrid). Category drives form rendering, Sell shows units × price form, Operate shows occupancy × ADR form, Lease shows area × rate form, Hybrid shows multiple stream forms.</t>
  </si>
  <si>
    <t>Category enum</t>
  </si>
  <si>
    <t>Sell, Operate, Lease, Hybrid. Locked. Hybrid asset can have 2+ revenue streams (e.g., serviced apartments selling AND operating same units; mixed-use building leasing podium and operating hotel floors). Each stream is configured separately within the Hybrid asset.</t>
  </si>
  <si>
    <t>Type → P&amp;L mapping</t>
  </si>
  <si>
    <t>Sell types use revenue recognition + receivables roll-forward. Operate types use full Uniform System of Accounts P&amp;L (see section 6). Lease types use NOI = Revenue − OpEx. Hybrid types compose multiple.</t>
  </si>
  <si>
    <t>3. CURRENCY</t>
  </si>
  <si>
    <t>Single currency per project</t>
  </si>
  <si>
    <t>v1 limitation. Set at Sub-Project creation. All values in that currency. Master Holding currency = Sub-Projects currency (must match).</t>
  </si>
  <si>
    <t>Multi-currency</t>
  </si>
  <si>
    <t>DEFERRED to v2.</t>
  </si>
  <si>
    <t>4. SCENARIO SYSTEM</t>
  </si>
  <si>
    <t>Three primary scenarios</t>
  </si>
  <si>
    <t>Base / Management / Upside. Each is a named scenario stored as a delta over Base assumptions for: occupancy curves, ADR growth, sale velocity, down payment %, escalation, payment plan installments, rental growth, vacancy.</t>
  </si>
  <si>
    <t>Additional scenarios</t>
  </si>
  <si>
    <t>User can add unlimited additional named scenarios. UI surfaces the 3 primaries by default; user accesses extras via a 'More scenarios' menu.</t>
  </si>
  <si>
    <t>Active scenario</t>
  </si>
  <si>
    <t>Toggle in Topbar drives display. All KPIs, charts, exports reflect active scenario.</t>
  </si>
  <si>
    <t>Sensitivity inputs</t>
  </si>
  <si>
    <t>Per scenario, user can override: occupancy %, ADR growth %, ADR base, sale velocity (units sold per year curve), down payment %, escalation %, payment plan installments, rental growth %, vacancy %. Other inputs inherit from Base.</t>
  </si>
  <si>
    <t>Final Dashboard scenario toggle</t>
  </si>
  <si>
    <t>Module 11 dashboard has live scenario switcher. KPIs, charts, returns refresh on toggle without reload.</t>
  </si>
  <si>
    <t>5. FINANCING STRUCTURE</t>
  </si>
  <si>
    <t>Tranches</t>
  </si>
  <si>
    <t>Up to 3 financing tranches per Sub-Project, with seniority order (1=most senior). Each tranche has: name, principal amount or % of capex, term, interest rate (fixed only for v1), drawdown schedule (linear / s-curve / custom %), repayment method (fixed / cash sweep / balloon), repayment start period. Standard pattern: Senior + Mezzanine + Equity.</t>
  </si>
  <si>
    <t>Equity composition</t>
  </si>
  <si>
    <t>Equity = Cash + Land In-kind. Both contribute to equity stack. Land in-kind value uses Land Value × parcel allocation. Cash equity drawdowns scheduled separately.</t>
  </si>
  <si>
    <t>Interest</t>
  </si>
  <si>
    <t>Fixed rate per tranche for v1. Floating (SAIBOR + premium) deferred to v2. Interest During Construction capitalizes per tranche toggle. Half-period interest convention on drawdowns.</t>
  </si>
  <si>
    <t>Master Fund debt</t>
  </si>
  <si>
    <t>If Master Holding exists, it can carry its own debt (typically for land acquisition) separate from Sub-Project debt. Master Holding interest expensed against Master Holding revenue share.</t>
  </si>
  <si>
    <t>DSCR / ICR</t>
  </si>
  <si>
    <t>Calculated and displayed per period. DSCR &lt; 1.2x flagged amber, &lt; 1.0x flagged red. Used for monitoring, not for sizing in v1.</t>
  </si>
  <si>
    <t>OUT OF SCOPE.</t>
  </si>
  <si>
    <t>6. HOSPITALITY P&amp;L (Uniform System of Accounts for the Lodging Industry, USAH)</t>
  </si>
  <si>
    <t>Revenue</t>
  </si>
  <si>
    <t>Departmental: Rooms (Occupied Nights × ADR), F&amp;B (% of Rooms or Occupied × Guests/Room × Spend/Guest), Spa/Health Club (% of Rooms), Other (% of Rooms). ADR Growth Rate per year (compounding).</t>
  </si>
  <si>
    <t>Departmental Expenses</t>
  </si>
  <si>
    <t>Per department as % of departmental revenue. Defaults: Rooms 15-25%, F&amp;B 50-60%, Spa 50%, Other 40%. User configurable per asset.</t>
  </si>
  <si>
    <t>Departmental Income</t>
  </si>
  <si>
    <t>Departmental Revenue − Departmental Expenses.</t>
  </si>
  <si>
    <t>Undistributed Operating Expenses</t>
  </si>
  <si>
    <t>% of total revenue: A&amp;G (Admin &amp; General), Group Services, Marketing/Sales, POM (Property Ops &amp; Maintenance), Utilities. User configurable per asset.</t>
  </si>
  <si>
    <t>Gross Operating Profit (GOP)</t>
  </si>
  <si>
    <t>Departmental Income − Undistributed.</t>
  </si>
  <si>
    <t>Base Management Fee</t>
  </si>
  <si>
    <t>% of total revenue. User configurable. Defaults vary 1.5-3%.</t>
  </si>
  <si>
    <t>Adjusted GOP</t>
  </si>
  <si>
    <t>GOP − Base Management Fee.</t>
  </si>
  <si>
    <t>Fixed Expenses</t>
  </si>
  <si>
    <t>Incentive Management Fee (% of Adjusted GOP), Insurance (% of revenue), Replacement Reserve / FF&amp;E Reserve (% of revenue), Property Tax / Land Lease (if applicable).</t>
  </si>
  <si>
    <t>EBITDA after FF&amp;E Reserve</t>
  </si>
  <si>
    <t>Final operating output. Reported with PAR (per available room) and POR (per occupied room) KPIs.</t>
  </si>
  <si>
    <t>Land Lease</t>
  </si>
  <si>
    <t>Optional toggle per asset. Deducted as separate line above EBITDA when active. Has own growth rate.</t>
  </si>
  <si>
    <t>7. REVENUE MODES (3 modes + hybrid)</t>
  </si>
  <si>
    <t>SELL mode</t>
  </si>
  <si>
    <t>Inventory: Sub-Units × Price/Unit OR Area sqm × Price/sqm. Indexation factor compounding annually. Pre-sale velocity schedule (% sold per year, sums to ≤100%). Down Payment % per year. Payment plan after DP (installments over N years). Cash collection profile per cohort (2D matrix: Year-N sales generate collections in Year N, N+1, N+2 per installment schedule). Revenue Recognition profile separate from cash collection (over construction period). Sales During Operation (residual unsold sold post-handover at indexed price). Receivables Roll-Forward: Opening + New Sales − Collected = Closing. Sales Commission % deducted from revenue.</t>
  </si>
  <si>
    <t>OPERATE mode (full USAH per section 6)</t>
  </si>
  <si>
    <t>Inventory: Keys/Units × Days/Year × Occupancy %. Revenue: Occupied × ADR. F&amp;B/Spa/Other as % of Rooms. Operations Start Year per asset (not project-level). Multi-scenario occupancy curves.</t>
  </si>
  <si>
    <t>LEASE mode</t>
  </si>
  <si>
    <t>Inventory: Total Lease Area sqm. Loading factor: Gross × (1−Loading%) = Rentable. Vacancy %: Rentable × (1−Vacancy) = Leased. Revenue = Leased × Rent SAR/sqm/year. Rental Growth Rate compounding. OpEx % of revenue (or itemized). NOI = Revenue − OpEx.</t>
  </si>
  <si>
    <t>HYBRID mode</t>
  </si>
  <si>
    <t>Asset has 2+ revenue streams running simultaneously. Common case: serviced apartments (Sell + Operate same units, sold post-handover). Mixed-use building (Lease podium + Operate hotel floors). Each stream configured separately, all roll up to single asset P&amp;L.</t>
  </si>
  <si>
    <t>8. CAPEX STACK (per Asset)</t>
  </si>
  <si>
    <t>9 line categories</t>
  </si>
  <si>
    <t>1. Land Cost (parcel area × rate × active flag). 2. Hard Construction (broken by Sub-Unit, sqm × rate or per-key). 3. Construction Parking (Parking sqm × rate). 4. Infrastructure (Land sqm × % × rate). 5. Landscaping (Land sqm × % × rate). 6. Pre-operating (% of Hard + Infra + Landscape). 7. Professional Fee (% of Hard + Parking). 8. Commission (% of Pre-sale + Post-operation revenue, creates loop). 9. Contingency (% of Hard + Parking).</t>
  </si>
  <si>
    <t>Capex phasing</t>
  </si>
  <si>
    <t>Each cost category has its own % allocation across construction periods, summing to 100%. Standard patterns: Land 100% Y1, Hard 30/30/30/10 over 4 years, Pre-op spread per asset operations curve, Commission tied to revenue schedule.</t>
  </si>
  <si>
    <t>Cost methods</t>
  </si>
  <si>
    <t>fixed, rate_total_allocated, rate_net_developable, rate_roads, rate_gfa, rate_bua, percent_base (loops over selectedIds), percent_total_land, percent_cash_land, percent_inkind_land. Existing Module 1 supports these, preserve.</t>
  </si>
  <si>
    <t>Project-scope vs asset-scope</t>
  </si>
  <si>
    <t>Cost item has scope='asset' (belongs to one asset) or scope='project' (allocated across assets via direct_cost share or gfa share). Existing Module 1 V14, preserve.</t>
  </si>
  <si>
    <t>Dev Fee circular</t>
  </si>
  <si>
    <t>When devFeeMode='include', dev fee total = base × rate / (1 − rate). Existing V14 logic, preserve.</t>
  </si>
  <si>
    <t>9. AI AGENTS</t>
  </si>
  <si>
    <t>Research agent</t>
  </si>
  <si>
    <t>Pulls market intel for a city: population, demographics, GDP, key sectors, infrastructure, transport, regulations. Anthropic SDK + web search tool. Cached per city for 7 days.</t>
  </si>
  <si>
    <t>Market Rates agent</t>
  </si>
  <si>
    <t>Pulls current ADR / RevPAR / Cap Rates / Rental rates / Construction costs by (city, asset_type) pair. Anthropic SDK + web search tool. Cached per (city, asset_type) for 7 days.</t>
  </si>
  <si>
    <t>User override</t>
  </si>
  <si>
    <t>Every agent-suggested value has user override input. User-set values take priority. Agent values are suggestions stored separately for audit.</t>
  </si>
  <si>
    <t>Cost control</t>
  </si>
  <si>
    <t>Cache aggressively. Single agent run per (key, day) per user. Display 'Last refreshed N days ago' with manual refresh button.</t>
  </si>
  <si>
    <t>10. EXPORT</t>
  </si>
  <si>
    <t>Excel Static</t>
  </si>
  <si>
    <t>Token-driven exceljs. FAST color convention (blue inputs / black formulas / green cross-sheet / red external / yellow assumptions). Built. Phase 2 of design tokens shipped.</t>
  </si>
  <si>
    <t>Excel Formula</t>
  </si>
  <si>
    <t>Full formula-driven workbook with named ranges, XIRR/XNPV, scenario switches via INDIRECT, sensitivity tables. Enterprise tier. Build in Module 13.</t>
  </si>
  <si>
    <t>PDF Basic</t>
  </si>
  <si>
    <t>@react-pdf/renderer. Token-driven. Built. Phase 3 shipped.</t>
  </si>
  <si>
    <t>PDF Whitelabel</t>
  </si>
  <si>
    <t>Per-client branded PDF (logo, color override, custom footer). Enterprise tier. Build in Module 13.</t>
  </si>
  <si>
    <t>Investment Memorandum (PDF + PPT)</t>
  </si>
  <si>
    <t>Module 12. Sections: Cover, Exec Summary, Highlights, Market, Location, Project Description, Development Program, Financial Summary, Investment Structure, Comparables, Risks, Macro, Developer Profile. PDF + PPT formats. v1 only static export, in-app interactive view deferred.</t>
  </si>
  <si>
    <t>11. FINAL DASHBOARD (Module 11)</t>
  </si>
  <si>
    <t>Purpose</t>
  </si>
  <si>
    <t>Project home screen with live KPIs, charts, scenario switcher. Becomes the default view after Module 1 setup is complete.</t>
  </si>
  <si>
    <t>KPIs</t>
  </si>
  <si>
    <t>IRR (FCFE + DDM), MOIC, NPV at user-set discount rate, Payback Year, Development Margin %, Profit on Cost %, Cash-on-Cash, DSCR average, LTC, LTV, Equity Multiple.</t>
  </si>
  <si>
    <t>Charts</t>
  </si>
  <si>
    <t>Cashflow waterfall (capex → revenue → debt service → equity returns), Sources &amp; Uses bar, Returns by year line, Sensitivity tornado, Breakeven occupancy chart, Capital stack pie, Distribution timeline.</t>
  </si>
  <si>
    <t>Scenario switcher</t>
  </si>
  <si>
    <t>Top-of-page toggle for Base / Management / Upside / Custom. All metrics + charts refresh live.</t>
  </si>
  <si>
    <t>Sensitivity tables</t>
  </si>
  <si>
    <t>NPV vs discount rate, IRR vs occupancy, IRR vs sale price, IRR vs ADR. 2D tables with conditional formatting.</t>
  </si>
  <si>
    <t>Breakeven analysis</t>
  </si>
  <si>
    <t>Per asset: occupancy that breaks even on EBITDA / Interest / Debt Service. For Sell: sale price that breaks even on equity invested.</t>
  </si>
  <si>
    <t>12. DESIGN TOKENS &amp; FAST CONVENTION (locked from Phase 1-4)</t>
  </si>
  <si>
    <t>Token system</t>
  </si>
  <si>
    <t>src/hubs/modeling/design-tokens/. Universal across all platforms. Pulled from CMS header_settings.brand_color (currently #1E3A8A navy) for chrome. FAST cells encoded as semantic tokens.</t>
  </si>
  <si>
    <t>FAST cell rules</t>
  </si>
  <si>
    <t>Inputs: blue text on white background (--color-navy-pale + --color-navy). Formulas: black text on light grey (--color-grey-pale + --color-heading). Linked: green text. External: red text. Assumptions: yellow background. ABSOLUTE: no hardcoded hex anywhere outside token files.</t>
  </si>
  <si>
    <t>Cell primitives</t>
  </si>
  <si>
    <t>InputCell, FormulaCell, LinkedCell, AssumptionCell, SectionHeader, KpiCard, TableHeader. Use these, do not write inline styles.</t>
  </si>
  <si>
    <t>Light + Dark mode</t>
  </si>
  <si>
    <t>All components must work in both. Light = white surfaces. Dark = navy-tinted surfaces. Brand chrome stays navy in both. Test every screen in both modes.</t>
  </si>
  <si>
    <t>13. PERSISTENCE</t>
  </si>
  <si>
    <t>Current state</t>
  </si>
  <si>
    <t>localStorage key refm_v2. JSON-serialized. Per-project versioning. NO Supabase persistence yet.</t>
  </si>
  <si>
    <t>v1 target</t>
  </si>
  <si>
    <t>Move REFM project storage to Supabase. New tables: refm_projects, refm_project_versions. Per-user RLS. localStorage becomes cache only. Migration: existing localStorage data uploads to Supabase on next save.</t>
  </si>
  <si>
    <t>Schema migration policy</t>
  </si>
  <si>
    <t>Every breaking schema change has a migrator function. Loaded versions auto-upgrade to current schema. Document in CLAUDE-DB.md.</t>
  </si>
  <si>
    <t>14. FOLDER STRUCTURE</t>
  </si>
  <si>
    <t>Hubs structure</t>
  </si>
  <si>
    <t>src/core/ (DB, types, env, formatters), src/shared/ (auth, email, newsletter), src/hubs/main/, src/hubs/training/, src/hubs/modeling/. Modeling Hub: src/hubs/modeling/platforms/refm/ (and reserved bvm/, fpa/, etc.).</t>
  </si>
  <si>
    <t>REFM internal structure</t>
  </si>
  <si>
    <t>src/hubs/modeling/platforms/refm/components/ (UI), components/cells/ (cell primitives), components/modules/ (Module N tabs), lib/modules/ (calculation engines per module), lib/exporters/ (excel + pdf builders), lib/agents/ (research + market-rates), lib/state/ (Zustand store after refactor).</t>
  </si>
  <si>
    <t>ESLint boundary</t>
  </si>
  <si>
    <t>Enforced. modeling cannot import from training. core/shared shared by all. Already in place.</t>
  </si>
  <si>
    <t>15. PROCESS RULES (carry over from Phase 1-4)</t>
  </si>
  <si>
    <t>Ahmad → Claude (chat) → Claude Code</t>
  </si>
  <si>
    <t>Ahmad describes task. Chat-Claude writes prompt. Ahmad pastes to Claude Code. Code executes, commits, pushes, reports.</t>
  </si>
  <si>
    <t>Per-phase commit</t>
  </si>
  <si>
    <t>One logical commit per phase. Type-check + build pass before commit.</t>
  </si>
  <si>
    <t>Snapshot diff</t>
  </si>
  <si>
    <t>Mandatory for any change to Module 1 calculation files. scripts/module1-snapshot-diff.ts must exit 0.</t>
  </si>
  <si>
    <t>No em dashes</t>
  </si>
  <si>
    <t>Use commas / colons / periods / parentheses / and-or instead. Carries to all written output, code comments, UI strings, exports.</t>
  </si>
  <si>
    <t>Eyeball verification</t>
  </si>
  <si>
    <t>After every UI commit, Ahmad verifies in browser before approving next phase. Light + dark both checked.</t>
  </si>
  <si>
    <t>Stop at boundaries</t>
  </si>
  <si>
    <t>Each phase pauses for confirmation. No multi-phase scope creep without explicit approval.</t>
  </si>
  <si>
    <t>REFM Platform: Paste-Ready Prompts</t>
  </si>
  <si>
    <t>Each prompt is one execution unit for Claude Code. Read the Architecture sheet first. Comply with all 15 sections. Snapshot diff exit 0 mandatory for any change touching Module 1 calculations.</t>
  </si>
  <si>
    <t>Prompt</t>
  </si>
  <si>
    <t>Refactor Module 1 to support multi-asset and multi-phase data shape without changing calculation outputs.
Read Architecture sheet sections 1, 2, 8, 14 before starting.
Target outcome:
1. Replace the hardcoded `'residential' | 'hospitality' | 'retail'` string union with a typed AssetClass[] array. Each asset has: id, name, type (from 20 pre-built or custom string), category ('Sell' | 'Operate' | 'Lease' | 'Hybrid'), allocationPct (% of project GFA), deductPct, efficiencyPct.
2. Replace the single Construction-Operations timeline with a Phase[] array. Each phase has: id, name, constructionStart, constructionPeriods, operationsStart, operationsPeriods, overlapPeriods. Single-phase users have one phase. Multi-phase users add more.
3. Normalize the parallel `residentialCosts[] / hospitalityCosts[] / retailCosts[]` arrays into a single `costs[]` keyed by `assetId` (and optional `phaseId` for phase-specific costs).
4. Lift state from 30+ useState hooks in RealEstatePlatform.tsx into a Zustand store at `src/hubs/modeling/platforms/refm/lib/state/module1-store.ts`. Store exposes typed selectors and actions. Component reads via selectors.
5. Persistence migrator: on load, detect old refm_v2 shape (3 hardcoded asset arrays) and convert to new shape (1 normalized assets[] + 1 normalized costs[] + 1 phases[] with single phase). Preserve all data.
6. Calculations bit-identical. Snapshot diff `npx tsx scripts/module1-snapshot-diff.ts` must exit 0 against existing baseline.
Constraints:
- Do not introduce new calculations. Only restructure data and adapt existing calc functions to read from new shape.
- buildAssetFinancing, calculateItemTotal, distributeCost, getAreas, allocateToAssets, calcItemTotalV14, getAssetDirectCost all preserve their signatures externally; internally they iterate the new assets[] array.
- Same-for-all mode preserved as a UI/state preference, propagating non-land cost lines across all assets in costs[].
- All 4 Module 1 tabs (Timeline / Area / Costs / Financing) continue rendering correctly, in light + dark.
- FAST cell convention preserved.
Verification:
- Snapshot diff exit 0
- Type-check + build pass
- Manually: load existing project, verify all numbers identical
- Eyeball Module 1 in light + dark
One commit. Push to main.</t>
  </si>
  <si>
    <t>Add the 5-layer hierarchy to Module 1.
Read Architecture sheet section 1 before starting.
Target outcome:
1. New types: MasterHolding (optional), SubProject, Phase, Asset, SubUnit. SubProject has: id, name, currency, masterHoldingId (nullable), revenueShareToMaster (% if linked to master).
2. New "Hierarchy" tab in Module 1 (5th tab, becomes default landing of Module 1). UI: tree view of MasterHolding (optional) → SubProjects → Phases → Assets → SubUnits with create/edit/reorder controls.
3. Existing tabs (Timeline / Area / Costs / Financing) operate within a selected Phase context. Phase selector at top of these tabs.
4. SubUnit: per-asset inventory with name, count or area, price/rate (auto-driven by asset category Sell/Operate/Lease).
5. Master Holding: optional. When present, has its own land cost, debt, revenue share % from sub-projects, P&amp;L, returns. UI shows separate "Master Holding" entity in Hierarchy tab.
6. Persistence: extend Zustand store and Supabase schema (preview only, actual Supabase migration in M1.6). Migrator handles old single-project shape.
Constraints:
- Single-project users (no Master Holding, one Sub-Project, one Phase) get a streamlined UX. Master Holding panel hidden until enabled. Multi-phase users see Phase selector. Default new project: 1 Sub-Project + 1 Phase + empty assets array.
- Snapshot diff still passes for the single-phase fixture.
- FAST cells throughout new Hierarchy tab.
Verification:
- Snapshot diff exit 0 (single-phase legacy fixture)
- New fixture for multi-phase + multi-asset case added to tests/fixtures/
- Type-check + build pass
- Eyeball: create a 3-phase project, add assets to each phase, switch phases, verify isolation</t>
  </si>
  <si>
    <t>Module 2 Revenue, Sell stream</t>
  </si>
  <si>
    <t>Module 2 Revenue, Operate stream (USAH)</t>
  </si>
  <si>
    <t>Module 2 Revenue, Lease stream</t>
  </si>
  <si>
    <t>Module 2 Revenue, Hybrid composition</t>
  </si>
  <si>
    <t>Module 2 snapshot guard</t>
  </si>
  <si>
    <t>Module 4, DSCR, ICR, LTC, LTV</t>
  </si>
  <si>
    <t>Module 5, P&amp;L Statement</t>
  </si>
  <si>
    <t>Module 5, Cash Flow Statement</t>
  </si>
  <si>
    <t>Module 5, Cash Sweep Waterfall</t>
  </si>
  <si>
    <t>M1.5b</t>
  </si>
  <si>
    <t>Hierarchy UX polish</t>
  </si>
  <si>
    <t>First-time empty state with guided CTA. Inline tooltips on each layer (Master Holding, Sub-Project, Phase, Asset, Sub-Unit) explaining what they are and when to use. Optional Quick Setup wizard for single-project / single-phase users (collapses 5 layers into one form). Clearer visual hierarchy (parent-child indentation, expand/collapse, breadcrumb on selection). Empty-state illustrations at each level. Light + dark verified.</t>
  </si>
  <si>
    <t>Read Architecture sheet sections 1, 1A before starting. Reference Phase M1.5 Module1Hierarchy.tsx for current implementation.</t>
  </si>
  <si>
    <t>Polish the Hierarchy tab UX for first-time users. The 5-layer structure is correct but currently feels heavy on first visit.
Read Architecture sheet sections 1, 1A before starting. Reference Phase M1.5 Module1Hierarchy.tsx for current implementation.
Target outcome:
1. First-time empty state. When project has zero Sub-Projects (brand new project, just created), show a centered card with:
   - Title: "Set up your project structure"
   - Two CTA buttons side by side:
     - "Quick Setup" (primary, navy button) - opens wizard
     - "Manual Setup" (secondary, outline button) - shows current Hierarchy tree directly
   - Brief 1-line description under each button explaining when to use which.
2. Quick Setup wizard. Modal-style multi-step form for single-project / single-phase users (90% case):
   - Step 1: Sub-Project basics (name, currency, location, status)
   - Step 2: Timeline (construction periods, operations periods, overlap)
   - Step 3: First Asset (asset type from 20 pre-built dropdown, category auto-derived, allocation %, deduct %, efficiency %)
   - Step 4: Sub-Units for that asset (skip option for users who want to add later)
   - Final: "Create" button. Wizard creates Sub-Project + 1 Phase + 1 Asset + Sub-Units (if any) in one transaction.
   - User can skip wizard at any step and switch to Manual mode (preserves what's been entered).
   - Available again later via "Add Sub-Project" button if user wants to add another sub-project via wizard.
3. Inline tooltips on each layer label. Hover the layer label or click an info icon to see:
   - Master Holding: "Optional. Use when you have multiple Sub-Projects under one parent entity (e.g., a real estate fund holding 7 funds, each with own land + debt + returns). Most projects skip this."
   - Sub-Project: "An independent financing unit. One Sub-Project = one fund / project / standalone development. Has its own equity, debt, returns. Most users have just 1 Sub-Project."
   - Phase: "A sequenced timeline chunk within a Sub-Project. Most projects have 1 Phase. Add more Phases for staged developments where Phase 2 starts construction years after Phase 1."
   - Asset: "A building or operating entity. One asset = one building or one operating unit type (e.g., 5-Star Hotel, Branded Apartments Tower 1, Retail Podium)."
   - Sub-Unit: "Inventory inside an Asset. For Sell: 1BR / 2BR / Branded Suite. For Operate: Twin Key / King Key. For Lease: optional split by floor or zone."
4. Visual hierarchy clarity:
   - Increase indentation per level (currently subtle, needs to be more obvious)
   - Add expand/collapse chevrons on each level (Sub-Project / Phase / Asset). Default expanded.
   - Sticky breadcrumb at top when scrolling deep ("FMP Mixed-Used &gt; Phase 1 &gt; Residential")
   - Subtle background tint per level to reinforce hierarchy (Sub-Project bg navy-pale, Phase bg lighter, Asset bg lightest)
5. Empty-state cards at each level when sub-items missing:
   - Sub-Project with no Phases: "+ Add first Phase" centered card with brief explainer
   - Phase with no Assets: "+ Add first Asset" centered card with type picker preview
   - Asset with no Sub-Units: existing "+ Add Sub-Unit" stays but adds 1-line hint above it
6. Page header context. Top of Hierarchy tab adds:
   - Quick stats line: "1 Sub-Project, 1 Phase, 3 Assets, 0 Sub-Units"
   - "Switch to Quick Setup" link (always available, not just empty state)
Constraints:
- Snapshot diff exit 0 (no calc changes, only UI)
- Type-check + build pass
- FAST cells throughout (no hardcoded colors)
- Light + dark mode both work
- Keyboard navigable (tab through wizard steps, Esc to close)
- Accessible: tooltips have aria-label, wizard is screen-reader friendly
Verification:
- Snapshot diff exit 0
- Eyeball: create new project, walk through Quick Setup wizard end-to-end. Then create another project, use Manual Setup. Then open existing migrated project, verify breadcrumb + indentation + tooltips read correctly.
Split into 4-6 commits, same per-commit verify+push cadence.</t>
  </si>
  <si>
    <t>REFM Platform: Backlog</t>
  </si>
  <si>
    <t>Polish, UX, and post-MVP items. Picked up after required modules ship.</t>
  </si>
  <si>
    <t>#</t>
  </si>
  <si>
    <t>ID</t>
  </si>
  <si>
    <t>Item</t>
  </si>
  <si>
    <t>Description</t>
  </si>
  <si>
    <t>Priority</t>
  </si>
  <si>
    <t>When</t>
  </si>
  <si>
    <t>B1</t>
  </si>
  <si>
    <t>Sample Project template</t>
  </si>
  <si>
    <t>Pre-built MAAD-like and Project West-like demo projects. New user clicks 'Try Sample' instead of 'New Project', lands in fully-populated dashboard with all numbers, charts, scenarios visible immediately. Drops 'wow' factor for first-time users.</t>
  </si>
  <si>
    <t>High</t>
  </si>
  <si>
    <t>After Module 11</t>
  </si>
  <si>
    <t>B2</t>
  </si>
  <si>
    <t>Module unlock progressive reveal</t>
  </si>
  <si>
    <t>As each Module ships through M2 to M11, remove SOON badge from sidebar. By launch, no SOON-locked modules visible. Avoids first impression of 'platform full of locks'.</t>
  </si>
  <si>
    <t>Medium</t>
  </si>
  <si>
    <t>Ongoing during build</t>
  </si>
  <si>
    <t>B3</t>
  </si>
  <si>
    <t>First-time empty state push verification</t>
  </si>
  <si>
    <t>Re-eyeball Hierarchy tab Quick Setup vs Manual Setup balance after Modules 2 to 11 ship. If users bounce on empty Hierarchy tree, polish the empty state to push Quick Setup harder.</t>
  </si>
  <si>
    <t>B4</t>
  </si>
  <si>
    <t>Module 11 Final Dashboard polish budget</t>
  </si>
  <si>
    <t>Reserve extra polish time on M11.1 to M11.3. Final Dashboard is the wow moment of the platform: live KPIs, scenario toggle, charts. Invest more here than other modules. Add micro-interactions, transitions, color-graded conditional formatting.</t>
  </si>
  <si>
    <t>M11.1 to M11.3 phase</t>
  </si>
  <si>
    <t>B5</t>
  </si>
  <si>
    <t>Project name editing UI nicety</t>
  </si>
  <si>
    <t>From Phase 4.3 backlog. Currently project name set at creation, edit pencil added in M1.5. Verify edit affordance is discoverable and not buried.</t>
  </si>
  <si>
    <t>Low</t>
  </si>
  <si>
    <t>Pre-launch L1</t>
  </si>
  <si>
    <t>B6</t>
  </si>
  <si>
    <t>User guide and documentation</t>
  </si>
  <si>
    <t>Was L1.1. Static /docs/refm-getting-started page covering 5-layer hierarchy with diagram, Quick Setup walkthrough, FAST cell convention legend, scenario system intro, exporting models. Linked from Hierarchy tab and sidebar.</t>
  </si>
  <si>
    <t>B7</t>
  </si>
  <si>
    <t>Cookie scope cross-subdomain fix</t>
  </si>
  <si>
    <t>From Phase 4 known issue. NextAuth cookies.sessionToken.options.domain set to .financialmodelerpro.com so portal and modeling hub share session across subdomains. Required if user data ever needs to flow between hubs.</t>
  </si>
  <si>
    <t>If cross-subdomain feature needed</t>
  </si>
  <si>
    <t>B8</t>
  </si>
  <si>
    <t>REFM workspace tooltip layer</t>
  </si>
  <si>
    <t>Tooltips on key terms across all modules: FAR, BUA, GFA, DSCR, IRR, MOIC, NPV, USAH, FCFE, DDM, etc. Hover any acronym to see plain-English explanation. Reduces friction for non-finance users.</t>
  </si>
  <si>
    <t>B9</t>
  </si>
  <si>
    <t>Stale floating rate reminder</t>
  </si>
  <si>
    <t>From MAAD model review. SAIBOR + premium model is static input. Floating rate sensitivity not modeled. Add as v2 feature when needed by users with floating-rate construction loans.</t>
  </si>
  <si>
    <t>v2 post-launch</t>
  </si>
  <si>
    <t>B10</t>
  </si>
  <si>
    <t>Multi-currency support</t>
  </si>
  <si>
    <t>From Architecture decision section 3. Single currency per project for v1. Multi-currency (e.g., USD loan inside SAR project) deferred to v2 if institutional users request it.</t>
  </si>
  <si>
    <t>B11</t>
  </si>
  <si>
    <t>Securitization mode</t>
  </si>
  <si>
    <t>From Architecture decision section 1. Out of scope for v1 per Ahmad. Add later if user base requests.</t>
  </si>
  <si>
    <t>B12</t>
  </si>
  <si>
    <t>Floating interest rate engine</t>
  </si>
  <si>
    <t>From Architecture decision section 5. Fixed rate per tranche for v1. SAIBOR + premium floating rate option deferred to v2.</t>
  </si>
  <si>
    <t>B13</t>
  </si>
  <si>
    <t>In-app interactive Investment Memorandum</t>
  </si>
  <si>
    <t>From Architecture decision section 10. v1 ships PDF + PPT export of IM. Interactive in-app IM view (live tables, drill-downs) deferred to v2.</t>
  </si>
  <si>
    <t>B14</t>
  </si>
  <si>
    <t>Authenticated API path Playwright tests</t>
  </si>
  <si>
    <t>From M1.6 verification gap. Current verify-m16.ts tests 401 gates but not authed happy path because NextAuth session cookie minting is browser-only. Add full E2E with Playwright session injection.</t>
  </si>
  <si>
    <t>B15</t>
  </si>
  <si>
    <t>Module 1 hierarchy onboarding video</t>
  </si>
  <si>
    <t>30 to 60 second video walkthrough of 5-layer hierarchy. Embedded in Hierarchy tab empty state. Optional viewing.</t>
  </si>
  <si>
    <t>M1.8</t>
  </si>
  <si>
    <t>Smart Project Creation Wizard</t>
  </si>
  <si>
    <t>3-step wizard at project creation. Asks structure questions (fund/single, phases, plots, project type, assets). Pre-creates hierarchy matching answers. User lands in populated workspace, not empty Hierarchy tab. Progressive disclosure: hidden layers reveal via "+ Add Phase / Plot / Enable Master Holding" buttons.</t>
  </si>
  <si>
    <t>## Purpose</t>
  </si>
  <si>
    <t>Replace the current "blank Hierarchy tab" first experience with a guided wizard that asks 3-5 simple questions and pre-creates the project structure. User lands in a populated workspace, not an empty 5-layer tree.</t>
  </si>
  <si>
    <t>## Problem We Are Solving</t>
  </si>
  <si>
    <t>Current flow: user creates project, lands on Hierarchy tab, sees 5 empty layers (Master Holding, Sub-Project, Phase, Plot, Asset, Sub-Unit), feels overwhelmed.</t>
  </si>
  <si>
    <t>New flow: user answers 3 questions during creation, lands in pre-populated workspace with structure already matching their needs. 90% of users (single project, single phase, single plot, 2-3 assets) never see Master Holding or multi-plot complexity unless they explicitly opt in later.</t>
  </si>
  <si>
    <t>## Reference</t>
  </si>
  <si>
    <t>Read REFM_Build_Prompts_v2.1.xlsx Architecture sheet sections 1, 1A, 2 before starting.</t>
  </si>
  <si>
    <t>## Target Outcome</t>
  </si>
  <si>
    <t>### 1. Replace current "+ New Project" button behavior</t>
  </si>
  <si>
    <t>Currently the New Project button in Projects screen creates an empty project and routes to Hierarchy tab. Change it to open a 3-step wizard modal.</t>
  </si>
  <si>
    <t>### 2. Wizard Step 1: Project Basics</t>
  </si>
  <si>
    <t>Inputs:</t>
  </si>
  <si>
    <t>- Location (required, e.g., "Riyadh, Saudi Arabia")</t>
  </si>
  <si>
    <t>- Model Type (radio: Annual / Monthly, default Annual)</t>
  </si>
  <si>
    <t>- Project Start Date (default today + 6 months)</t>
  </si>
  <si>
    <t>- Status (radio: Draft / Active, default Draft)</t>
  </si>
  <si>
    <t>Validation: Name and location required. Show "Continue" disabled until both filled.</t>
  </si>
  <si>
    <t>### 3. Wizard Step 2: Project Structure</t>
  </si>
  <si>
    <t>Three questions with smart defaults:</t>
  </si>
  <si>
    <t>**Question 1: Is this part of a fund or portfolio?**</t>
  </si>
  <si>
    <t>- If ON: enables Master Holding layer in Hierarchy tab. If OFF: Master Holding hidden by default (user can enable later from Hierarchy tab).</t>
  </si>
  <si>
    <t>**Question 2: How many phases?**</t>
  </si>
  <si>
    <t>- Radio: "Single Phase (most projects)" / "Multiple Phases (staged development)"</t>
  </si>
  <si>
    <t>- Default: Single Phase</t>
  </si>
  <si>
    <t>- If Multiple: ask "How many?" with number input (2-10).</t>
  </si>
  <si>
    <t>**Question 3: How many plots?**</t>
  </si>
  <si>
    <t>- Radio: "Single Plot" / "Multiple Plots (large land bank)"</t>
  </si>
  <si>
    <t>- Default: Single Plot</t>
  </si>
  <si>
    <t>- If Multiple: ask "How many?" with number input (2-20).</t>
  </si>
  <si>
    <t>### 4. Wizard Step 3: Assets</t>
  </si>
  <si>
    <t>Based on user's project type selection, pre-fill suggested assets.</t>
  </si>
  <si>
    <t>**First, ask Project Type:**</t>
  </si>
  <si>
    <t>**Then suggest assets based on type:**</t>
  </si>
  <si>
    <t>| Project Type | Default Assets |</t>
  </si>
  <si>
    <t>|--------------|----------------|</t>
  </si>
  <si>
    <t>| Residential | 1 asset: "Residential Tower" (High-end Apartments, Sell, 100%) |</t>
  </si>
  <si>
    <t>| Hospitality | 1 asset: "Hotel" (Hotel 5-star, Operate, 100%) |</t>
  </si>
  <si>
    <t>| Retail | 1 asset: "Retail Center" (Retail, Lease, 100%) |</t>
  </si>
  <si>
    <t>| Office | 1 asset: "Office Tower" (Office, Lease, 100%) |</t>
  </si>
  <si>
    <t>| Mixed-Use | 3 assets: Residential Tower (Sell, 50%), Hotel (Operate, 30%), Retail Podium (Lease, 20%) |</t>
  </si>
  <si>
    <t>| Custom | Empty list, user adds manually |</t>
  </si>
  <si>
    <t>User can edit/add/remove assets in this step.</t>
  </si>
  <si>
    <t>For each asset row:</t>
  </si>
  <si>
    <t>- Type dropdown (20 pre-built + Custom option)</t>
  </si>
  <si>
    <t>- Category (auto-derived from type, or user-set if Custom)</t>
  </si>
  <si>
    <t>- Allocation % (auto-balances to 100 across all assets)</t>
  </si>
  <si>
    <t>- Remove button (if more than 1 asset)</t>
  </si>
  <si>
    <t>- "+ Add Asset" button below</t>
  </si>
  <si>
    <t>Validation: Total allocation must = 100%. Show "Create Project" disabled until valid.</t>
  </si>
  <si>
    <t>### 5. On "Create Project"</t>
  </si>
  <si>
    <t>Create the project with:</t>
  </si>
  <si>
    <t>- Sub-Project: "Main" (or user-named in Step 1)</t>
  </si>
  <si>
    <t>- Phase 1 (and Phase 2, Phase 3 if user picked Multiple Phases)</t>
  </si>
  <si>
    <t>- Plot 1 (and Plot 2... if user picked Multiple Plots)</t>
  </si>
  <si>
    <t>- Assets pre-created per Step 3 list, all bound to Phase 1 + Plot 1 by default</t>
  </si>
  <si>
    <t>- Single sub-unit per asset auto-created with placeholder values:</t>
  </si>
  <si>
    <t xml:space="preserve">  - Sell: 1 unit, Unit Size = 100 sqm, Price = 0 (user fills later)</t>
  </si>
  <si>
    <t xml:space="preserve">  - Operate: 1 key/unit, quantity = 1 (user fills later)</t>
  </si>
  <si>
    <t xml:space="preserve">  - Lease: 1 area unit, area = 0 (user fills later)</t>
  </si>
  <si>
    <t>- Master Holding: NOT created unless Step 2 Question 1 was ON</t>
  </si>
  <si>
    <t>- Routes to Area Program tab (not Hierarchy tab) since structure is already set up</t>
  </si>
  <si>
    <t>### 6. Hierarchy Tab Polish</t>
  </si>
  <si>
    <t>When Hierarchy tab is opened on a wizard-created project:</t>
  </si>
  <si>
    <t>- Hide layers user said they don't need (Master Holding, multi-phase complexity, multi-plot complexity)</t>
  </si>
  <si>
    <t>- Top of Hierarchy tab: 3 action buttons always visible</t>
  </si>
  <si>
    <t xml:space="preserve">  - "+ Add Phase" (creates Phase 2, etc.)</t>
  </si>
  <si>
    <t xml:space="preserve">  - "+ Add Plot" (creates Plot 2, etc.)</t>
  </si>
  <si>
    <t xml:space="preserve">  - "Enable Master Holding" toggle (turns on the Master Holding layer if user wants to convert to fund structure later)</t>
  </si>
  <si>
    <t>### 7. Edit Project Structure Later</t>
  </si>
  <si>
    <t>When user clicks "Enable Master Holding" or "+ Add Phase" or "+ Add Plot" later, the new layer appears in Hierarchy tab with empty state guiding them through setup. No re-wizard.</t>
  </si>
  <si>
    <t>## Constraints</t>
  </si>
  <si>
    <t>- Snapshot diffs (legacy + multiphase + areaprogram) must all stay exit 0. No calc changes.</t>
  </si>
  <si>
    <t>- Migrator handles old projects: existing projects without wizard preference flags get default "show all layers" behavior (current behavior preserved).</t>
  </si>
  <si>
    <t>- Light + dark mode both work.</t>
  </si>
  <si>
    <t>- Keyboard navigable (Tab through fields, Enter advances steps).</t>
  </si>
  <si>
    <t>- Esc closes wizard with confirmation if any data entered.</t>
  </si>
  <si>
    <t>- Wizard state preserved if user goes Back to previous step.</t>
  </si>
  <si>
    <t>## Verification</t>
  </si>
  <si>
    <t>1. Snapshot diffs exit 0 (all 3 tracks)</t>
  </si>
  <si>
    <t>2. Type-check + build pass per commit</t>
  </si>
  <si>
    <t>3. Playwright headless test in `tests/e2e/m18-wizard.spec.ts`:</t>
  </si>
  <si>
    <t xml:space="preserve">   - Create project via wizard with default mixed-use selections</t>
  </si>
  <si>
    <t xml:space="preserve">   - Verify project landed on Area Program tab</t>
  </si>
  <si>
    <t xml:space="preserve">   - Verify Hierarchy tab shows 3 assets</t>
  </si>
  <si>
    <t xml:space="preserve">   - Verify Master Holding layer hidden</t>
  </si>
  <si>
    <t xml:space="preserve">   - Test "Enable Master Holding" reveals layer</t>
  </si>
  <si>
    <t xml:space="preserve">   - Test "+ Add Phase" creates Phase 2</t>
  </si>
  <si>
    <t xml:space="preserve">   - Screenshots saved to `tests/screenshots/M1.8/` for light + dark</t>
  </si>
  <si>
    <t>4. `scripts/verify-m18.ts`:</t>
  </si>
  <si>
    <t xml:space="preserve">   - Wizard completion creates expected DB rows</t>
  </si>
  <si>
    <t xml:space="preserve">   - Default asset configs match project type matrix above</t>
  </si>
  <si>
    <t xml:space="preserve">   - Existing projects load unchanged</t>
  </si>
  <si>
    <t>## Commit Plan</t>
  </si>
  <si>
    <t>Split into 6-8 commits:</t>
  </si>
  <si>
    <t>1. Wizard component scaffold + 3-step state machine</t>
  </si>
  <si>
    <t>2. Step 1: Project Basics form</t>
  </si>
  <si>
    <t>3. Step 2: Structure questions with conditional fields</t>
  </si>
  <si>
    <t>4. Step 3: Asset list with project-type defaults</t>
  </si>
  <si>
    <t>5. Create-project transactional handler (creates SP + Phase + Plot + Assets + Sub-Units atomically)</t>
  </si>
  <si>
    <t>6. Hierarchy tab progressive disclosure (hide unused layers)</t>
  </si>
  <si>
    <t>7. Hierarchy tab "+ Add Phase / Plot / Enable Master Holding" actions</t>
  </si>
  <si>
    <t>8. Verification scripts + Playwright + screenshots</t>
  </si>
  <si>
    <t>Per-commit cadence: snapshot diff exit 0, type-check + build pass, push to main.</t>
  </si>
  <si>
    <t>When done, report: commit hashes, files touched per commit, verify-m18.ts output, Playwright screenshots path, pattern decisions, deviations.</t>
  </si>
  <si>
    <t>Begin Phase M1.8.</t>
  </si>
  <si>
    <t># Phase M1.8: Smart Project Creation Wizard
## Purpose
Replace the current "blank Hierarchy tab" first experience with a guided wizard that asks 3-5 simple questions and pre-creates the project structure. User lands in a populated workspace, not an empty 5-layer tree.
## Problem We Are Solving
Current flow: user creates project, lands on Hierarchy tab, sees 5 empty layers (Master Holding, Sub-Project, Phase, Plot, Asset, Sub-Unit), feels overwhelmed.
New flow: user answers 3 questions during creation, lands in pre-populated workspace with structure already matching their needs. 90% of users (single project, single phase, single plot, 2-3 assets) never see Master Holding or multi-plot complexity unless they explicitly opt in later.
## Reference
Read REFM_Build_Prompts_v2.1.xlsx Architecture sheet sections 1, 1A, 2 before starting.
## Target Outcome
### 1. Replace current "+ New Project" button behavior
Currently the New Project button in Projects screen creates an empty project and routes to Hierarchy tab. Change it to open a 3-step wizard modal.
### 2. Wizard Step 1: Project Basics
Inputs:
- Project Name (required)
- Location (required, e.g., "Riyadh, Saudi Arabia")
- Currency (default SAR, dropdown from common currencies)
- Model Type (radio: Annual / Monthly, default Annual)
- Project Start Date (default today + 6 months)
- Status (radio: Draft / Active, default Draft)
Validation: Name and location required. Show "Continue" disabled until both filled.
### 3. Wizard Step 2: Project Structure
Three questions with smart defaults:
**Question 1: Is this part of a fund or portfolio?**
- Toggle (default OFF)
- If ON: enables Master Holding layer in Hierarchy tab. If OFF: Master Holding hidden by default (user can enable later from Hierarchy tab).
**Question 2: How many phases?**
- Radio: "Single Phase (most projects)" / "Multiple Phases (staged development)"
- Default: Single Phase
- If Multiple: ask "How many?" with number input (2-10).
**Question 3: How many plots?**
- Radio: "Single Plot" / "Multiple Plots (large land bank)"
- Default: Single Plot
- If Multiple: ask "How many?" with number input (2-20).
### 4. Wizard Step 3: Assets
Based on user's project type selection, pre-fill suggested assets.
**First, ask Project Type:**
- Radio: Residential / Hospitality / Retail / Mixed-Use / Office / Custom
- Default: Mixed-Use
**Then suggest assets based on type:**
| Project Type | Default Assets |
|--------------|----------------|
| Residential | 1 asset: "Residential Tower" (High-end Apartments, Sell, 100%) |
| Hospitality | 1 asset: "Hotel" (Hotel 5-star, Operate, 100%) |
| Retail | 1 asset: "Retail Center" (Retail, Lease, 100%) |
| Office | 1 asset: "Office Tower" (Office, Lease, 100%) |
| Mixed-Use | 3 assets: Residential Tower (Sell, 50%), Hotel (Operate, 30%), Retail Podium (Lease, 20%) |
| Custom | Empty list, user adds manually |
User can edit/add/remove assets in this step.
For each asset row:
- Name (editable)
- Type dropdown (20 pre-built + Custom option)
- Category (auto-derived from type, or user-set if Custom)
- Allocation % (auto-balances to 100 across all assets)
- Remove button (if more than 1 asset)
- "+ Add Asset" button below
Validation: Total allocation must = 100%. Show "Create Project" disabled until valid.
### 5. On "Create Project"
Create the project with:
- Sub-Project: "Main" (or user-named in Step 1)
- Phase 1 (and Phase 2, Phase 3 if user picked Multiple Phases)
- Plot 1 (and Plot 2... if user picked Multiple Plots)
- Assets pre-created per Step 3 list, all bound to Phase 1 + Plot 1 by default
- Single sub-unit per asset auto-created with placeholder values:
  - Sell: 1 unit, Unit Size = 100 sqm, Price = 0 (user fills later)
  - Operate: 1 key/unit, quantity = 1 (user fills later)
  - Lease: 1 area unit, area = 0 (user fills later)
- Master Holding: NOT created unless Step 2 Question 1 was ON
- Routes to Area Program tab (not Hierarchy tab) since structure is already set up
### 6. Hierarchy Tab Polish
When Hierarchy tab is opened on a wizard-created project:
- Hide layers user said they don't need (Master Holding, multi-phase complexity, multi-plot complexity)
- Show only their actual structure
- Top of Hierarchy tab: 3 action buttons always visible
  - "+ Add Phase" (creates Phase 2, etc.)
  - "+ Add Plot" (creates Plot 2, etc.)
  - "Enable Master Holding" toggle (turns on the Master Holding layer if user wants to convert to fund structure later)
### 7. Edit Project Structure Later
When user clicks "Enable Master Holding" or "+ Add Phase" or "+ Add Plot" later, the new layer appears in Hierarchy tab with empty state guiding them through setup. No re-wizard.
## Constraints
- Snapshot diffs (legacy + multiphase + areaprogram) must all stay exit 0. No calc changes.
- Migrator handles old projects: existing projects without wizard preference flags get default "show all layers" behavior (current behavior preserved).
- FAST cells throughout wizard.
- Light + dark mode both work.
- Keyboard navigable (Tab through fields, Enter advances steps).
- Esc closes wizard with confirmation if any data entered.
- Wizard state preserved if user goes Back to previous step.
## Verification
1. Snapshot diffs exit 0 (all 3 tracks)
2. Type-check + build pass per commit
3. Playwright headless test in `tests/e2e/m18-wizard.spec.ts`:
   - Create project via wizard with default mixed-use selections
   - Verify project landed on Area Program tab
   - Verify Hierarchy tab shows 3 assets
   - Verify Master Holding layer hidden
   - Test "Enable Master Holding" reveals layer
   - Test "+ Add Phase" creates Phase 2
   - Screenshots saved to `tests/screenshots/M1.8/` for light + dark
4. `scripts/verify-m18.ts`:
   - Wizard completion creates expected DB rows
   - Default asset configs match project type matrix above
   - Existing projects load unchanged
## Commit Plan
Split into 6-8 commits:
1. Wizard component scaffold + 3-step state machine
2. Step 1: Project Basics form
3. Step 2: Structure questions with conditional fields
4. Step 3: Asset list with project-type defaults
5. Create-project transactional handler (creates SP + Phase + Plot + Assets + Sub-Units atomically)
6. Hierarchy tab progressive disclosure (hide unused layers)
7. Hierarchy tab "+ Add Phase / Plot / Enable Master Holding" actions
8. Verification scripts + Playwright + screenshots
Per-commit cadence: snapshot diff exit 0, type-check + build pass, push to main.
When done, report: commit hashes, files touched per commit, verify-m18.ts output, Playwright screenshots path, pattern decisions, deviations.
Begin Phase M1.8.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</si>
</sst>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6"/>
      <color rgb="FF1E3A8A"/>
      <name val="Arial"/>
    </font>
    <font>
      <i/>
      <sz val="10"/>
      <color rgb="FF6B7280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b/>
      <sz val="11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1E3A8A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4" fillId="8" borderId="4" xfId="0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10" borderId="4" xfId="0" applyFont="1" applyFill="1" applyBorder="1" applyAlignment="1">
      <alignment horizontal="left" vertical="top" wrapText="1"/>
    </xf>
    <xf numFmtId="164" fontId="0" fillId="0" borderId="0" xfId="0" applyNumberFormat="1" applyAlignment="1">
      <alignment vertical="center"/>
    </xf>
    <xf numFmtId="164" fontId="7" fillId="2" borderId="3" xfId="0" applyNumberFormat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0" fontId="5" fillId="11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right" vertical="top"/>
    </xf>
    <xf numFmtId="0" fontId="5" fillId="12" borderId="4" xfId="0" applyFont="1" applyFill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4" fillId="8" borderId="4" xfId="0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left" vertical="top" wrapText="1"/>
    </xf>
    <xf numFmtId="0" fontId="0" fillId="0" borderId="0" xfId="0"/>
    <xf numFmtId="0" fontId="1" fillId="0" borderId="0" xfId="0" applyFont="1"/>
    <xf numFmtId="0" fontId="8" fillId="7" borderId="4" xfId="0" applyFont="1" applyFill="1" applyBorder="1" applyAlignment="1">
      <alignment horizontal="left" vertical="center" wrapText="1"/>
    </xf>
    <xf numFmtId="0" fontId="0" fillId="0" borderId="5" xfId="0" applyBorder="1"/>
    <xf numFmtId="0" fontId="2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C7" sqref="C7"/>
    </sheetView>
  </sheetViews>
  <sheetFormatPr defaultRowHeight="14.4" x14ac:dyDescent="0.3"/>
  <cols>
    <col min="1" max="1" width="4" customWidth="1"/>
    <col min="2" max="2" width="32" customWidth="1"/>
    <col min="3" max="3" width="90" customWidth="1"/>
  </cols>
  <sheetData>
    <row r="1" spans="2:3" ht="28.05" customHeight="1" x14ac:dyDescent="0.4">
      <c r="B1" s="50" t="s">
        <v>194</v>
      </c>
      <c r="C1" s="49"/>
    </row>
    <row r="2" spans="2:3" ht="18" customHeight="1" x14ac:dyDescent="0.3">
      <c r="B2" s="53" t="s">
        <v>195</v>
      </c>
      <c r="C2" s="49"/>
    </row>
    <row r="4" spans="2:3" x14ac:dyDescent="0.3">
      <c r="B4" s="45" t="s">
        <v>196</v>
      </c>
      <c r="C4" s="46"/>
    </row>
    <row r="5" spans="2:3" ht="55.95" customHeight="1" x14ac:dyDescent="0.3">
      <c r="B5" s="1" t="s">
        <v>197</v>
      </c>
      <c r="C5" s="2" t="s">
        <v>198</v>
      </c>
    </row>
    <row r="6" spans="2:3" ht="55.95" customHeight="1" x14ac:dyDescent="0.3">
      <c r="B6" s="1" t="s">
        <v>199</v>
      </c>
      <c r="C6" s="2" t="s">
        <v>200</v>
      </c>
    </row>
    <row r="7" spans="2:3" ht="42" customHeight="1" x14ac:dyDescent="0.3">
      <c r="B7" s="1" t="s">
        <v>201</v>
      </c>
      <c r="C7" s="2" t="s">
        <v>202</v>
      </c>
    </row>
    <row r="8" spans="2:3" ht="42" customHeight="1" x14ac:dyDescent="0.3">
      <c r="B8" s="1" t="s">
        <v>6</v>
      </c>
      <c r="C8" s="2" t="s">
        <v>203</v>
      </c>
    </row>
    <row r="9" spans="2:3" ht="42" customHeight="1" x14ac:dyDescent="0.3">
      <c r="B9" s="1" t="s">
        <v>204</v>
      </c>
      <c r="C9" s="2" t="s">
        <v>205</v>
      </c>
    </row>
    <row r="10" spans="2:3" ht="42" customHeight="1" x14ac:dyDescent="0.3">
      <c r="B10" s="1" t="s">
        <v>206</v>
      </c>
      <c r="C10" s="2" t="s">
        <v>207</v>
      </c>
    </row>
    <row r="11" spans="2:3" ht="19.95" customHeight="1" x14ac:dyDescent="0.3">
      <c r="B11" s="1" t="s">
        <v>208</v>
      </c>
      <c r="C11" s="2" t="s">
        <v>209</v>
      </c>
    </row>
    <row r="13" spans="2:3" ht="22.05" customHeight="1" x14ac:dyDescent="0.3">
      <c r="B13" s="51" t="s">
        <v>210</v>
      </c>
      <c r="C13" s="52"/>
    </row>
    <row r="14" spans="2:3" ht="84" customHeight="1" x14ac:dyDescent="0.3">
      <c r="B14" s="28" t="s">
        <v>211</v>
      </c>
      <c r="C14" s="29" t="s">
        <v>212</v>
      </c>
    </row>
    <row r="15" spans="2:3" ht="70.05" customHeight="1" x14ac:dyDescent="0.3">
      <c r="B15" s="28" t="s">
        <v>213</v>
      </c>
      <c r="C15" s="29" t="s">
        <v>214</v>
      </c>
    </row>
    <row r="16" spans="2:3" ht="70.05" customHeight="1" x14ac:dyDescent="0.3">
      <c r="B16" s="28" t="s">
        <v>215</v>
      </c>
      <c r="C16" s="29" t="s">
        <v>216</v>
      </c>
    </row>
    <row r="17" spans="2:3" ht="70.05" customHeight="1" x14ac:dyDescent="0.3">
      <c r="B17" s="28" t="s">
        <v>217</v>
      </c>
      <c r="C17" s="29" t="s">
        <v>218</v>
      </c>
    </row>
    <row r="18" spans="2:3" ht="55.95" customHeight="1" x14ac:dyDescent="0.3">
      <c r="B18" s="28" t="s">
        <v>219</v>
      </c>
      <c r="C18" s="29" t="s">
        <v>220</v>
      </c>
    </row>
    <row r="19" spans="2:3" ht="97.95" customHeight="1" x14ac:dyDescent="0.3">
      <c r="B19" s="47" t="s">
        <v>221</v>
      </c>
      <c r="C19" s="48" t="s">
        <v>222</v>
      </c>
    </row>
    <row r="20" spans="2:3" ht="70.05" customHeight="1" x14ac:dyDescent="0.3">
      <c r="B20" s="28" t="s">
        <v>223</v>
      </c>
      <c r="C20" s="29" t="s">
        <v>224</v>
      </c>
    </row>
    <row r="21" spans="2:3" ht="19.95" customHeight="1" x14ac:dyDescent="0.3">
      <c r="B21" s="26" t="s">
        <v>225</v>
      </c>
      <c r="C21" s="27"/>
    </row>
    <row r="22" spans="2:3" ht="52.8" x14ac:dyDescent="0.3">
      <c r="B22" s="1" t="s">
        <v>226</v>
      </c>
      <c r="C22" s="2" t="s">
        <v>227</v>
      </c>
    </row>
    <row r="23" spans="2:3" x14ac:dyDescent="0.3">
      <c r="B23" s="43" t="s">
        <v>228</v>
      </c>
      <c r="C23" s="44" t="s">
        <v>229</v>
      </c>
    </row>
    <row r="24" spans="2:3" ht="42" customHeight="1" x14ac:dyDescent="0.3">
      <c r="B24" s="1" t="s">
        <v>230</v>
      </c>
      <c r="C24" s="2" t="s">
        <v>231</v>
      </c>
    </row>
    <row r="25" spans="2:3" ht="28.05" customHeight="1" x14ac:dyDescent="0.3">
      <c r="B25" s="1" t="s">
        <v>232</v>
      </c>
      <c r="C25" s="2" t="s">
        <v>233</v>
      </c>
    </row>
    <row r="26" spans="2:3" ht="19.95" customHeight="1" x14ac:dyDescent="0.3"/>
    <row r="27" spans="2:3" ht="42" customHeight="1" x14ac:dyDescent="0.3">
      <c r="B27" s="26" t="s">
        <v>234</v>
      </c>
      <c r="C27" s="27"/>
    </row>
    <row r="28" spans="2:3" ht="28.05" customHeight="1" x14ac:dyDescent="0.3">
      <c r="B28" s="1" t="s">
        <v>235</v>
      </c>
      <c r="C28" s="2" t="s">
        <v>236</v>
      </c>
    </row>
    <row r="29" spans="2:3" x14ac:dyDescent="0.3">
      <c r="B29" s="1" t="s">
        <v>237</v>
      </c>
      <c r="C29" s="2" t="s">
        <v>238</v>
      </c>
    </row>
    <row r="30" spans="2:3" x14ac:dyDescent="0.3">
      <c r="B30" s="49"/>
      <c r="C30" s="49"/>
    </row>
    <row r="31" spans="2:3" ht="55.95" customHeight="1" x14ac:dyDescent="0.3">
      <c r="B31" s="26" t="s">
        <v>239</v>
      </c>
      <c r="C31" s="27"/>
    </row>
    <row r="32" spans="2:3" ht="28.05" customHeight="1" x14ac:dyDescent="0.3">
      <c r="B32" s="1" t="s">
        <v>240</v>
      </c>
      <c r="C32" s="2" t="s">
        <v>241</v>
      </c>
    </row>
    <row r="33" spans="2:3" ht="42" customHeight="1" x14ac:dyDescent="0.3">
      <c r="B33" s="1" t="s">
        <v>242</v>
      </c>
      <c r="C33" s="2" t="s">
        <v>243</v>
      </c>
    </row>
    <row r="34" spans="2:3" ht="42" customHeight="1" x14ac:dyDescent="0.3">
      <c r="B34" s="1" t="s">
        <v>244</v>
      </c>
      <c r="C34" s="2" t="s">
        <v>245</v>
      </c>
    </row>
    <row r="35" spans="2:3" ht="28.05" customHeight="1" x14ac:dyDescent="0.3">
      <c r="B35" s="1" t="s">
        <v>246</v>
      </c>
      <c r="C35" s="2" t="s">
        <v>247</v>
      </c>
    </row>
    <row r="36" spans="2:3" ht="19.95" customHeight="1" x14ac:dyDescent="0.3">
      <c r="B36" s="1" t="s">
        <v>248</v>
      </c>
      <c r="C36" s="2" t="s">
        <v>249</v>
      </c>
    </row>
    <row r="38" spans="2:3" x14ac:dyDescent="0.3">
      <c r="B38" s="45" t="s">
        <v>250</v>
      </c>
      <c r="C38" s="46"/>
    </row>
    <row r="39" spans="2:3" ht="42" customHeight="1" x14ac:dyDescent="0.3">
      <c r="B39" s="1" t="s">
        <v>251</v>
      </c>
      <c r="C39" s="2" t="s">
        <v>252</v>
      </c>
    </row>
    <row r="40" spans="2:3" ht="28.05" customHeight="1" x14ac:dyDescent="0.3">
      <c r="B40" s="1" t="s">
        <v>253</v>
      </c>
      <c r="C40" s="2" t="s">
        <v>254</v>
      </c>
    </row>
    <row r="41" spans="2:3" ht="19.95" customHeight="1" x14ac:dyDescent="0.3">
      <c r="B41" s="1" t="s">
        <v>255</v>
      </c>
      <c r="C41" s="2" t="s">
        <v>256</v>
      </c>
    </row>
    <row r="42" spans="2:3" ht="28.05" customHeight="1" x14ac:dyDescent="0.3">
      <c r="B42" s="1" t="s">
        <v>257</v>
      </c>
      <c r="C42" s="2" t="s">
        <v>258</v>
      </c>
    </row>
    <row r="43" spans="2:3" ht="19.95" customHeight="1" x14ac:dyDescent="0.3">
      <c r="B43" s="1" t="s">
        <v>259</v>
      </c>
      <c r="C43" s="2" t="s">
        <v>260</v>
      </c>
    </row>
    <row r="44" spans="2:3" ht="19.95" customHeight="1" x14ac:dyDescent="0.3">
      <c r="B44" s="1" t="s">
        <v>208</v>
      </c>
      <c r="C44" s="2" t="s">
        <v>261</v>
      </c>
    </row>
    <row r="45" spans="2:3" ht="19.95" customHeight="1" x14ac:dyDescent="0.3"/>
    <row r="46" spans="2:3" ht="28.05" customHeight="1" x14ac:dyDescent="0.3">
      <c r="B46" s="26" t="s">
        <v>262</v>
      </c>
      <c r="C46" s="27"/>
    </row>
    <row r="47" spans="2:3" ht="28.05" customHeight="1" x14ac:dyDescent="0.3">
      <c r="B47" s="1" t="s">
        <v>263</v>
      </c>
      <c r="C47" s="2" t="s">
        <v>264</v>
      </c>
    </row>
    <row r="48" spans="2:3" ht="28.05" customHeight="1" x14ac:dyDescent="0.3">
      <c r="B48" s="1" t="s">
        <v>265</v>
      </c>
      <c r="C48" s="2" t="s">
        <v>266</v>
      </c>
    </row>
    <row r="49" spans="2:3" x14ac:dyDescent="0.3">
      <c r="B49" s="1" t="s">
        <v>267</v>
      </c>
      <c r="C49" s="2" t="s">
        <v>268</v>
      </c>
    </row>
    <row r="50" spans="2:3" x14ac:dyDescent="0.3">
      <c r="B50" s="43" t="s">
        <v>269</v>
      </c>
      <c r="C50" s="44" t="s">
        <v>270</v>
      </c>
    </row>
    <row r="51" spans="2:3" ht="112.05" customHeight="1" x14ac:dyDescent="0.3">
      <c r="B51" s="1" t="s">
        <v>271</v>
      </c>
      <c r="C51" s="2" t="s">
        <v>272</v>
      </c>
    </row>
    <row r="52" spans="2:3" ht="42" customHeight="1" x14ac:dyDescent="0.3">
      <c r="B52" s="1" t="s">
        <v>273</v>
      </c>
      <c r="C52" s="2" t="s">
        <v>274</v>
      </c>
    </row>
    <row r="53" spans="2:3" ht="42" customHeight="1" x14ac:dyDescent="0.3">
      <c r="B53" s="1" t="s">
        <v>275</v>
      </c>
      <c r="C53" s="2" t="s">
        <v>276</v>
      </c>
    </row>
    <row r="54" spans="2:3" ht="42" customHeight="1" x14ac:dyDescent="0.3">
      <c r="B54" s="1" t="s">
        <v>277</v>
      </c>
      <c r="C54" s="2" t="s">
        <v>278</v>
      </c>
    </row>
    <row r="55" spans="2:3" x14ac:dyDescent="0.3">
      <c r="B55" s="1" t="s">
        <v>279</v>
      </c>
      <c r="C55" s="2" t="s">
        <v>280</v>
      </c>
    </row>
    <row r="56" spans="2:3" x14ac:dyDescent="0.3">
      <c r="B56" s="43" t="s">
        <v>281</v>
      </c>
      <c r="C56" s="44" t="s">
        <v>282</v>
      </c>
    </row>
    <row r="57" spans="2:3" ht="70.05" customHeight="1" x14ac:dyDescent="0.3"/>
    <row r="58" spans="2:3" ht="42" customHeight="1" x14ac:dyDescent="0.3">
      <c r="B58" s="26" t="s">
        <v>283</v>
      </c>
      <c r="C58" s="27"/>
    </row>
    <row r="59" spans="2:3" ht="42" customHeight="1" x14ac:dyDescent="0.3">
      <c r="B59" s="1" t="s">
        <v>284</v>
      </c>
      <c r="C59" s="2" t="s">
        <v>285</v>
      </c>
    </row>
    <row r="60" spans="2:3" ht="28.05" customHeight="1" x14ac:dyDescent="0.3">
      <c r="B60" s="1" t="s">
        <v>286</v>
      </c>
      <c r="C60" s="2" t="s">
        <v>287</v>
      </c>
    </row>
    <row r="61" spans="2:3" ht="28.05" customHeight="1" x14ac:dyDescent="0.3">
      <c r="B61" s="1" t="s">
        <v>288</v>
      </c>
      <c r="C61" s="2" t="s">
        <v>289</v>
      </c>
    </row>
    <row r="62" spans="2:3" ht="39.6" x14ac:dyDescent="0.3">
      <c r="B62" s="1" t="s">
        <v>290</v>
      </c>
      <c r="C62" s="2" t="s">
        <v>291</v>
      </c>
    </row>
    <row r="63" spans="2:3" x14ac:dyDescent="0.3">
      <c r="B63" s="49"/>
      <c r="C63" s="49"/>
    </row>
    <row r="64" spans="2:3" ht="28.05" customHeight="1" x14ac:dyDescent="0.3">
      <c r="B64" s="26" t="s">
        <v>292</v>
      </c>
      <c r="C64" s="27"/>
    </row>
    <row r="65" spans="2:3" ht="28.05" customHeight="1" x14ac:dyDescent="0.3">
      <c r="B65" s="1" t="s">
        <v>293</v>
      </c>
      <c r="C65" s="2" t="s">
        <v>294</v>
      </c>
    </row>
    <row r="66" spans="2:3" ht="28.05" customHeight="1" x14ac:dyDescent="0.3">
      <c r="B66" s="1" t="s">
        <v>295</v>
      </c>
      <c r="C66" s="2" t="s">
        <v>296</v>
      </c>
    </row>
    <row r="67" spans="2:3" ht="28.05" customHeight="1" x14ac:dyDescent="0.3">
      <c r="B67" s="1" t="s">
        <v>297</v>
      </c>
      <c r="C67" s="2" t="s">
        <v>298</v>
      </c>
    </row>
    <row r="68" spans="2:3" ht="26.4" x14ac:dyDescent="0.3">
      <c r="B68" s="1" t="s">
        <v>299</v>
      </c>
      <c r="C68" s="2" t="s">
        <v>300</v>
      </c>
    </row>
    <row r="69" spans="2:3" x14ac:dyDescent="0.3">
      <c r="B69" s="43" t="s">
        <v>301</v>
      </c>
      <c r="C69" s="44" t="s">
        <v>302</v>
      </c>
    </row>
    <row r="70" spans="2:3" ht="28.05" customHeight="1" x14ac:dyDescent="0.3"/>
    <row r="71" spans="2:3" ht="28.05" customHeight="1" x14ac:dyDescent="0.3">
      <c r="B71" s="26" t="s">
        <v>303</v>
      </c>
      <c r="C71" s="27"/>
    </row>
    <row r="72" spans="2:3" ht="19.95" customHeight="1" x14ac:dyDescent="0.3">
      <c r="B72" s="1" t="s">
        <v>304</v>
      </c>
      <c r="C72" s="2" t="s">
        <v>305</v>
      </c>
    </row>
    <row r="73" spans="2:3" ht="28.05" customHeight="1" x14ac:dyDescent="0.3">
      <c r="B73" s="1" t="s">
        <v>306</v>
      </c>
      <c r="C73" s="2" t="s">
        <v>307</v>
      </c>
    </row>
    <row r="74" spans="2:3" ht="55.95" customHeight="1" x14ac:dyDescent="0.3">
      <c r="B74" s="1" t="s">
        <v>308</v>
      </c>
      <c r="C74" s="2" t="s">
        <v>309</v>
      </c>
    </row>
    <row r="75" spans="2:3" ht="26.4" x14ac:dyDescent="0.3">
      <c r="B75" s="1" t="s">
        <v>310</v>
      </c>
      <c r="C75" s="2" t="s">
        <v>311</v>
      </c>
    </row>
    <row r="76" spans="2:3" x14ac:dyDescent="0.3">
      <c r="B76" s="49"/>
      <c r="C76" s="49"/>
    </row>
    <row r="77" spans="2:3" ht="28.05" customHeight="1" x14ac:dyDescent="0.3">
      <c r="B77" s="26" t="s">
        <v>312</v>
      </c>
      <c r="C77" s="27"/>
    </row>
    <row r="78" spans="2:3" ht="28.05" customHeight="1" x14ac:dyDescent="0.3">
      <c r="B78" s="1" t="s">
        <v>313</v>
      </c>
      <c r="C78" s="2" t="s">
        <v>314</v>
      </c>
    </row>
    <row r="79" spans="2:3" ht="42" customHeight="1" x14ac:dyDescent="0.3">
      <c r="B79" s="1" t="s">
        <v>315</v>
      </c>
      <c r="C79" s="2" t="s">
        <v>316</v>
      </c>
    </row>
    <row r="80" spans="2:3" ht="28.05" customHeight="1" x14ac:dyDescent="0.3">
      <c r="B80" s="1" t="s">
        <v>317</v>
      </c>
      <c r="C80" s="2" t="s">
        <v>318</v>
      </c>
    </row>
    <row r="81" spans="2:3" ht="28.05" customHeight="1" x14ac:dyDescent="0.3">
      <c r="B81" s="1" t="s">
        <v>319</v>
      </c>
      <c r="C81" s="2" t="s">
        <v>320</v>
      </c>
    </row>
    <row r="82" spans="2:3" ht="28.05" customHeight="1" x14ac:dyDescent="0.3">
      <c r="B82" s="1" t="s">
        <v>321</v>
      </c>
      <c r="C82" s="2" t="s">
        <v>322</v>
      </c>
    </row>
    <row r="84" spans="2:3" x14ac:dyDescent="0.3">
      <c r="B84" s="45" t="s">
        <v>323</v>
      </c>
      <c r="C84" s="46"/>
    </row>
    <row r="85" spans="2:3" ht="42" customHeight="1" x14ac:dyDescent="0.3">
      <c r="B85" s="1" t="s">
        <v>324</v>
      </c>
      <c r="C85" s="2" t="s">
        <v>325</v>
      </c>
    </row>
    <row r="86" spans="2:3" ht="55.95" customHeight="1" x14ac:dyDescent="0.3">
      <c r="B86" s="1" t="s">
        <v>326</v>
      </c>
      <c r="C86" s="2" t="s">
        <v>327</v>
      </c>
    </row>
    <row r="87" spans="2:3" ht="28.05" customHeight="1" x14ac:dyDescent="0.3">
      <c r="B87" s="1" t="s">
        <v>328</v>
      </c>
      <c r="C87" s="2" t="s">
        <v>329</v>
      </c>
    </row>
    <row r="88" spans="2:3" ht="28.05" customHeight="1" x14ac:dyDescent="0.3">
      <c r="B88" s="1" t="s">
        <v>330</v>
      </c>
      <c r="C88" s="2" t="s">
        <v>331</v>
      </c>
    </row>
    <row r="89" spans="2:3" ht="26.4" x14ac:dyDescent="0.3">
      <c r="B89" s="1" t="s">
        <v>332</v>
      </c>
      <c r="C89" s="2" t="s">
        <v>333</v>
      </c>
    </row>
    <row r="90" spans="2:3" x14ac:dyDescent="0.3">
      <c r="B90" s="43" t="s">
        <v>334</v>
      </c>
      <c r="C90" s="44" t="s">
        <v>335</v>
      </c>
    </row>
    <row r="91" spans="2:3" ht="28.05" customHeight="1" x14ac:dyDescent="0.3"/>
    <row r="92" spans="2:3" ht="42" customHeight="1" x14ac:dyDescent="0.3">
      <c r="B92" s="26" t="s">
        <v>336</v>
      </c>
      <c r="C92" s="27"/>
    </row>
    <row r="93" spans="2:3" ht="28.05" customHeight="1" x14ac:dyDescent="0.3">
      <c r="B93" s="1" t="s">
        <v>337</v>
      </c>
      <c r="C93" s="2" t="s">
        <v>338</v>
      </c>
    </row>
    <row r="94" spans="2:3" ht="39.6" x14ac:dyDescent="0.3">
      <c r="B94" s="1" t="s">
        <v>339</v>
      </c>
      <c r="C94" s="2" t="s">
        <v>340</v>
      </c>
    </row>
    <row r="95" spans="2:3" x14ac:dyDescent="0.3">
      <c r="B95" s="43" t="s">
        <v>341</v>
      </c>
      <c r="C95" s="44" t="s">
        <v>342</v>
      </c>
    </row>
    <row r="96" spans="2:3" ht="42" customHeight="1" x14ac:dyDescent="0.3">
      <c r="B96" s="1" t="s">
        <v>343</v>
      </c>
      <c r="C96" s="2" t="s">
        <v>344</v>
      </c>
    </row>
    <row r="97" spans="2:3" ht="55.95" customHeight="1" x14ac:dyDescent="0.3"/>
    <row r="98" spans="2:3" ht="28.05" customHeight="1" x14ac:dyDescent="0.3">
      <c r="B98" s="26" t="s">
        <v>345</v>
      </c>
      <c r="C98" s="27"/>
    </row>
    <row r="99" spans="2:3" x14ac:dyDescent="0.3">
      <c r="B99" s="1" t="s">
        <v>346</v>
      </c>
      <c r="C99" s="2" t="s">
        <v>347</v>
      </c>
    </row>
    <row r="100" spans="2:3" x14ac:dyDescent="0.3">
      <c r="B100" s="43" t="s">
        <v>348</v>
      </c>
      <c r="C100" s="44" t="s">
        <v>349</v>
      </c>
    </row>
    <row r="101" spans="2:3" ht="28.05" customHeight="1" x14ac:dyDescent="0.3">
      <c r="B101" s="1" t="s">
        <v>350</v>
      </c>
      <c r="C101" s="2" t="s">
        <v>351</v>
      </c>
    </row>
    <row r="102" spans="2:3" ht="19.95" customHeight="1" x14ac:dyDescent="0.3"/>
    <row r="103" spans="2:3" ht="28.05" customHeight="1" x14ac:dyDescent="0.3">
      <c r="B103" s="26" t="s">
        <v>352</v>
      </c>
      <c r="C103" s="27"/>
    </row>
    <row r="104" spans="2:3" ht="28.05" customHeight="1" x14ac:dyDescent="0.3">
      <c r="B104" s="1" t="s">
        <v>353</v>
      </c>
      <c r="C104" s="2" t="s">
        <v>354</v>
      </c>
    </row>
    <row r="105" spans="2:3" ht="28.05" customHeight="1" x14ac:dyDescent="0.3">
      <c r="B105" s="1" t="s">
        <v>355</v>
      </c>
      <c r="C105" s="2" t="s">
        <v>356</v>
      </c>
    </row>
    <row r="106" spans="2:3" ht="19.95" customHeight="1" x14ac:dyDescent="0.3">
      <c r="B106" s="1" t="s">
        <v>357</v>
      </c>
      <c r="C106" s="2" t="s">
        <v>358</v>
      </c>
    </row>
    <row r="108" spans="2:3" ht="27.6" x14ac:dyDescent="0.3">
      <c r="B108" s="26" t="s">
        <v>359</v>
      </c>
      <c r="C108" s="27"/>
    </row>
    <row r="109" spans="2:3" ht="26.4" x14ac:dyDescent="0.3">
      <c r="B109" s="1" t="s">
        <v>360</v>
      </c>
      <c r="C109" s="2" t="s">
        <v>361</v>
      </c>
    </row>
    <row r="110" spans="2:3" x14ac:dyDescent="0.3">
      <c r="B110" s="1" t="s">
        <v>362</v>
      </c>
      <c r="C110" s="2" t="s">
        <v>363</v>
      </c>
    </row>
    <row r="111" spans="2:3" x14ac:dyDescent="0.3">
      <c r="B111" s="1" t="s">
        <v>364</v>
      </c>
      <c r="C111" s="2" t="s">
        <v>365</v>
      </c>
    </row>
    <row r="112" spans="2:3" ht="26.4" x14ac:dyDescent="0.3">
      <c r="B112" s="1" t="s">
        <v>366</v>
      </c>
      <c r="C112" s="2" t="s">
        <v>367</v>
      </c>
    </row>
    <row r="113" spans="2:3" x14ac:dyDescent="0.3">
      <c r="B113" s="1" t="s">
        <v>368</v>
      </c>
      <c r="C113" s="2" t="s">
        <v>369</v>
      </c>
    </row>
    <row r="114" spans="2:3" x14ac:dyDescent="0.3">
      <c r="B114" s="1" t="s">
        <v>370</v>
      </c>
      <c r="C114" s="2" t="s">
        <v>371</v>
      </c>
    </row>
  </sheetData>
  <mergeCells count="17">
    <mergeCell ref="B1:C1"/>
    <mergeCell ref="B4:C4"/>
    <mergeCell ref="B13:C13"/>
    <mergeCell ref="B69:C69"/>
    <mergeCell ref="B30:C30"/>
    <mergeCell ref="B2:C2"/>
    <mergeCell ref="B100:C100"/>
    <mergeCell ref="B38:C38"/>
    <mergeCell ref="B90:C90"/>
    <mergeCell ref="B19:C19"/>
    <mergeCell ref="B95:C95"/>
    <mergeCell ref="B76:C76"/>
    <mergeCell ref="B23:C23"/>
    <mergeCell ref="B84:C84"/>
    <mergeCell ref="B50:C50"/>
    <mergeCell ref="B63:C63"/>
    <mergeCell ref="B56:C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60"/>
  <sheetViews>
    <sheetView showGridLines="0" tabSelected="1" workbookViewId="0">
      <pane xSplit="1" ySplit="4" topLeftCell="B18" activePane="bottomRight" state="frozen"/>
      <selection pane="topRight"/>
      <selection pane="bottomLeft"/>
      <selection pane="bottomRight" activeCell="D20" sqref="D20"/>
    </sheetView>
  </sheetViews>
  <sheetFormatPr defaultRowHeight="14.4" x14ac:dyDescent="0.3"/>
  <cols>
    <col min="1" max="1" width="4" style="6" customWidth="1"/>
    <col min="2" max="2" width="8" style="6" customWidth="1"/>
    <col min="3" max="3" width="32" style="6" customWidth="1"/>
    <col min="4" max="4" width="50" style="6" customWidth="1"/>
    <col min="5" max="5" width="12" style="13" customWidth="1"/>
    <col min="6" max="7" width="12" style="21" customWidth="1"/>
    <col min="8" max="8" width="8" style="6" customWidth="1"/>
    <col min="9" max="9" width="35" style="6" customWidth="1"/>
    <col min="10" max="10" width="8.88671875" style="6" customWidth="1"/>
    <col min="11" max="16384" width="8.88671875" style="6"/>
  </cols>
  <sheetData>
    <row r="1" spans="2:11" ht="28.05" customHeight="1" x14ac:dyDescent="0.3">
      <c r="B1" s="54" t="s">
        <v>0</v>
      </c>
      <c r="C1" s="55"/>
      <c r="D1" s="55"/>
      <c r="E1" s="56"/>
      <c r="F1" s="57"/>
      <c r="G1" s="57"/>
      <c r="H1" s="55"/>
      <c r="I1" s="55"/>
      <c r="K1" s="6" t="s">
        <v>1</v>
      </c>
    </row>
    <row r="2" spans="2:11" x14ac:dyDescent="0.3">
      <c r="B2" s="58" t="s">
        <v>2</v>
      </c>
      <c r="C2" s="55"/>
      <c r="D2" s="55"/>
      <c r="E2" s="56"/>
      <c r="F2" s="57"/>
      <c r="G2" s="57"/>
      <c r="H2" s="55"/>
      <c r="I2" s="55"/>
      <c r="K2" s="6" t="s">
        <v>3</v>
      </c>
    </row>
    <row r="3" spans="2:11" x14ac:dyDescent="0.3">
      <c r="K3" s="6" t="s">
        <v>4</v>
      </c>
    </row>
    <row r="4" spans="2:11" ht="24" customHeight="1" x14ac:dyDescent="0.3">
      <c r="B4" s="3" t="s">
        <v>5</v>
      </c>
      <c r="C4" s="3" t="s">
        <v>6</v>
      </c>
      <c r="D4" s="3" t="s">
        <v>7</v>
      </c>
      <c r="E4" s="14" t="s">
        <v>8</v>
      </c>
      <c r="F4" s="22" t="s">
        <v>9</v>
      </c>
      <c r="G4" s="22" t="s">
        <v>10</v>
      </c>
      <c r="H4" s="3" t="s">
        <v>11</v>
      </c>
      <c r="I4" s="3" t="s">
        <v>12</v>
      </c>
    </row>
    <row r="5" spans="2:11" ht="28.05" customHeight="1" x14ac:dyDescent="0.3">
      <c r="B5" s="7" t="s">
        <v>13</v>
      </c>
      <c r="C5" s="8" t="s">
        <v>14</v>
      </c>
      <c r="D5" s="8" t="s">
        <v>15</v>
      </c>
      <c r="E5" s="15" t="s">
        <v>16</v>
      </c>
      <c r="F5" s="23"/>
      <c r="G5" s="23"/>
      <c r="H5" s="9"/>
      <c r="I5" s="8" t="s">
        <v>17</v>
      </c>
    </row>
    <row r="6" spans="2:11" ht="28.05" customHeight="1" x14ac:dyDescent="0.3">
      <c r="B6" s="7" t="s">
        <v>18</v>
      </c>
      <c r="C6" s="8" t="s">
        <v>19</v>
      </c>
      <c r="D6" s="8" t="s">
        <v>20</v>
      </c>
      <c r="E6" s="15" t="s">
        <v>16</v>
      </c>
      <c r="F6" s="23"/>
      <c r="G6" s="23"/>
      <c r="H6" s="9"/>
      <c r="I6" s="8" t="s">
        <v>17</v>
      </c>
    </row>
    <row r="7" spans="2:11" ht="28.05" customHeight="1" x14ac:dyDescent="0.3">
      <c r="B7" s="7" t="s">
        <v>21</v>
      </c>
      <c r="C7" s="8" t="s">
        <v>22</v>
      </c>
      <c r="D7" s="8" t="s">
        <v>23</v>
      </c>
      <c r="E7" s="15" t="s">
        <v>16</v>
      </c>
      <c r="F7" s="23"/>
      <c r="G7" s="23"/>
      <c r="H7" s="9"/>
      <c r="I7" s="8" t="s">
        <v>18</v>
      </c>
    </row>
    <row r="8" spans="2:11" ht="28.05" customHeight="1" x14ac:dyDescent="0.3">
      <c r="B8" s="7" t="s">
        <v>24</v>
      </c>
      <c r="C8" s="8" t="s">
        <v>25</v>
      </c>
      <c r="D8" s="8" t="s">
        <v>26</v>
      </c>
      <c r="E8" s="15" t="s">
        <v>16</v>
      </c>
      <c r="F8" s="23"/>
      <c r="G8" s="23"/>
      <c r="H8" s="9"/>
      <c r="I8" s="8" t="s">
        <v>18</v>
      </c>
    </row>
    <row r="9" spans="2:11" ht="28.05" customHeight="1" x14ac:dyDescent="0.3">
      <c r="B9" s="7" t="s">
        <v>27</v>
      </c>
      <c r="C9" s="8" t="s">
        <v>28</v>
      </c>
      <c r="D9" s="8" t="s">
        <v>29</v>
      </c>
      <c r="E9" s="15" t="s">
        <v>16</v>
      </c>
      <c r="F9" s="23"/>
      <c r="G9" s="23"/>
      <c r="H9" s="9"/>
      <c r="I9" s="8" t="s">
        <v>18</v>
      </c>
    </row>
    <row r="10" spans="2:11" ht="28.05" customHeight="1" x14ac:dyDescent="0.3">
      <c r="B10" s="7" t="s">
        <v>30</v>
      </c>
      <c r="C10" s="8" t="s">
        <v>31</v>
      </c>
      <c r="D10" s="8" t="s">
        <v>32</v>
      </c>
      <c r="E10" s="15" t="s">
        <v>16</v>
      </c>
      <c r="F10" s="23"/>
      <c r="G10" s="23"/>
      <c r="H10" s="9"/>
      <c r="I10" s="8" t="s">
        <v>33</v>
      </c>
    </row>
    <row r="11" spans="2:11" ht="28.05" customHeight="1" x14ac:dyDescent="0.3">
      <c r="B11" s="7" t="s">
        <v>34</v>
      </c>
      <c r="C11" s="8" t="s">
        <v>35</v>
      </c>
      <c r="D11" s="8" t="s">
        <v>36</v>
      </c>
      <c r="E11" s="15" t="s">
        <v>16</v>
      </c>
      <c r="F11" s="23"/>
      <c r="G11" s="23"/>
      <c r="H11" s="9"/>
      <c r="I11" s="8" t="s">
        <v>18</v>
      </c>
    </row>
    <row r="12" spans="2:11" ht="28.05" customHeight="1" x14ac:dyDescent="0.3">
      <c r="B12" s="7" t="s">
        <v>37</v>
      </c>
      <c r="C12" s="8" t="s">
        <v>38</v>
      </c>
      <c r="D12" s="8" t="s">
        <v>39</v>
      </c>
      <c r="E12" s="15" t="s">
        <v>16</v>
      </c>
      <c r="F12" s="23"/>
      <c r="G12" s="23"/>
      <c r="H12" s="9"/>
      <c r="I12" s="8" t="s">
        <v>30</v>
      </c>
    </row>
    <row r="13" spans="2:11" ht="28.05" customHeight="1" x14ac:dyDescent="0.3">
      <c r="B13" s="7" t="s">
        <v>40</v>
      </c>
      <c r="C13" s="8" t="s">
        <v>41</v>
      </c>
      <c r="D13" s="8" t="s">
        <v>42</v>
      </c>
      <c r="E13" s="15" t="s">
        <v>16</v>
      </c>
      <c r="F13" s="23"/>
      <c r="G13" s="23"/>
      <c r="H13" s="9"/>
      <c r="I13" s="8" t="s">
        <v>30</v>
      </c>
    </row>
    <row r="14" spans="2:11" ht="84" customHeight="1" x14ac:dyDescent="0.3">
      <c r="B14" s="7" t="s">
        <v>43</v>
      </c>
      <c r="C14" s="8" t="s">
        <v>44</v>
      </c>
      <c r="D14" s="8" t="s">
        <v>45</v>
      </c>
      <c r="E14" s="15" t="s">
        <v>1</v>
      </c>
      <c r="F14" s="23">
        <v>46144</v>
      </c>
      <c r="G14" s="23">
        <v>46144</v>
      </c>
      <c r="H14" s="9">
        <v>8</v>
      </c>
      <c r="I14" s="8" t="s">
        <v>46</v>
      </c>
    </row>
    <row r="15" spans="2:11" ht="70.05" customHeight="1" x14ac:dyDescent="0.3">
      <c r="B15" s="7" t="s">
        <v>47</v>
      </c>
      <c r="C15" s="8" t="s">
        <v>48</v>
      </c>
      <c r="D15" s="8" t="s">
        <v>49</v>
      </c>
      <c r="E15" s="15" t="s">
        <v>1</v>
      </c>
      <c r="F15" s="23">
        <v>46144</v>
      </c>
      <c r="G15" s="23">
        <v>46144</v>
      </c>
      <c r="H15" s="9">
        <v>12</v>
      </c>
      <c r="I15" s="8" t="s">
        <v>43</v>
      </c>
    </row>
    <row r="16" spans="2:11" ht="70.05" customHeight="1" x14ac:dyDescent="0.3">
      <c r="B16" s="7" t="s">
        <v>386</v>
      </c>
      <c r="C16" s="8" t="s">
        <v>387</v>
      </c>
      <c r="D16" s="8" t="s">
        <v>388</v>
      </c>
      <c r="E16" s="15" t="s">
        <v>1</v>
      </c>
      <c r="F16" s="23">
        <v>46144</v>
      </c>
      <c r="G16" s="23">
        <v>46144</v>
      </c>
      <c r="H16" s="9">
        <v>6</v>
      </c>
      <c r="I16" s="8" t="s">
        <v>47</v>
      </c>
    </row>
    <row r="17" spans="2:9" ht="55.95" customHeight="1" x14ac:dyDescent="0.3">
      <c r="B17" s="7" t="s">
        <v>50</v>
      </c>
      <c r="C17" s="8" t="s">
        <v>51</v>
      </c>
      <c r="D17" s="8" t="s">
        <v>52</v>
      </c>
      <c r="E17" s="15" t="s">
        <v>1</v>
      </c>
      <c r="F17" s="23">
        <v>46144</v>
      </c>
      <c r="G17" s="23">
        <v>46144</v>
      </c>
      <c r="H17" s="9">
        <v>6</v>
      </c>
      <c r="I17" s="8" t="s">
        <v>47</v>
      </c>
    </row>
    <row r="18" spans="2:9" ht="90" customHeight="1" x14ac:dyDescent="0.3">
      <c r="B18" s="7" t="s">
        <v>54</v>
      </c>
      <c r="C18" s="8" t="s">
        <v>55</v>
      </c>
      <c r="D18" s="8" t="s">
        <v>56</v>
      </c>
      <c r="E18" s="15" t="s">
        <v>1</v>
      </c>
      <c r="F18" s="23">
        <v>46144</v>
      </c>
      <c r="G18" s="23">
        <v>46144</v>
      </c>
      <c r="H18" s="9">
        <v>16</v>
      </c>
      <c r="I18" s="8" t="s">
        <v>50</v>
      </c>
    </row>
    <row r="19" spans="2:9" ht="90" customHeight="1" x14ac:dyDescent="0.3">
      <c r="B19" s="7" t="s">
        <v>453</v>
      </c>
      <c r="C19" s="8" t="s">
        <v>454</v>
      </c>
      <c r="D19" s="8" t="s">
        <v>455</v>
      </c>
      <c r="E19" s="15" t="s">
        <v>1</v>
      </c>
      <c r="F19" s="23">
        <v>46145</v>
      </c>
      <c r="G19" s="23">
        <v>46145</v>
      </c>
      <c r="H19" s="9">
        <v>8</v>
      </c>
      <c r="I19" s="8" t="s">
        <v>54</v>
      </c>
    </row>
    <row r="20" spans="2:9" ht="126" customHeight="1" x14ac:dyDescent="0.3">
      <c r="B20" s="10" t="s">
        <v>57</v>
      </c>
      <c r="C20" s="11" t="s">
        <v>58</v>
      </c>
      <c r="D20" s="11" t="s">
        <v>59</v>
      </c>
      <c r="E20" s="16" t="s">
        <v>53</v>
      </c>
      <c r="F20" s="24"/>
      <c r="G20" s="24"/>
      <c r="H20" s="12">
        <v>14</v>
      </c>
      <c r="I20" s="11" t="s">
        <v>54</v>
      </c>
    </row>
    <row r="21" spans="2:9" ht="55.95" customHeight="1" x14ac:dyDescent="0.3">
      <c r="B21" s="10" t="s">
        <v>60</v>
      </c>
      <c r="C21" s="11" t="s">
        <v>61</v>
      </c>
      <c r="D21" s="11" t="s">
        <v>62</v>
      </c>
      <c r="E21" s="16" t="s">
        <v>53</v>
      </c>
      <c r="F21" s="24"/>
      <c r="G21" s="24"/>
      <c r="H21" s="12">
        <v>12</v>
      </c>
      <c r="I21" s="11" t="s">
        <v>54</v>
      </c>
    </row>
    <row r="22" spans="2:9" ht="70.05" customHeight="1" x14ac:dyDescent="0.3">
      <c r="B22" s="10" t="s">
        <v>63</v>
      </c>
      <c r="C22" s="11" t="s">
        <v>64</v>
      </c>
      <c r="D22" s="11" t="s">
        <v>65</v>
      </c>
      <c r="E22" s="16" t="s">
        <v>53</v>
      </c>
      <c r="F22" s="24"/>
      <c r="G22" s="24"/>
      <c r="H22" s="12">
        <v>6</v>
      </c>
      <c r="I22" s="11" t="s">
        <v>54</v>
      </c>
    </row>
    <row r="23" spans="2:9" ht="55.95" customHeight="1" x14ac:dyDescent="0.3">
      <c r="B23" s="10" t="s">
        <v>66</v>
      </c>
      <c r="C23" s="11" t="s">
        <v>67</v>
      </c>
      <c r="D23" s="11" t="s">
        <v>68</v>
      </c>
      <c r="E23" s="16" t="s">
        <v>53</v>
      </c>
      <c r="F23" s="24"/>
      <c r="G23" s="24"/>
      <c r="H23" s="12">
        <v>6</v>
      </c>
      <c r="I23" s="11" t="s">
        <v>69</v>
      </c>
    </row>
    <row r="24" spans="2:9" ht="55.95" customHeight="1" x14ac:dyDescent="0.3">
      <c r="B24" s="10" t="s">
        <v>70</v>
      </c>
      <c r="C24" s="11" t="s">
        <v>71</v>
      </c>
      <c r="D24" s="11" t="s">
        <v>72</v>
      </c>
      <c r="E24" s="16" t="s">
        <v>53</v>
      </c>
      <c r="F24" s="24"/>
      <c r="G24" s="24"/>
      <c r="H24" s="12">
        <v>10</v>
      </c>
      <c r="I24" s="11" t="s">
        <v>73</v>
      </c>
    </row>
    <row r="25" spans="2:9" ht="70.05" customHeight="1" x14ac:dyDescent="0.3">
      <c r="B25" s="10" t="s">
        <v>74</v>
      </c>
      <c r="C25" s="11" t="s">
        <v>75</v>
      </c>
      <c r="D25" s="11" t="s">
        <v>76</v>
      </c>
      <c r="E25" s="16" t="s">
        <v>53</v>
      </c>
      <c r="F25" s="24"/>
      <c r="G25" s="24"/>
      <c r="H25" s="12">
        <v>4</v>
      </c>
      <c r="I25" s="11" t="s">
        <v>70</v>
      </c>
    </row>
    <row r="26" spans="2:9" ht="55.95" customHeight="1" x14ac:dyDescent="0.3">
      <c r="B26" s="10" t="s">
        <v>77</v>
      </c>
      <c r="C26" s="11" t="s">
        <v>78</v>
      </c>
      <c r="D26" s="11" t="s">
        <v>79</v>
      </c>
      <c r="E26" s="16" t="s">
        <v>53</v>
      </c>
      <c r="F26" s="24"/>
      <c r="G26" s="24"/>
      <c r="H26" s="12">
        <v>8</v>
      </c>
      <c r="I26" s="11" t="s">
        <v>80</v>
      </c>
    </row>
    <row r="27" spans="2:9" ht="55.95" customHeight="1" x14ac:dyDescent="0.3">
      <c r="B27" s="10" t="s">
        <v>81</v>
      </c>
      <c r="C27" s="11" t="s">
        <v>82</v>
      </c>
      <c r="D27" s="11" t="s">
        <v>83</v>
      </c>
      <c r="E27" s="16" t="s">
        <v>53</v>
      </c>
      <c r="F27" s="24"/>
      <c r="G27" s="24"/>
      <c r="H27" s="12">
        <v>6</v>
      </c>
      <c r="I27" s="11" t="s">
        <v>84</v>
      </c>
    </row>
    <row r="28" spans="2:9" ht="70.05" customHeight="1" x14ac:dyDescent="0.3">
      <c r="B28" s="10" t="s">
        <v>85</v>
      </c>
      <c r="C28" s="11" t="s">
        <v>86</v>
      </c>
      <c r="D28" s="11" t="s">
        <v>87</v>
      </c>
      <c r="E28" s="16" t="s">
        <v>53</v>
      </c>
      <c r="F28" s="24"/>
      <c r="G28" s="24"/>
      <c r="H28" s="12">
        <v>6</v>
      </c>
      <c r="I28" s="11" t="s">
        <v>81</v>
      </c>
    </row>
    <row r="29" spans="2:9" ht="42" customHeight="1" x14ac:dyDescent="0.3">
      <c r="B29" s="10" t="s">
        <v>88</v>
      </c>
      <c r="C29" s="11" t="s">
        <v>89</v>
      </c>
      <c r="D29" s="11" t="s">
        <v>90</v>
      </c>
      <c r="E29" s="16" t="s">
        <v>53</v>
      </c>
      <c r="F29" s="24"/>
      <c r="G29" s="24"/>
      <c r="H29" s="12">
        <v>4</v>
      </c>
      <c r="I29" s="11" t="s">
        <v>81</v>
      </c>
    </row>
    <row r="30" spans="2:9" ht="55.95" customHeight="1" x14ac:dyDescent="0.3">
      <c r="B30" s="10" t="s">
        <v>91</v>
      </c>
      <c r="C30" s="11" t="s">
        <v>92</v>
      </c>
      <c r="D30" s="11" t="s">
        <v>93</v>
      </c>
      <c r="E30" s="16" t="s">
        <v>53</v>
      </c>
      <c r="F30" s="24"/>
      <c r="G30" s="24"/>
      <c r="H30" s="12">
        <v>4</v>
      </c>
      <c r="I30" s="11" t="s">
        <v>81</v>
      </c>
    </row>
    <row r="31" spans="2:9" ht="70.05" customHeight="1" x14ac:dyDescent="0.3">
      <c r="B31" s="10" t="s">
        <v>94</v>
      </c>
      <c r="C31" s="11" t="s">
        <v>95</v>
      </c>
      <c r="D31" s="11" t="s">
        <v>96</v>
      </c>
      <c r="E31" s="16" t="s">
        <v>53</v>
      </c>
      <c r="F31" s="24"/>
      <c r="G31" s="24"/>
      <c r="H31" s="12">
        <v>4</v>
      </c>
      <c r="I31" s="11" t="s">
        <v>81</v>
      </c>
    </row>
    <row r="32" spans="2:9" ht="84" customHeight="1" x14ac:dyDescent="0.3">
      <c r="B32" s="10" t="s">
        <v>97</v>
      </c>
      <c r="C32" s="11" t="s">
        <v>98</v>
      </c>
      <c r="D32" s="11" t="s">
        <v>99</v>
      </c>
      <c r="E32" s="16" t="s">
        <v>53</v>
      </c>
      <c r="F32" s="24"/>
      <c r="G32" s="24"/>
      <c r="H32" s="12">
        <v>6</v>
      </c>
      <c r="I32" s="11" t="s">
        <v>100</v>
      </c>
    </row>
    <row r="33" spans="2:9" ht="42" customHeight="1" x14ac:dyDescent="0.3">
      <c r="B33" s="10" t="s">
        <v>101</v>
      </c>
      <c r="C33" s="11" t="s">
        <v>102</v>
      </c>
      <c r="D33" s="11" t="s">
        <v>103</v>
      </c>
      <c r="E33" s="16" t="s">
        <v>53</v>
      </c>
      <c r="F33" s="24"/>
      <c r="G33" s="24"/>
      <c r="H33" s="12">
        <v>6</v>
      </c>
      <c r="I33" s="11" t="s">
        <v>97</v>
      </c>
    </row>
    <row r="34" spans="2:9" ht="42" customHeight="1" x14ac:dyDescent="0.3">
      <c r="B34" s="10" t="s">
        <v>104</v>
      </c>
      <c r="C34" s="11" t="s">
        <v>105</v>
      </c>
      <c r="D34" s="11" t="s">
        <v>106</v>
      </c>
      <c r="E34" s="16" t="s">
        <v>53</v>
      </c>
      <c r="F34" s="24"/>
      <c r="G34" s="24"/>
      <c r="H34" s="12">
        <v>6</v>
      </c>
      <c r="I34" s="11" t="s">
        <v>101</v>
      </c>
    </row>
    <row r="35" spans="2:9" ht="55.95" customHeight="1" x14ac:dyDescent="0.3">
      <c r="B35" s="10" t="s">
        <v>107</v>
      </c>
      <c r="C35" s="11" t="s">
        <v>108</v>
      </c>
      <c r="D35" s="11" t="s">
        <v>109</v>
      </c>
      <c r="E35" s="16" t="s">
        <v>53</v>
      </c>
      <c r="F35" s="24"/>
      <c r="G35" s="24"/>
      <c r="H35" s="12">
        <v>4</v>
      </c>
      <c r="I35" s="11" t="s">
        <v>101</v>
      </c>
    </row>
    <row r="36" spans="2:9" ht="84" customHeight="1" x14ac:dyDescent="0.3">
      <c r="B36" s="10" t="s">
        <v>110</v>
      </c>
      <c r="C36" s="11" t="s">
        <v>111</v>
      </c>
      <c r="D36" s="11" t="s">
        <v>112</v>
      </c>
      <c r="E36" s="16" t="s">
        <v>53</v>
      </c>
      <c r="F36" s="24"/>
      <c r="G36" s="24"/>
      <c r="H36" s="12">
        <v>8</v>
      </c>
      <c r="I36" s="11" t="s">
        <v>113</v>
      </c>
    </row>
    <row r="37" spans="2:9" ht="42" customHeight="1" x14ac:dyDescent="0.3">
      <c r="B37" s="10" t="s">
        <v>114</v>
      </c>
      <c r="C37" s="11" t="s">
        <v>115</v>
      </c>
      <c r="D37" s="11" t="s">
        <v>116</v>
      </c>
      <c r="E37" s="16" t="s">
        <v>53</v>
      </c>
      <c r="F37" s="24"/>
      <c r="G37" s="24"/>
      <c r="H37" s="12">
        <v>8</v>
      </c>
      <c r="I37" s="11" t="s">
        <v>80</v>
      </c>
    </row>
    <row r="38" spans="2:9" ht="70.05" customHeight="1" x14ac:dyDescent="0.3">
      <c r="B38" s="10" t="s">
        <v>117</v>
      </c>
      <c r="C38" s="11" t="s">
        <v>118</v>
      </c>
      <c r="D38" s="11" t="s">
        <v>119</v>
      </c>
      <c r="E38" s="16" t="s">
        <v>53</v>
      </c>
      <c r="F38" s="24"/>
      <c r="G38" s="24"/>
      <c r="H38" s="12">
        <v>6</v>
      </c>
      <c r="I38" s="11" t="s">
        <v>120</v>
      </c>
    </row>
    <row r="39" spans="2:9" ht="70.05" customHeight="1" x14ac:dyDescent="0.3">
      <c r="B39" s="10" t="s">
        <v>121</v>
      </c>
      <c r="C39" s="11" t="s">
        <v>122</v>
      </c>
      <c r="D39" s="11" t="s">
        <v>123</v>
      </c>
      <c r="E39" s="16" t="s">
        <v>53</v>
      </c>
      <c r="F39" s="24"/>
      <c r="G39" s="24"/>
      <c r="H39" s="12">
        <v>6</v>
      </c>
      <c r="I39" s="11" t="s">
        <v>124</v>
      </c>
    </row>
    <row r="40" spans="2:9" ht="55.95" customHeight="1" x14ac:dyDescent="0.3">
      <c r="B40" s="10" t="s">
        <v>125</v>
      </c>
      <c r="C40" s="11" t="s">
        <v>126</v>
      </c>
      <c r="D40" s="11" t="s">
        <v>127</v>
      </c>
      <c r="E40" s="16" t="s">
        <v>53</v>
      </c>
      <c r="F40" s="24"/>
      <c r="G40" s="24"/>
      <c r="H40" s="12">
        <v>8</v>
      </c>
      <c r="I40" s="11" t="s">
        <v>113</v>
      </c>
    </row>
    <row r="41" spans="2:9" ht="42" customHeight="1" x14ac:dyDescent="0.3">
      <c r="B41" s="10" t="s">
        <v>128</v>
      </c>
      <c r="C41" s="11" t="s">
        <v>129</v>
      </c>
      <c r="D41" s="11" t="s">
        <v>130</v>
      </c>
      <c r="E41" s="16" t="s">
        <v>53</v>
      </c>
      <c r="F41" s="24"/>
      <c r="G41" s="24"/>
      <c r="H41" s="12">
        <v>4</v>
      </c>
      <c r="I41" s="11" t="s">
        <v>125</v>
      </c>
    </row>
    <row r="42" spans="2:9" ht="42" customHeight="1" x14ac:dyDescent="0.3">
      <c r="B42" s="10" t="s">
        <v>131</v>
      </c>
      <c r="C42" s="11" t="s">
        <v>132</v>
      </c>
      <c r="D42" s="11" t="s">
        <v>133</v>
      </c>
      <c r="E42" s="16" t="s">
        <v>53</v>
      </c>
      <c r="F42" s="24"/>
      <c r="G42" s="24"/>
      <c r="H42" s="12">
        <v>8</v>
      </c>
      <c r="I42" s="11" t="s">
        <v>80</v>
      </c>
    </row>
    <row r="43" spans="2:9" ht="55.95" customHeight="1" x14ac:dyDescent="0.3">
      <c r="B43" s="10" t="s">
        <v>134</v>
      </c>
      <c r="C43" s="11" t="s">
        <v>135</v>
      </c>
      <c r="D43" s="11" t="s">
        <v>136</v>
      </c>
      <c r="E43" s="16" t="s">
        <v>53</v>
      </c>
      <c r="F43" s="24"/>
      <c r="G43" s="24"/>
      <c r="H43" s="12">
        <v>8</v>
      </c>
      <c r="I43" s="11" t="s">
        <v>131</v>
      </c>
    </row>
    <row r="44" spans="2:9" ht="55.95" customHeight="1" x14ac:dyDescent="0.3">
      <c r="B44" s="10" t="s">
        <v>137</v>
      </c>
      <c r="C44" s="11" t="s">
        <v>138</v>
      </c>
      <c r="D44" s="11" t="s">
        <v>139</v>
      </c>
      <c r="E44" s="16" t="s">
        <v>53</v>
      </c>
      <c r="F44" s="24"/>
      <c r="G44" s="24"/>
      <c r="H44" s="12">
        <v>6</v>
      </c>
      <c r="I44" s="11" t="s">
        <v>134</v>
      </c>
    </row>
    <row r="45" spans="2:9" ht="55.95" customHeight="1" x14ac:dyDescent="0.3">
      <c r="B45" s="10" t="s">
        <v>140</v>
      </c>
      <c r="C45" s="11" t="s">
        <v>141</v>
      </c>
      <c r="D45" s="11" t="s">
        <v>142</v>
      </c>
      <c r="E45" s="16" t="s">
        <v>143</v>
      </c>
      <c r="F45" s="24"/>
      <c r="G45" s="24"/>
      <c r="H45" s="12">
        <v>16</v>
      </c>
      <c r="I45" s="11" t="s">
        <v>144</v>
      </c>
    </row>
    <row r="46" spans="2:9" ht="55.95" customHeight="1" x14ac:dyDescent="0.3">
      <c r="B46" s="10" t="s">
        <v>145</v>
      </c>
      <c r="C46" s="11" t="s">
        <v>146</v>
      </c>
      <c r="D46" s="11" t="s">
        <v>147</v>
      </c>
      <c r="E46" s="16" t="s">
        <v>53</v>
      </c>
      <c r="F46" s="24"/>
      <c r="G46" s="24"/>
      <c r="H46" s="12">
        <v>6</v>
      </c>
      <c r="I46" s="11" t="s">
        <v>148</v>
      </c>
    </row>
    <row r="47" spans="2:9" ht="42" customHeight="1" x14ac:dyDescent="0.3">
      <c r="B47" s="10" t="s">
        <v>149</v>
      </c>
      <c r="C47" s="11" t="s">
        <v>150</v>
      </c>
      <c r="D47" s="11" t="s">
        <v>151</v>
      </c>
      <c r="E47" s="16" t="s">
        <v>53</v>
      </c>
      <c r="F47" s="24"/>
      <c r="G47" s="24"/>
      <c r="H47" s="12">
        <v>8</v>
      </c>
      <c r="I47" s="11" t="s">
        <v>145</v>
      </c>
    </row>
    <row r="48" spans="2:9" ht="70.05" customHeight="1" x14ac:dyDescent="0.3">
      <c r="B48" s="10" t="s">
        <v>152</v>
      </c>
      <c r="C48" s="11" t="s">
        <v>153</v>
      </c>
      <c r="D48" s="11" t="s">
        <v>154</v>
      </c>
      <c r="E48" s="16" t="s">
        <v>53</v>
      </c>
      <c r="F48" s="24"/>
      <c r="G48" s="24"/>
      <c r="H48" s="12">
        <v>4</v>
      </c>
      <c r="I48" s="11" t="s">
        <v>155</v>
      </c>
    </row>
    <row r="49" spans="2:9" ht="28.05" customHeight="1" x14ac:dyDescent="0.3">
      <c r="B49" s="10" t="s">
        <v>156</v>
      </c>
      <c r="C49" s="11" t="s">
        <v>157</v>
      </c>
      <c r="D49" s="11" t="s">
        <v>158</v>
      </c>
      <c r="E49" s="16" t="s">
        <v>53</v>
      </c>
      <c r="F49" s="24"/>
      <c r="G49" s="24"/>
      <c r="H49" s="12">
        <v>12</v>
      </c>
      <c r="I49" s="11" t="s">
        <v>159</v>
      </c>
    </row>
    <row r="50" spans="2:9" ht="55.95" customHeight="1" x14ac:dyDescent="0.3">
      <c r="B50" s="10" t="s">
        <v>160</v>
      </c>
      <c r="C50" s="11" t="s">
        <v>161</v>
      </c>
      <c r="D50" s="11" t="s">
        <v>162</v>
      </c>
      <c r="E50" s="16" t="s">
        <v>53</v>
      </c>
      <c r="F50" s="24"/>
      <c r="G50" s="24"/>
      <c r="H50" s="12">
        <v>8</v>
      </c>
      <c r="I50" s="11" t="s">
        <v>156</v>
      </c>
    </row>
    <row r="51" spans="2:9" ht="42" customHeight="1" x14ac:dyDescent="0.3">
      <c r="B51" s="10" t="s">
        <v>163</v>
      </c>
      <c r="C51" s="11" t="s">
        <v>164</v>
      </c>
      <c r="D51" s="11" t="s">
        <v>165</v>
      </c>
      <c r="E51" s="16" t="s">
        <v>53</v>
      </c>
      <c r="F51" s="24"/>
      <c r="G51" s="24"/>
      <c r="H51" s="12">
        <v>16</v>
      </c>
      <c r="I51" s="11" t="s">
        <v>166</v>
      </c>
    </row>
    <row r="52" spans="2:9" ht="55.95" customHeight="1" x14ac:dyDescent="0.3">
      <c r="B52" s="10" t="s">
        <v>167</v>
      </c>
      <c r="C52" s="11" t="s">
        <v>168</v>
      </c>
      <c r="D52" s="11" t="s">
        <v>169</v>
      </c>
      <c r="E52" s="16" t="s">
        <v>53</v>
      </c>
      <c r="F52" s="24"/>
      <c r="G52" s="24"/>
      <c r="H52" s="12">
        <v>6</v>
      </c>
      <c r="I52" s="11" t="s">
        <v>24</v>
      </c>
    </row>
    <row r="53" spans="2:9" ht="28.05" customHeight="1" x14ac:dyDescent="0.3">
      <c r="B53" s="10" t="s">
        <v>170</v>
      </c>
      <c r="C53" s="11" t="s">
        <v>171</v>
      </c>
      <c r="D53" s="11" t="s">
        <v>172</v>
      </c>
      <c r="E53" s="16" t="s">
        <v>53</v>
      </c>
      <c r="F53" s="24"/>
      <c r="G53" s="24"/>
      <c r="H53" s="12">
        <v>10</v>
      </c>
      <c r="I53" s="11" t="s">
        <v>173</v>
      </c>
    </row>
    <row r="54" spans="2:9" ht="55.95" customHeight="1" x14ac:dyDescent="0.3">
      <c r="B54" s="10" t="s">
        <v>174</v>
      </c>
      <c r="C54" s="11" t="s">
        <v>175</v>
      </c>
      <c r="D54" s="11" t="s">
        <v>176</v>
      </c>
      <c r="E54" s="16" t="s">
        <v>53</v>
      </c>
      <c r="F54" s="24"/>
      <c r="G54" s="24"/>
      <c r="H54" s="12">
        <v>10</v>
      </c>
      <c r="I54" s="11" t="s">
        <v>173</v>
      </c>
    </row>
    <row r="55" spans="2:9" ht="42" customHeight="1" x14ac:dyDescent="0.3">
      <c r="B55" s="10" t="s">
        <v>177</v>
      </c>
      <c r="C55" s="11" t="s">
        <v>178</v>
      </c>
      <c r="D55" s="11" t="s">
        <v>179</v>
      </c>
      <c r="E55" s="16" t="s">
        <v>53</v>
      </c>
      <c r="F55" s="24"/>
      <c r="G55" s="24"/>
      <c r="H55" s="12">
        <v>12</v>
      </c>
      <c r="I55" s="11" t="s">
        <v>173</v>
      </c>
    </row>
    <row r="56" spans="2:9" ht="42" customHeight="1" x14ac:dyDescent="0.3">
      <c r="B56" s="10" t="s">
        <v>180</v>
      </c>
      <c r="C56" s="11" t="s">
        <v>181</v>
      </c>
      <c r="D56" s="11" t="s">
        <v>182</v>
      </c>
      <c r="E56" s="16" t="s">
        <v>53</v>
      </c>
      <c r="F56" s="24"/>
      <c r="G56" s="24"/>
      <c r="H56" s="12">
        <v>6</v>
      </c>
      <c r="I56" s="11" t="s">
        <v>183</v>
      </c>
    </row>
    <row r="57" spans="2:9" ht="42" customHeight="1" x14ac:dyDescent="0.3">
      <c r="B57" s="10" t="s">
        <v>184</v>
      </c>
      <c r="C57" s="11" t="s">
        <v>185</v>
      </c>
      <c r="D57" s="11" t="s">
        <v>186</v>
      </c>
      <c r="E57" s="16" t="s">
        <v>53</v>
      </c>
      <c r="F57" s="24"/>
      <c r="G57" s="24"/>
      <c r="H57" s="12">
        <v>8</v>
      </c>
      <c r="I57" s="11" t="s">
        <v>180</v>
      </c>
    </row>
    <row r="58" spans="2:9" ht="42" customHeight="1" x14ac:dyDescent="0.3">
      <c r="B58" s="10" t="s">
        <v>187</v>
      </c>
      <c r="C58" s="11" t="s">
        <v>188</v>
      </c>
      <c r="D58" s="11" t="s">
        <v>189</v>
      </c>
      <c r="E58" s="16" t="s">
        <v>53</v>
      </c>
      <c r="F58" s="24"/>
      <c r="G58" s="24"/>
      <c r="H58" s="12">
        <v>12</v>
      </c>
      <c r="I58" s="11" t="s">
        <v>184</v>
      </c>
    </row>
    <row r="59" spans="2:9" ht="22.05" customHeight="1" x14ac:dyDescent="0.3">
      <c r="B59" s="10" t="s">
        <v>190</v>
      </c>
      <c r="C59" s="11" t="s">
        <v>191</v>
      </c>
      <c r="D59" s="11" t="s">
        <v>192</v>
      </c>
      <c r="E59" s="16" t="s">
        <v>53</v>
      </c>
      <c r="F59" s="24"/>
      <c r="G59" s="24"/>
      <c r="H59" s="12">
        <v>4</v>
      </c>
      <c r="I59" s="11" t="s">
        <v>187</v>
      </c>
    </row>
    <row r="60" spans="2:9" x14ac:dyDescent="0.3">
      <c r="B60" s="4"/>
      <c r="C60" s="4" t="s">
        <v>193</v>
      </c>
      <c r="D60" s="4"/>
      <c r="E60" s="17"/>
      <c r="F60" s="25"/>
      <c r="G60" s="25"/>
      <c r="H60" s="5">
        <v>348</v>
      </c>
      <c r="I60" s="4"/>
    </row>
  </sheetData>
  <mergeCells count="2">
    <mergeCell ref="B1:I1"/>
    <mergeCell ref="B2:I2"/>
  </mergeCells>
  <conditionalFormatting sqref="E1:E1048576">
    <cfRule type="containsText" dxfId="5" priority="1" operator="containsText" text="In Progress">
      <formula>NOT(ISERROR(SEARCH("In Progress",E1)))</formula>
    </cfRule>
    <cfRule type="containsText" dxfId="4" priority="2" operator="containsText" text="Not Started">
      <formula>NOT(ISERROR(SEARCH("Not Started",E1)))</formula>
    </cfRule>
    <cfRule type="containsText" dxfId="3" priority="3" operator="containsText" text="Done">
      <formula>NOT(ISERROR(SEARCH("Done",E1)))</formula>
    </cfRule>
  </conditionalFormatting>
  <dataValidations count="1">
    <dataValidation type="list" allowBlank="1" showInputMessage="1" showErrorMessage="1" sqref="E5:E58" xr:uid="{00000000-0002-0000-0100-000000000000}">
      <formula1>$K$1:$K$3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64"/>
  <sheetViews>
    <sheetView showGridLines="0" workbookViewId="0">
      <pane xSplit="1" ySplit="4" topLeftCell="B10" activePane="bottomRight" state="frozen"/>
      <selection pane="topRight"/>
      <selection pane="bottomLeft"/>
      <selection pane="bottomRight" activeCell="F10" sqref="F10"/>
    </sheetView>
  </sheetViews>
  <sheetFormatPr defaultRowHeight="14.4" x14ac:dyDescent="0.3"/>
  <cols>
    <col min="1" max="1" width="4" style="6" customWidth="1"/>
    <col min="2" max="2" width="8" style="6" customWidth="1"/>
    <col min="3" max="3" width="32" style="6" customWidth="1"/>
    <col min="4" max="4" width="110" style="6" customWidth="1"/>
    <col min="5" max="5" width="11.88671875" style="6" bestFit="1" customWidth="1"/>
    <col min="6" max="6" width="8.88671875" style="32" customWidth="1"/>
    <col min="7" max="7" width="8.88671875" style="32"/>
    <col min="8" max="16384" width="8.88671875" style="6"/>
  </cols>
  <sheetData>
    <row r="1" spans="2:7" ht="28.05" customHeight="1" x14ac:dyDescent="0.3">
      <c r="B1" s="54" t="s">
        <v>372</v>
      </c>
      <c r="C1" s="55"/>
      <c r="D1" s="55"/>
    </row>
    <row r="2" spans="2:7" ht="31.95" customHeight="1" x14ac:dyDescent="0.3">
      <c r="B2" s="58" t="s">
        <v>373</v>
      </c>
      <c r="C2" s="55"/>
      <c r="D2" s="55"/>
    </row>
    <row r="4" spans="2:7" ht="24" customHeight="1" x14ac:dyDescent="0.3">
      <c r="B4" s="3" t="s">
        <v>5</v>
      </c>
      <c r="C4" s="3" t="s">
        <v>6</v>
      </c>
      <c r="D4" s="3" t="s">
        <v>374</v>
      </c>
      <c r="E4" s="14" t="s">
        <v>8</v>
      </c>
      <c r="F4" s="33" t="s">
        <v>9</v>
      </c>
      <c r="G4" s="33" t="s">
        <v>10</v>
      </c>
    </row>
    <row r="5" spans="2:7" ht="409.6" customHeight="1" x14ac:dyDescent="0.3">
      <c r="B5" s="18" t="s">
        <v>43</v>
      </c>
      <c r="C5" s="19" t="s">
        <v>44</v>
      </c>
      <c r="D5" s="20" t="s">
        <v>375</v>
      </c>
      <c r="E5" s="15" t="str">
        <f>Tracker!E14</f>
        <v xml:space="preserve">Done </v>
      </c>
      <c r="F5" s="32">
        <f>Tracker!F14</f>
        <v>46144</v>
      </c>
      <c r="G5" s="32">
        <f>Tracker!G14</f>
        <v>46144</v>
      </c>
    </row>
    <row r="6" spans="2:7" ht="409.6" customHeight="1" x14ac:dyDescent="0.3">
      <c r="B6" s="18" t="s">
        <v>47</v>
      </c>
      <c r="C6" s="19" t="s">
        <v>48</v>
      </c>
      <c r="D6" s="20" t="s">
        <v>376</v>
      </c>
      <c r="E6" s="15" t="str">
        <f>Tracker!E15</f>
        <v xml:space="preserve">Done </v>
      </c>
      <c r="F6" s="32">
        <f>Tracker!F15</f>
        <v>46144</v>
      </c>
      <c r="G6" s="32">
        <f>Tracker!G15</f>
        <v>46144</v>
      </c>
    </row>
    <row r="7" spans="2:7" ht="409.6" customHeight="1" x14ac:dyDescent="0.3">
      <c r="B7" s="34" t="s">
        <v>386</v>
      </c>
      <c r="C7" s="35" t="s">
        <v>387</v>
      </c>
      <c r="D7" s="36" t="s">
        <v>390</v>
      </c>
      <c r="E7" s="15" t="str">
        <f>Tracker!E16</f>
        <v xml:space="preserve">Done </v>
      </c>
      <c r="F7" s="32">
        <f>Tracker!F16</f>
        <v>46144</v>
      </c>
      <c r="G7" s="32">
        <f>Tracker!G16</f>
        <v>46144</v>
      </c>
    </row>
    <row r="8" spans="2:7" ht="409.6" customHeight="1" x14ac:dyDescent="0.3">
      <c r="B8" s="18" t="s">
        <v>50</v>
      </c>
      <c r="C8" s="19" t="s">
        <v>51</v>
      </c>
      <c r="D8" s="20"/>
      <c r="E8" s="15" t="str">
        <f>Tracker!E17</f>
        <v xml:space="preserve">Done </v>
      </c>
      <c r="F8" s="32">
        <f>Tracker!F17</f>
        <v>46144</v>
      </c>
      <c r="G8" s="32">
        <f>Tracker!G17</f>
        <v>46144</v>
      </c>
    </row>
    <row r="9" spans="2:7" ht="409.6" customHeight="1" x14ac:dyDescent="0.3">
      <c r="B9" s="30" t="s">
        <v>54</v>
      </c>
      <c r="C9" s="30" t="s">
        <v>55</v>
      </c>
      <c r="D9" s="31" t="s">
        <v>389</v>
      </c>
      <c r="E9" s="15" t="str">
        <f>Tracker!E18</f>
        <v xml:space="preserve">Done </v>
      </c>
      <c r="F9" s="32">
        <f>Tracker!F18</f>
        <v>46144</v>
      </c>
      <c r="G9" s="32">
        <f>Tracker!G18</f>
        <v>46144</v>
      </c>
    </row>
    <row r="10" spans="2:7" ht="409.6" customHeight="1" x14ac:dyDescent="0.3">
      <c r="B10" s="30" t="s">
        <v>453</v>
      </c>
      <c r="C10" s="30" t="s">
        <v>454</v>
      </c>
      <c r="D10" s="31" t="s">
        <v>561</v>
      </c>
      <c r="E10" s="15" t="str">
        <f>Tracker!E19</f>
        <v xml:space="preserve">Done </v>
      </c>
      <c r="F10" s="32">
        <f>Tracker!F19</f>
        <v>46145</v>
      </c>
      <c r="G10" s="32">
        <f>Tracker!G19</f>
        <v>46145</v>
      </c>
    </row>
    <row r="11" spans="2:7" ht="409.6" customHeight="1" x14ac:dyDescent="0.3">
      <c r="B11" s="18" t="s">
        <v>57</v>
      </c>
      <c r="C11" s="19" t="s">
        <v>377</v>
      </c>
      <c r="D11" s="20"/>
      <c r="E11" s="15" t="str">
        <f>Tracker!E20</f>
        <v>Not started</v>
      </c>
      <c r="F11" s="32">
        <f>Tracker!F20</f>
        <v>0</v>
      </c>
      <c r="G11" s="32">
        <f>Tracker!G20</f>
        <v>0</v>
      </c>
    </row>
    <row r="12" spans="2:7" ht="409.6" customHeight="1" x14ac:dyDescent="0.3">
      <c r="B12" s="18" t="s">
        <v>60</v>
      </c>
      <c r="C12" s="19" t="s">
        <v>378</v>
      </c>
      <c r="D12" s="20" t="s">
        <v>456</v>
      </c>
      <c r="E12" s="15" t="str">
        <f>Tracker!E21</f>
        <v>Not started</v>
      </c>
      <c r="F12" s="32">
        <f>Tracker!F21</f>
        <v>0</v>
      </c>
      <c r="G12" s="32">
        <f>Tracker!G21</f>
        <v>0</v>
      </c>
    </row>
    <row r="13" spans="2:7" ht="364.05" customHeight="1" x14ac:dyDescent="0.3">
      <c r="B13" s="18" t="s">
        <v>63</v>
      </c>
      <c r="C13" s="19" t="s">
        <v>379</v>
      </c>
      <c r="D13" s="20"/>
      <c r="E13" s="15" t="str">
        <f>Tracker!E22</f>
        <v>Not started</v>
      </c>
      <c r="F13" s="32">
        <f>Tracker!F22</f>
        <v>0</v>
      </c>
      <c r="G13" s="32">
        <f>Tracker!G22</f>
        <v>0</v>
      </c>
    </row>
    <row r="14" spans="2:7" ht="252" customHeight="1" x14ac:dyDescent="0.3">
      <c r="B14" s="18" t="s">
        <v>66</v>
      </c>
      <c r="C14" s="19" t="s">
        <v>380</v>
      </c>
      <c r="D14" s="20" t="s">
        <v>457</v>
      </c>
      <c r="E14" s="15" t="str">
        <f>Tracker!E23</f>
        <v>Not started</v>
      </c>
      <c r="F14" s="32">
        <f>Tracker!F23</f>
        <v>0</v>
      </c>
      <c r="G14" s="32">
        <f>Tracker!G23</f>
        <v>0</v>
      </c>
    </row>
    <row r="15" spans="2:7" ht="238.05" customHeight="1" x14ac:dyDescent="0.3">
      <c r="B15" s="18" t="s">
        <v>70</v>
      </c>
      <c r="C15" s="19" t="s">
        <v>71</v>
      </c>
      <c r="D15" s="20"/>
      <c r="E15" s="15" t="str">
        <f>Tracker!E24</f>
        <v>Not started</v>
      </c>
      <c r="F15" s="32">
        <f>Tracker!F24</f>
        <v>0</v>
      </c>
      <c r="G15" s="32">
        <f>Tracker!G24</f>
        <v>0</v>
      </c>
    </row>
    <row r="16" spans="2:7" ht="265.95" customHeight="1" x14ac:dyDescent="0.3">
      <c r="B16" s="18" t="s">
        <v>74</v>
      </c>
      <c r="C16" s="19" t="s">
        <v>381</v>
      </c>
      <c r="D16" s="20" t="s">
        <v>458</v>
      </c>
      <c r="E16" s="15" t="str">
        <f>Tracker!E25</f>
        <v>Not started</v>
      </c>
      <c r="F16" s="32">
        <f>Tracker!F25</f>
        <v>0</v>
      </c>
      <c r="G16" s="32">
        <f>Tracker!G25</f>
        <v>0</v>
      </c>
    </row>
    <row r="17" spans="2:7" ht="391.95" customHeight="1" x14ac:dyDescent="0.3">
      <c r="B17" s="18" t="s">
        <v>77</v>
      </c>
      <c r="C17" s="19" t="s">
        <v>78</v>
      </c>
      <c r="D17" s="20"/>
      <c r="E17" s="15" t="str">
        <f>Tracker!E26</f>
        <v>Not started</v>
      </c>
      <c r="F17" s="32">
        <f>Tracker!F26</f>
        <v>0</v>
      </c>
      <c r="G17" s="32">
        <f>Tracker!G26</f>
        <v>0</v>
      </c>
    </row>
    <row r="18" spans="2:7" ht="265.95" customHeight="1" x14ac:dyDescent="0.3">
      <c r="B18" s="18" t="s">
        <v>81</v>
      </c>
      <c r="C18" s="19" t="s">
        <v>82</v>
      </c>
      <c r="D18" s="20" t="s">
        <v>459</v>
      </c>
      <c r="E18" s="15" t="str">
        <f>Tracker!E27</f>
        <v>Not started</v>
      </c>
      <c r="F18" s="32">
        <f>Tracker!F27</f>
        <v>0</v>
      </c>
      <c r="G18" s="32">
        <f>Tracker!G27</f>
        <v>0</v>
      </c>
    </row>
    <row r="19" spans="2:7" ht="238.05" customHeight="1" x14ac:dyDescent="0.3">
      <c r="B19" s="18" t="s">
        <v>85</v>
      </c>
      <c r="C19" s="19" t="s">
        <v>86</v>
      </c>
      <c r="D19" s="20"/>
      <c r="E19" s="15" t="str">
        <f>Tracker!E28</f>
        <v>Not started</v>
      </c>
      <c r="F19" s="32">
        <f>Tracker!F28</f>
        <v>0</v>
      </c>
      <c r="G19" s="32">
        <f>Tracker!G28</f>
        <v>0</v>
      </c>
    </row>
    <row r="20" spans="2:7" ht="223.95" customHeight="1" x14ac:dyDescent="0.3">
      <c r="B20" s="18" t="s">
        <v>88</v>
      </c>
      <c r="C20" s="19" t="s">
        <v>89</v>
      </c>
      <c r="D20" s="20" t="s">
        <v>460</v>
      </c>
      <c r="E20" s="15" t="str">
        <f>Tracker!E29</f>
        <v>Not started</v>
      </c>
      <c r="F20" s="32">
        <f>Tracker!F29</f>
        <v>0</v>
      </c>
      <c r="G20" s="32">
        <f>Tracker!G29</f>
        <v>0</v>
      </c>
    </row>
    <row r="21" spans="2:7" ht="265.95" customHeight="1" x14ac:dyDescent="0.3">
      <c r="B21" s="18" t="s">
        <v>91</v>
      </c>
      <c r="C21" s="19" t="s">
        <v>382</v>
      </c>
      <c r="D21" s="20"/>
      <c r="E21" s="15" t="str">
        <f>Tracker!E30</f>
        <v>Not started</v>
      </c>
      <c r="F21" s="32">
        <f>Tracker!F30</f>
        <v>0</v>
      </c>
      <c r="G21" s="32">
        <f>Tracker!G30</f>
        <v>0</v>
      </c>
    </row>
    <row r="22" spans="2:7" ht="307.95" customHeight="1" x14ac:dyDescent="0.3">
      <c r="B22" s="18" t="s">
        <v>94</v>
      </c>
      <c r="C22" s="19" t="s">
        <v>95</v>
      </c>
      <c r="D22" s="20" t="s">
        <v>461</v>
      </c>
      <c r="E22" s="15" t="str">
        <f>Tracker!E31</f>
        <v>Not started</v>
      </c>
      <c r="F22" s="32">
        <f>Tracker!F31</f>
        <v>0</v>
      </c>
      <c r="G22" s="32">
        <f>Tracker!G31</f>
        <v>0</v>
      </c>
    </row>
    <row r="23" spans="2:7" ht="196.05" customHeight="1" x14ac:dyDescent="0.3">
      <c r="B23" s="18" t="s">
        <v>97</v>
      </c>
      <c r="C23" s="19" t="s">
        <v>383</v>
      </c>
      <c r="D23" s="20"/>
      <c r="E23" s="15" t="str">
        <f>Tracker!E32</f>
        <v>Not started</v>
      </c>
      <c r="F23" s="32">
        <f>Tracker!F32</f>
        <v>0</v>
      </c>
      <c r="G23" s="32">
        <f>Tracker!G32</f>
        <v>0</v>
      </c>
    </row>
    <row r="24" spans="2:7" ht="181.95" customHeight="1" x14ac:dyDescent="0.3">
      <c r="B24" s="18" t="s">
        <v>101</v>
      </c>
      <c r="C24" s="19" t="s">
        <v>384</v>
      </c>
      <c r="D24" s="20" t="s">
        <v>462</v>
      </c>
      <c r="E24" s="15" t="str">
        <f>Tracker!E33</f>
        <v>Not started</v>
      </c>
      <c r="F24" s="32">
        <f>Tracker!F33</f>
        <v>0</v>
      </c>
      <c r="G24" s="32">
        <f>Tracker!G33</f>
        <v>0</v>
      </c>
    </row>
    <row r="25" spans="2:7" ht="168" customHeight="1" x14ac:dyDescent="0.3">
      <c r="B25" s="18" t="s">
        <v>104</v>
      </c>
      <c r="C25" s="19" t="s">
        <v>105</v>
      </c>
      <c r="D25" s="20"/>
      <c r="E25" s="15" t="str">
        <f>Tracker!E34</f>
        <v>Not started</v>
      </c>
      <c r="F25" s="32">
        <f>Tracker!F34</f>
        <v>0</v>
      </c>
      <c r="G25" s="32">
        <f>Tracker!G34</f>
        <v>0</v>
      </c>
    </row>
    <row r="26" spans="2:7" ht="223.95" customHeight="1" x14ac:dyDescent="0.3">
      <c r="B26" s="18" t="s">
        <v>107</v>
      </c>
      <c r="C26" s="19" t="s">
        <v>385</v>
      </c>
      <c r="D26" s="20" t="s">
        <v>463</v>
      </c>
      <c r="E26" s="15" t="str">
        <f>Tracker!E35</f>
        <v>Not started</v>
      </c>
      <c r="F26" s="32">
        <f>Tracker!F35</f>
        <v>0</v>
      </c>
      <c r="G26" s="32">
        <f>Tracker!G35</f>
        <v>0</v>
      </c>
    </row>
    <row r="27" spans="2:7" ht="294" customHeight="1" x14ac:dyDescent="0.3">
      <c r="B27" s="18" t="s">
        <v>110</v>
      </c>
      <c r="C27" s="19" t="s">
        <v>111</v>
      </c>
      <c r="D27" s="20"/>
      <c r="E27" s="15" t="str">
        <f>Tracker!E36</f>
        <v>Not started</v>
      </c>
      <c r="F27" s="32">
        <f>Tracker!F36</f>
        <v>0</v>
      </c>
      <c r="G27" s="32">
        <f>Tracker!G36</f>
        <v>0</v>
      </c>
    </row>
    <row r="28" spans="2:7" ht="181.95" customHeight="1" x14ac:dyDescent="0.3">
      <c r="B28" s="18" t="s">
        <v>114</v>
      </c>
      <c r="C28" s="19" t="s">
        <v>115</v>
      </c>
      <c r="D28" s="20" t="s">
        <v>464</v>
      </c>
      <c r="E28" s="15" t="str">
        <f>Tracker!E37</f>
        <v>Not started</v>
      </c>
      <c r="F28" s="32">
        <f>Tracker!F37</f>
        <v>0</v>
      </c>
      <c r="G28" s="32">
        <f>Tracker!G37</f>
        <v>0</v>
      </c>
    </row>
    <row r="29" spans="2:7" ht="196.05" customHeight="1" x14ac:dyDescent="0.3">
      <c r="B29" s="18" t="s">
        <v>117</v>
      </c>
      <c r="C29" s="19" t="s">
        <v>118</v>
      </c>
      <c r="D29" s="20"/>
      <c r="E29" s="15" t="str">
        <f>Tracker!E38</f>
        <v>Not started</v>
      </c>
      <c r="F29" s="32">
        <f>Tracker!F38</f>
        <v>0</v>
      </c>
      <c r="G29" s="32">
        <f>Tracker!G38</f>
        <v>0</v>
      </c>
    </row>
    <row r="30" spans="2:7" ht="265.95" customHeight="1" x14ac:dyDescent="0.3">
      <c r="B30" s="18" t="s">
        <v>121</v>
      </c>
      <c r="C30" s="19" t="s">
        <v>122</v>
      </c>
      <c r="D30" s="20" t="s">
        <v>465</v>
      </c>
      <c r="E30" s="15" t="str">
        <f>Tracker!E39</f>
        <v>Not started</v>
      </c>
      <c r="F30" s="32">
        <f>Tracker!F39</f>
        <v>0</v>
      </c>
      <c r="G30" s="32">
        <f>Tracker!G39</f>
        <v>0</v>
      </c>
    </row>
    <row r="31" spans="2:7" ht="154.05000000000001" customHeight="1" x14ac:dyDescent="0.3">
      <c r="B31" s="18" t="s">
        <v>125</v>
      </c>
      <c r="C31" s="19" t="s">
        <v>126</v>
      </c>
      <c r="D31" s="20"/>
      <c r="E31" s="15" t="str">
        <f>Tracker!E40</f>
        <v>Not started</v>
      </c>
      <c r="F31" s="32">
        <f>Tracker!F40</f>
        <v>0</v>
      </c>
      <c r="G31" s="32">
        <f>Tracker!G40</f>
        <v>0</v>
      </c>
    </row>
    <row r="32" spans="2:7" ht="294" customHeight="1" x14ac:dyDescent="0.3">
      <c r="B32" s="18" t="s">
        <v>128</v>
      </c>
      <c r="C32" s="19" t="s">
        <v>129</v>
      </c>
      <c r="D32" s="20" t="s">
        <v>466</v>
      </c>
      <c r="E32" s="15" t="str">
        <f>Tracker!E41</f>
        <v>Not started</v>
      </c>
      <c r="F32" s="32">
        <f>Tracker!F41</f>
        <v>0</v>
      </c>
      <c r="G32" s="32">
        <f>Tracker!G41</f>
        <v>0</v>
      </c>
    </row>
    <row r="33" spans="2:7" ht="210" customHeight="1" x14ac:dyDescent="0.3">
      <c r="B33" s="18" t="s">
        <v>131</v>
      </c>
      <c r="C33" s="19" t="s">
        <v>132</v>
      </c>
      <c r="D33" s="20"/>
      <c r="E33" s="15" t="str">
        <f>Tracker!E42</f>
        <v>Not started</v>
      </c>
      <c r="F33" s="32">
        <f>Tracker!F42</f>
        <v>0</v>
      </c>
      <c r="G33" s="32">
        <f>Tracker!G42</f>
        <v>0</v>
      </c>
    </row>
    <row r="34" spans="2:7" ht="223.95" customHeight="1" x14ac:dyDescent="0.3">
      <c r="B34" s="18" t="s">
        <v>134</v>
      </c>
      <c r="C34" s="19" t="s">
        <v>135</v>
      </c>
      <c r="D34" s="20" t="s">
        <v>467</v>
      </c>
      <c r="E34" s="15" t="str">
        <f>Tracker!E43</f>
        <v>Not started</v>
      </c>
      <c r="F34" s="32">
        <f>Tracker!F43</f>
        <v>0</v>
      </c>
      <c r="G34" s="32">
        <f>Tracker!G43</f>
        <v>0</v>
      </c>
    </row>
    <row r="35" spans="2:7" ht="280.05" customHeight="1" x14ac:dyDescent="0.3">
      <c r="B35" s="18" t="s">
        <v>137</v>
      </c>
      <c r="C35" s="19" t="s">
        <v>138</v>
      </c>
      <c r="D35" s="20" t="e" cm="1">
        <f t="array" ref="D35">- project Name (required)</f>
        <v>#NAME?</v>
      </c>
      <c r="E35" s="15" t="str">
        <f>Tracker!E44</f>
        <v>Not started</v>
      </c>
      <c r="F35" s="32">
        <f>Tracker!F44</f>
        <v>0</v>
      </c>
      <c r="G35" s="32">
        <f>Tracker!G44</f>
        <v>0</v>
      </c>
    </row>
    <row r="36" spans="2:7" ht="280.05" customHeight="1" x14ac:dyDescent="0.3">
      <c r="B36" s="18" t="s">
        <v>145</v>
      </c>
      <c r="C36" s="19" t="s">
        <v>146</v>
      </c>
      <c r="D36" s="20" t="s">
        <v>468</v>
      </c>
      <c r="E36" s="15" t="str">
        <f>Tracker!E45</f>
        <v>Optional v1.5</v>
      </c>
      <c r="F36" s="32">
        <f>Tracker!F45</f>
        <v>0</v>
      </c>
      <c r="G36" s="32">
        <f>Tracker!G45</f>
        <v>0</v>
      </c>
    </row>
    <row r="37" spans="2:7" ht="168" customHeight="1" x14ac:dyDescent="0.3">
      <c r="B37" s="18" t="s">
        <v>149</v>
      </c>
      <c r="C37" s="19" t="s">
        <v>150</v>
      </c>
      <c r="D37" s="20" t="e" cm="1">
        <f t="array" ref="D37">- Currency (default SAR, dropdown from common currencies)</f>
        <v>#NAME?</v>
      </c>
      <c r="E37" s="15" t="str">
        <f>Tracker!E46</f>
        <v>Not started</v>
      </c>
      <c r="F37" s="32">
        <f>Tracker!F46</f>
        <v>0</v>
      </c>
      <c r="G37" s="32">
        <f>Tracker!G46</f>
        <v>0</v>
      </c>
    </row>
    <row r="38" spans="2:7" ht="265.95" customHeight="1" x14ac:dyDescent="0.3">
      <c r="B38" s="18" t="s">
        <v>152</v>
      </c>
      <c r="C38" s="19" t="s">
        <v>153</v>
      </c>
      <c r="D38" s="20" t="s">
        <v>469</v>
      </c>
      <c r="E38" s="15" t="str">
        <f>Tracker!E47</f>
        <v>Not started</v>
      </c>
      <c r="F38" s="32">
        <f>Tracker!F47</f>
        <v>0</v>
      </c>
      <c r="G38" s="32">
        <f>Tracker!G47</f>
        <v>0</v>
      </c>
    </row>
    <row r="39" spans="2:7" ht="139.94999999999999" customHeight="1" x14ac:dyDescent="0.3">
      <c r="B39" s="18" t="s">
        <v>156</v>
      </c>
      <c r="C39" s="19" t="s">
        <v>157</v>
      </c>
      <c r="D39" s="20" t="s">
        <v>470</v>
      </c>
      <c r="E39" s="15" t="str">
        <f>Tracker!E48</f>
        <v>Not started</v>
      </c>
      <c r="F39" s="32">
        <f>Tracker!F48</f>
        <v>0</v>
      </c>
      <c r="G39" s="32">
        <f>Tracker!G48</f>
        <v>0</v>
      </c>
    </row>
    <row r="40" spans="2:7" ht="238.05" customHeight="1" x14ac:dyDescent="0.3">
      <c r="B40" s="18" t="s">
        <v>160</v>
      </c>
      <c r="C40" s="19" t="s">
        <v>161</v>
      </c>
      <c r="D40" s="20" t="s">
        <v>471</v>
      </c>
      <c r="E40" s="15" t="str">
        <f>Tracker!E49</f>
        <v>Not started</v>
      </c>
      <c r="F40" s="32">
        <f>Tracker!F49</f>
        <v>0</v>
      </c>
      <c r="G40" s="32">
        <f>Tracker!G49</f>
        <v>0</v>
      </c>
    </row>
    <row r="41" spans="2:7" ht="154.05000000000001" customHeight="1" x14ac:dyDescent="0.3">
      <c r="B41" s="18" t="s">
        <v>163</v>
      </c>
      <c r="C41" s="19" t="s">
        <v>164</v>
      </c>
      <c r="D41" s="20"/>
      <c r="E41" s="15" t="str">
        <f>Tracker!E50</f>
        <v>Not started</v>
      </c>
      <c r="F41" s="32">
        <f>Tracker!F50</f>
        <v>0</v>
      </c>
      <c r="G41" s="32">
        <f>Tracker!G50</f>
        <v>0</v>
      </c>
    </row>
    <row r="42" spans="2:7" ht="322.05" customHeight="1" x14ac:dyDescent="0.3">
      <c r="B42" s="18" t="s">
        <v>167</v>
      </c>
      <c r="C42" s="19" t="s">
        <v>168</v>
      </c>
      <c r="D42" s="20" t="s">
        <v>472</v>
      </c>
      <c r="E42" s="15" t="str">
        <f>Tracker!E51</f>
        <v>Not started</v>
      </c>
      <c r="F42" s="32">
        <f>Tracker!F51</f>
        <v>0</v>
      </c>
      <c r="G42" s="32">
        <f>Tracker!G51</f>
        <v>0</v>
      </c>
    </row>
    <row r="43" spans="2:7" ht="265.95" customHeight="1" x14ac:dyDescent="0.3">
      <c r="B43" s="18" t="s">
        <v>170</v>
      </c>
      <c r="C43" s="19" t="s">
        <v>171</v>
      </c>
      <c r="D43" s="20"/>
      <c r="E43" s="15" t="str">
        <f>Tracker!E52</f>
        <v>Not started</v>
      </c>
      <c r="F43" s="32">
        <f>Tracker!F52</f>
        <v>0</v>
      </c>
      <c r="G43" s="32">
        <f>Tracker!G52</f>
        <v>0</v>
      </c>
    </row>
    <row r="44" spans="2:7" ht="294" customHeight="1" x14ac:dyDescent="0.3">
      <c r="B44" s="18" t="s">
        <v>174</v>
      </c>
      <c r="C44" s="19" t="s">
        <v>175</v>
      </c>
      <c r="D44" s="20" t="s">
        <v>473</v>
      </c>
      <c r="E44" s="15" t="str">
        <f>Tracker!E53</f>
        <v>Not started</v>
      </c>
      <c r="F44" s="32">
        <f>Tracker!F53</f>
        <v>0</v>
      </c>
      <c r="G44" s="32">
        <f>Tracker!G53</f>
        <v>0</v>
      </c>
    </row>
    <row r="45" spans="2:7" ht="181.95" customHeight="1" x14ac:dyDescent="0.3">
      <c r="B45" s="18" t="s">
        <v>177</v>
      </c>
      <c r="C45" s="19" t="s">
        <v>178</v>
      </c>
      <c r="D45" s="20"/>
      <c r="E45" s="15" t="str">
        <f>Tracker!E54</f>
        <v>Not started</v>
      </c>
      <c r="F45" s="32">
        <f>Tracker!F54</f>
        <v>0</v>
      </c>
      <c r="G45" s="32">
        <f>Tracker!G54</f>
        <v>0</v>
      </c>
    </row>
    <row r="46" spans="2:7" ht="223.95" customHeight="1" x14ac:dyDescent="0.3">
      <c r="B46" s="18" t="s">
        <v>180</v>
      </c>
      <c r="C46" s="19" t="s">
        <v>181</v>
      </c>
      <c r="D46" s="20" t="s">
        <v>474</v>
      </c>
      <c r="E46" s="15" t="str">
        <f>Tracker!E55</f>
        <v>Not started</v>
      </c>
      <c r="F46" s="32">
        <f>Tracker!F55</f>
        <v>0</v>
      </c>
      <c r="G46" s="32">
        <f>Tracker!G55</f>
        <v>0</v>
      </c>
    </row>
    <row r="47" spans="2:7" ht="223.95" customHeight="1" x14ac:dyDescent="0.3">
      <c r="B47" s="18" t="s">
        <v>184</v>
      </c>
      <c r="C47" s="19" t="s">
        <v>185</v>
      </c>
      <c r="D47" s="20"/>
      <c r="E47" s="15" t="str">
        <f>Tracker!E56</f>
        <v>Not started</v>
      </c>
      <c r="F47" s="32">
        <f>Tracker!F56</f>
        <v>0</v>
      </c>
      <c r="G47" s="32">
        <f>Tracker!G56</f>
        <v>0</v>
      </c>
    </row>
    <row r="48" spans="2:7" ht="168" customHeight="1" x14ac:dyDescent="0.3">
      <c r="B48" s="18" t="s">
        <v>187</v>
      </c>
      <c r="C48" s="19" t="s">
        <v>188</v>
      </c>
      <c r="D48" s="20" t="s">
        <v>475</v>
      </c>
      <c r="E48" s="15" t="str">
        <f>Tracker!E57</f>
        <v>Not started</v>
      </c>
      <c r="F48" s="32">
        <f>Tracker!F57</f>
        <v>0</v>
      </c>
      <c r="G48" s="32">
        <f>Tracker!G57</f>
        <v>0</v>
      </c>
    </row>
    <row r="49" spans="2:7" x14ac:dyDescent="0.3">
      <c r="B49" s="18" t="s">
        <v>190</v>
      </c>
      <c r="C49" s="19" t="s">
        <v>191</v>
      </c>
      <c r="D49" s="20" t="e" cm="1">
        <f t="array" ref="D49">- Toggle (default OFF)</f>
        <v>#NAME?</v>
      </c>
      <c r="E49" s="15" t="str">
        <f>Tracker!E58</f>
        <v>Not started</v>
      </c>
      <c r="F49" s="32">
        <f>Tracker!F58</f>
        <v>0</v>
      </c>
      <c r="G49" s="32">
        <f>Tracker!G58</f>
        <v>0</v>
      </c>
    </row>
    <row r="50" spans="2:7" x14ac:dyDescent="0.3">
      <c r="D50" s="6" t="s">
        <v>476</v>
      </c>
    </row>
    <row r="52" spans="2:7" x14ac:dyDescent="0.3">
      <c r="D52" s="6" t="s">
        <v>477</v>
      </c>
    </row>
    <row r="53" spans="2:7" x14ac:dyDescent="0.3">
      <c r="D53" s="6" t="s">
        <v>478</v>
      </c>
    </row>
    <row r="54" spans="2:7" x14ac:dyDescent="0.3">
      <c r="D54" s="6" t="s">
        <v>479</v>
      </c>
    </row>
    <row r="55" spans="2:7" x14ac:dyDescent="0.3">
      <c r="D55" s="6" t="s">
        <v>480</v>
      </c>
    </row>
    <row r="57" spans="2:7" x14ac:dyDescent="0.3">
      <c r="D57" s="6" t="s">
        <v>481</v>
      </c>
    </row>
    <row r="58" spans="2:7" x14ac:dyDescent="0.3">
      <c r="D58" s="6" t="s">
        <v>482</v>
      </c>
    </row>
    <row r="59" spans="2:7" x14ac:dyDescent="0.3">
      <c r="D59" s="6" t="s">
        <v>483</v>
      </c>
    </row>
    <row r="60" spans="2:7" x14ac:dyDescent="0.3">
      <c r="D60" s="6" t="s">
        <v>484</v>
      </c>
    </row>
    <row r="62" spans="2:7" x14ac:dyDescent="0.3">
      <c r="D62" s="6" t="s">
        <v>485</v>
      </c>
    </row>
    <row r="64" spans="2:7" x14ac:dyDescent="0.3">
      <c r="D64" s="6" t="s">
        <v>486</v>
      </c>
    </row>
    <row r="66" spans="4:4" x14ac:dyDescent="0.3">
      <c r="D66" s="6" t="s">
        <v>487</v>
      </c>
    </row>
    <row r="67" spans="4:4" x14ac:dyDescent="0.3">
      <c r="D67" s="6" t="e" cm="1">
        <f t="array" ref="D67">- radio: Residential / Hospitality / Retail / Mixed-use / Office / Custom</f>
        <v>#NAME?</v>
      </c>
    </row>
    <row r="68" spans="4:4" x14ac:dyDescent="0.3">
      <c r="D68" s="6" t="e" cm="1">
        <f t="array" ref="D68">- default: Mixed-use</f>
        <v>#NAME?</v>
      </c>
    </row>
    <row r="70" spans="4:4" x14ac:dyDescent="0.3">
      <c r="D70" s="6" t="s">
        <v>488</v>
      </c>
    </row>
    <row r="72" spans="4:4" x14ac:dyDescent="0.3">
      <c r="D72" s="6" t="s">
        <v>489</v>
      </c>
    </row>
    <row r="73" spans="4:4" x14ac:dyDescent="0.3">
      <c r="D73" s="6" t="s">
        <v>490</v>
      </c>
    </row>
    <row r="74" spans="4:4" x14ac:dyDescent="0.3">
      <c r="D74" s="6" t="s">
        <v>491</v>
      </c>
    </row>
    <row r="75" spans="4:4" x14ac:dyDescent="0.3">
      <c r="D75" s="6" t="s">
        <v>492</v>
      </c>
    </row>
    <row r="76" spans="4:4" x14ac:dyDescent="0.3">
      <c r="D76" s="6" t="s">
        <v>493</v>
      </c>
    </row>
    <row r="77" spans="4:4" x14ac:dyDescent="0.3">
      <c r="D77" s="6" t="s">
        <v>494</v>
      </c>
    </row>
    <row r="78" spans="4:4" x14ac:dyDescent="0.3">
      <c r="D78" s="6" t="s">
        <v>495</v>
      </c>
    </row>
    <row r="79" spans="4:4" x14ac:dyDescent="0.3">
      <c r="D79" s="6" t="s">
        <v>496</v>
      </c>
    </row>
    <row r="81" spans="4:4" x14ac:dyDescent="0.3">
      <c r="D81" s="6" t="s">
        <v>497</v>
      </c>
    </row>
    <row r="83" spans="4:4" x14ac:dyDescent="0.3">
      <c r="D83" s="6" t="s">
        <v>498</v>
      </c>
    </row>
    <row r="84" spans="4:4" x14ac:dyDescent="0.3">
      <c r="D84" s="6" t="e" cm="1">
        <f t="array" ref="D84">- Name (editable)</f>
        <v>#NAME?</v>
      </c>
    </row>
    <row r="85" spans="4:4" x14ac:dyDescent="0.3">
      <c r="D85" s="6" t="s">
        <v>499</v>
      </c>
    </row>
    <row r="86" spans="4:4" x14ac:dyDescent="0.3">
      <c r="D86" s="6" t="s">
        <v>500</v>
      </c>
    </row>
    <row r="87" spans="4:4" x14ac:dyDescent="0.3">
      <c r="D87" s="6" t="s">
        <v>501</v>
      </c>
    </row>
    <row r="88" spans="4:4" x14ac:dyDescent="0.3">
      <c r="D88" s="6" t="s">
        <v>502</v>
      </c>
    </row>
    <row r="89" spans="4:4" x14ac:dyDescent="0.3">
      <c r="D89" s="6" t="s">
        <v>503</v>
      </c>
    </row>
    <row r="91" spans="4:4" x14ac:dyDescent="0.3">
      <c r="D91" s="6" t="s">
        <v>504</v>
      </c>
    </row>
    <row r="93" spans="4:4" x14ac:dyDescent="0.3">
      <c r="D93" s="6" t="s">
        <v>505</v>
      </c>
    </row>
    <row r="95" spans="4:4" x14ac:dyDescent="0.3">
      <c r="D95" s="6" t="s">
        <v>506</v>
      </c>
    </row>
    <row r="96" spans="4:4" x14ac:dyDescent="0.3">
      <c r="D96" s="6" t="s">
        <v>507</v>
      </c>
    </row>
    <row r="97" spans="4:4" x14ac:dyDescent="0.3">
      <c r="D97" s="6" t="s">
        <v>508</v>
      </c>
    </row>
    <row r="98" spans="4:4" x14ac:dyDescent="0.3">
      <c r="D98" s="6" t="s">
        <v>509</v>
      </c>
    </row>
    <row r="99" spans="4:4" x14ac:dyDescent="0.3">
      <c r="D99" s="6" t="s">
        <v>510</v>
      </c>
    </row>
    <row r="100" spans="4:4" x14ac:dyDescent="0.3">
      <c r="D100" s="6" t="s">
        <v>511</v>
      </c>
    </row>
    <row r="101" spans="4:4" x14ac:dyDescent="0.3">
      <c r="D101" s="6" t="s">
        <v>512</v>
      </c>
    </row>
    <row r="102" spans="4:4" x14ac:dyDescent="0.3">
      <c r="D102" s="6" t="s">
        <v>513</v>
      </c>
    </row>
    <row r="103" spans="4:4" x14ac:dyDescent="0.3">
      <c r="D103" s="6" t="s">
        <v>514</v>
      </c>
    </row>
    <row r="104" spans="4:4" x14ac:dyDescent="0.3">
      <c r="D104" s="6" t="s">
        <v>515</v>
      </c>
    </row>
    <row r="105" spans="4:4" x14ac:dyDescent="0.3">
      <c r="D105" s="6" t="s">
        <v>516</v>
      </c>
    </row>
    <row r="107" spans="4:4" x14ac:dyDescent="0.3">
      <c r="D107" s="6" t="s">
        <v>517</v>
      </c>
    </row>
    <row r="109" spans="4:4" x14ac:dyDescent="0.3">
      <c r="D109" s="6" t="s">
        <v>518</v>
      </c>
    </row>
    <row r="110" spans="4:4" x14ac:dyDescent="0.3">
      <c r="D110" s="6" t="s">
        <v>519</v>
      </c>
    </row>
    <row r="111" spans="4:4" x14ac:dyDescent="0.3">
      <c r="D111" s="6" t="e" cm="1">
        <f t="array" ref="D111">- Show only their actual structure</f>
        <v>#NAME?</v>
      </c>
    </row>
    <row r="112" spans="4:4" x14ac:dyDescent="0.3">
      <c r="D112" s="6" t="s">
        <v>520</v>
      </c>
    </row>
    <row r="113" spans="4:4" x14ac:dyDescent="0.3">
      <c r="D113" s="6" t="s">
        <v>521</v>
      </c>
    </row>
    <row r="114" spans="4:4" x14ac:dyDescent="0.3">
      <c r="D114" s="6" t="s">
        <v>522</v>
      </c>
    </row>
    <row r="115" spans="4:4" x14ac:dyDescent="0.3">
      <c r="D115" s="6" t="s">
        <v>523</v>
      </c>
    </row>
    <row r="117" spans="4:4" x14ac:dyDescent="0.3">
      <c r="D117" s="6" t="s">
        <v>524</v>
      </c>
    </row>
    <row r="119" spans="4:4" x14ac:dyDescent="0.3">
      <c r="D119" s="6" t="s">
        <v>525</v>
      </c>
    </row>
    <row r="121" spans="4:4" x14ac:dyDescent="0.3">
      <c r="D121" s="6" t="s">
        <v>526</v>
      </c>
    </row>
    <row r="123" spans="4:4" x14ac:dyDescent="0.3">
      <c r="D123" s="6" t="s">
        <v>527</v>
      </c>
    </row>
    <row r="124" spans="4:4" x14ac:dyDescent="0.3">
      <c r="D124" s="6" t="s">
        <v>528</v>
      </c>
    </row>
    <row r="125" spans="4:4" x14ac:dyDescent="0.3">
      <c r="D125" s="6" t="e" cm="1">
        <f t="array" ref="D125">- FAST cells throughout wizard.</f>
        <v>#NAME?</v>
      </c>
    </row>
    <row r="126" spans="4:4" x14ac:dyDescent="0.3">
      <c r="D126" s="6" t="s">
        <v>529</v>
      </c>
    </row>
    <row r="127" spans="4:4" x14ac:dyDescent="0.3">
      <c r="D127" s="6" t="s">
        <v>530</v>
      </c>
    </row>
    <row r="128" spans="4:4" x14ac:dyDescent="0.3">
      <c r="D128" s="6" t="s">
        <v>531</v>
      </c>
    </row>
    <row r="129" spans="4:4" x14ac:dyDescent="0.3">
      <c r="D129" s="6" t="s">
        <v>532</v>
      </c>
    </row>
    <row r="131" spans="4:4" x14ac:dyDescent="0.3">
      <c r="D131" s="6" t="s">
        <v>533</v>
      </c>
    </row>
    <row r="133" spans="4:4" x14ac:dyDescent="0.3">
      <c r="D133" s="6" t="s">
        <v>534</v>
      </c>
    </row>
    <row r="134" spans="4:4" x14ac:dyDescent="0.3">
      <c r="D134" s="6" t="s">
        <v>535</v>
      </c>
    </row>
    <row r="135" spans="4:4" x14ac:dyDescent="0.3">
      <c r="D135" s="6" t="s">
        <v>536</v>
      </c>
    </row>
    <row r="136" spans="4:4" x14ac:dyDescent="0.3">
      <c r="D136" s="6" t="s">
        <v>537</v>
      </c>
    </row>
    <row r="137" spans="4:4" x14ac:dyDescent="0.3">
      <c r="D137" s="6" t="s">
        <v>538</v>
      </c>
    </row>
    <row r="138" spans="4:4" x14ac:dyDescent="0.3">
      <c r="D138" s="6" t="s">
        <v>539</v>
      </c>
    </row>
    <row r="139" spans="4:4" x14ac:dyDescent="0.3">
      <c r="D139" s="6" t="s">
        <v>540</v>
      </c>
    </row>
    <row r="140" spans="4:4" x14ac:dyDescent="0.3">
      <c r="D140" s="6" t="s">
        <v>541</v>
      </c>
    </row>
    <row r="141" spans="4:4" x14ac:dyDescent="0.3">
      <c r="D141" s="6" t="s">
        <v>542</v>
      </c>
    </row>
    <row r="142" spans="4:4" x14ac:dyDescent="0.3">
      <c r="D142" s="6" t="s">
        <v>543</v>
      </c>
    </row>
    <row r="143" spans="4:4" x14ac:dyDescent="0.3">
      <c r="D143" s="6" t="s">
        <v>544</v>
      </c>
    </row>
    <row r="144" spans="4:4" x14ac:dyDescent="0.3">
      <c r="D144" s="6" t="s">
        <v>545</v>
      </c>
    </row>
    <row r="145" spans="4:4" x14ac:dyDescent="0.3">
      <c r="D145" s="6" t="s">
        <v>546</v>
      </c>
    </row>
    <row r="146" spans="4:4" x14ac:dyDescent="0.3">
      <c r="D146" s="6" t="s">
        <v>547</v>
      </c>
    </row>
    <row r="148" spans="4:4" x14ac:dyDescent="0.3">
      <c r="D148" s="6" t="s">
        <v>548</v>
      </c>
    </row>
    <row r="150" spans="4:4" x14ac:dyDescent="0.3">
      <c r="D150" s="6" t="s">
        <v>549</v>
      </c>
    </row>
    <row r="151" spans="4:4" x14ac:dyDescent="0.3">
      <c r="D151" s="6" t="s">
        <v>550</v>
      </c>
    </row>
    <row r="152" spans="4:4" x14ac:dyDescent="0.3">
      <c r="D152" s="6" t="s">
        <v>551</v>
      </c>
    </row>
    <row r="153" spans="4:4" x14ac:dyDescent="0.3">
      <c r="D153" s="6" t="s">
        <v>552</v>
      </c>
    </row>
    <row r="154" spans="4:4" x14ac:dyDescent="0.3">
      <c r="D154" s="6" t="s">
        <v>553</v>
      </c>
    </row>
    <row r="155" spans="4:4" x14ac:dyDescent="0.3">
      <c r="D155" s="6" t="s">
        <v>554</v>
      </c>
    </row>
    <row r="156" spans="4:4" x14ac:dyDescent="0.3">
      <c r="D156" s="6" t="s">
        <v>555</v>
      </c>
    </row>
    <row r="157" spans="4:4" x14ac:dyDescent="0.3">
      <c r="D157" s="6" t="s">
        <v>556</v>
      </c>
    </row>
    <row r="158" spans="4:4" x14ac:dyDescent="0.3">
      <c r="D158" s="6" t="s">
        <v>557</v>
      </c>
    </row>
    <row r="160" spans="4:4" x14ac:dyDescent="0.3">
      <c r="D160" s="6" t="s">
        <v>558</v>
      </c>
    </row>
    <row r="162" spans="4:4" x14ac:dyDescent="0.3">
      <c r="D162" s="6" t="s">
        <v>559</v>
      </c>
    </row>
    <row r="164" spans="4:4" x14ac:dyDescent="0.3">
      <c r="D164" s="6" t="s">
        <v>560</v>
      </c>
    </row>
  </sheetData>
  <mergeCells count="2">
    <mergeCell ref="B1:D1"/>
    <mergeCell ref="B2:D2"/>
  </mergeCells>
  <conditionalFormatting sqref="E4:E49">
    <cfRule type="containsText" dxfId="2" priority="1" operator="containsText" text="In Progress">
      <formula>NOT(ISERROR(SEARCH("In Progress",E4)))</formula>
    </cfRule>
    <cfRule type="containsText" dxfId="1" priority="2" operator="containsText" text="Not Started">
      <formula>NOT(ISERROR(SEARCH("Not Started",E4)))</formula>
    </cfRule>
    <cfRule type="containsText" dxfId="0" priority="3" operator="containsText" text="Done">
      <formula>NOT(ISERROR(SEARCH("Done",E4)))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346D-962C-46E5-8EDC-978BDB582219}">
  <dimension ref="B1:H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D10" sqref="D10"/>
    </sheetView>
  </sheetViews>
  <sheetFormatPr defaultRowHeight="14.4" x14ac:dyDescent="0.3"/>
  <cols>
    <col min="1" max="1" width="4" customWidth="1"/>
    <col min="2" max="2" width="10" customWidth="1"/>
    <col min="3" max="3" width="32" customWidth="1"/>
    <col min="4" max="4" width="48.88671875" customWidth="1"/>
    <col min="5" max="5" width="14" customWidth="1"/>
    <col min="6" max="6" width="8" customWidth="1"/>
    <col min="7" max="7" width="18" customWidth="1"/>
  </cols>
  <sheetData>
    <row r="1" spans="2:8" ht="25.95" customHeight="1" x14ac:dyDescent="0.4">
      <c r="B1" s="50" t="s">
        <v>391</v>
      </c>
      <c r="C1" s="49"/>
      <c r="D1" s="49"/>
      <c r="E1" s="49"/>
      <c r="F1" s="49"/>
      <c r="G1" s="49"/>
    </row>
    <row r="2" spans="2:8" x14ac:dyDescent="0.3">
      <c r="B2" s="53" t="s">
        <v>392</v>
      </c>
      <c r="C2" s="49"/>
      <c r="D2" s="49"/>
      <c r="E2" s="49"/>
      <c r="F2" s="49"/>
      <c r="G2" s="49"/>
    </row>
    <row r="4" spans="2:8" ht="22.05" customHeight="1" x14ac:dyDescent="0.3">
      <c r="B4" s="37" t="s">
        <v>393</v>
      </c>
      <c r="C4" s="37" t="s">
        <v>394</v>
      </c>
      <c r="D4" s="37" t="s">
        <v>395</v>
      </c>
      <c r="E4" s="37" t="s">
        <v>396</v>
      </c>
      <c r="F4" s="37" t="s">
        <v>397</v>
      </c>
      <c r="G4" s="37" t="s">
        <v>11</v>
      </c>
      <c r="H4" s="37" t="s">
        <v>398</v>
      </c>
    </row>
    <row r="5" spans="2:8" ht="55.95" customHeight="1" x14ac:dyDescent="0.3">
      <c r="B5" s="30">
        <v>1</v>
      </c>
      <c r="C5" s="30" t="s">
        <v>399</v>
      </c>
      <c r="D5" s="30" t="s">
        <v>400</v>
      </c>
      <c r="E5" s="38" t="s">
        <v>401</v>
      </c>
      <c r="F5" s="39" t="s">
        <v>402</v>
      </c>
      <c r="G5" s="40">
        <v>6</v>
      </c>
      <c r="H5" s="38" t="s">
        <v>403</v>
      </c>
    </row>
    <row r="6" spans="2:8" ht="42" customHeight="1" x14ac:dyDescent="0.3">
      <c r="B6" s="30">
        <v>2</v>
      </c>
      <c r="C6" s="30" t="s">
        <v>404</v>
      </c>
      <c r="D6" s="30" t="s">
        <v>405</v>
      </c>
      <c r="E6" s="38" t="s">
        <v>406</v>
      </c>
      <c r="F6" s="41" t="s">
        <v>407</v>
      </c>
      <c r="G6" s="40"/>
      <c r="H6" s="38" t="s">
        <v>408</v>
      </c>
    </row>
    <row r="7" spans="2:8" ht="42" customHeight="1" x14ac:dyDescent="0.3">
      <c r="B7" s="30">
        <v>3</v>
      </c>
      <c r="C7" s="30" t="s">
        <v>409</v>
      </c>
      <c r="D7" s="30" t="s">
        <v>410</v>
      </c>
      <c r="E7" s="38" t="s">
        <v>411</v>
      </c>
      <c r="F7" s="41" t="s">
        <v>407</v>
      </c>
      <c r="G7" s="40">
        <v>4</v>
      </c>
      <c r="H7" s="38" t="s">
        <v>403</v>
      </c>
    </row>
    <row r="8" spans="2:8" ht="55.95" customHeight="1" x14ac:dyDescent="0.3">
      <c r="B8" s="30">
        <v>4</v>
      </c>
      <c r="C8" s="30" t="s">
        <v>412</v>
      </c>
      <c r="D8" s="30" t="s">
        <v>413</v>
      </c>
      <c r="E8" s="38" t="s">
        <v>414</v>
      </c>
      <c r="F8" s="39" t="s">
        <v>402</v>
      </c>
      <c r="G8" s="40">
        <v>8</v>
      </c>
      <c r="H8" s="38" t="s">
        <v>415</v>
      </c>
    </row>
    <row r="9" spans="2:8" ht="42" customHeight="1" x14ac:dyDescent="0.3">
      <c r="B9" s="30">
        <v>5</v>
      </c>
      <c r="C9" s="30" t="s">
        <v>416</v>
      </c>
      <c r="D9" s="30" t="s">
        <v>417</v>
      </c>
      <c r="E9" s="38" t="s">
        <v>418</v>
      </c>
      <c r="F9" s="42" t="s">
        <v>419</v>
      </c>
      <c r="G9" s="40">
        <v>2</v>
      </c>
      <c r="H9" s="38" t="s">
        <v>420</v>
      </c>
    </row>
    <row r="10" spans="2:8" ht="55.95" customHeight="1" x14ac:dyDescent="0.3">
      <c r="B10" s="30">
        <v>6</v>
      </c>
      <c r="C10" s="30" t="s">
        <v>421</v>
      </c>
      <c r="D10" s="30" t="s">
        <v>422</v>
      </c>
      <c r="E10" s="38" t="s">
        <v>423</v>
      </c>
      <c r="F10" s="41" t="s">
        <v>407</v>
      </c>
      <c r="G10" s="40">
        <v>8</v>
      </c>
      <c r="H10" s="38" t="s">
        <v>420</v>
      </c>
    </row>
    <row r="11" spans="2:8" ht="55.95" customHeight="1" x14ac:dyDescent="0.3">
      <c r="B11" s="30">
        <v>7</v>
      </c>
      <c r="C11" s="30" t="s">
        <v>424</v>
      </c>
      <c r="D11" s="30" t="s">
        <v>425</v>
      </c>
      <c r="E11" s="38" t="s">
        <v>426</v>
      </c>
      <c r="F11" s="42" t="s">
        <v>419</v>
      </c>
      <c r="G11" s="40">
        <v>2</v>
      </c>
      <c r="H11" s="38" t="s">
        <v>427</v>
      </c>
    </row>
    <row r="12" spans="2:8" ht="42" customHeight="1" x14ac:dyDescent="0.3">
      <c r="B12" s="30">
        <v>8</v>
      </c>
      <c r="C12" s="30" t="s">
        <v>428</v>
      </c>
      <c r="D12" s="30" t="s">
        <v>429</v>
      </c>
      <c r="E12" s="38" t="s">
        <v>430</v>
      </c>
      <c r="F12" s="41" t="s">
        <v>407</v>
      </c>
      <c r="G12" s="40">
        <v>6</v>
      </c>
      <c r="H12" s="38" t="s">
        <v>420</v>
      </c>
    </row>
    <row r="13" spans="2:8" ht="42" customHeight="1" x14ac:dyDescent="0.3">
      <c r="B13" s="30">
        <v>9</v>
      </c>
      <c r="C13" s="30" t="s">
        <v>431</v>
      </c>
      <c r="D13" s="30" t="s">
        <v>432</v>
      </c>
      <c r="E13" s="38" t="s">
        <v>433</v>
      </c>
      <c r="F13" s="42" t="s">
        <v>419</v>
      </c>
      <c r="G13" s="40">
        <v>8</v>
      </c>
      <c r="H13" s="38" t="s">
        <v>434</v>
      </c>
    </row>
    <row r="14" spans="2:8" ht="42" customHeight="1" x14ac:dyDescent="0.3">
      <c r="B14" s="30">
        <v>10</v>
      </c>
      <c r="C14" s="30" t="s">
        <v>435</v>
      </c>
      <c r="D14" s="30" t="s">
        <v>436</v>
      </c>
      <c r="E14" s="38" t="s">
        <v>437</v>
      </c>
      <c r="F14" s="42" t="s">
        <v>419</v>
      </c>
      <c r="G14" s="40">
        <v>12</v>
      </c>
      <c r="H14" s="38" t="s">
        <v>434</v>
      </c>
    </row>
    <row r="15" spans="2:8" ht="36" customHeight="1" x14ac:dyDescent="0.3">
      <c r="B15" s="30">
        <v>11</v>
      </c>
      <c r="C15" s="30" t="s">
        <v>438</v>
      </c>
      <c r="D15" s="30" t="s">
        <v>439</v>
      </c>
      <c r="E15" s="38" t="s">
        <v>440</v>
      </c>
      <c r="F15" s="42" t="s">
        <v>419</v>
      </c>
      <c r="G15" s="40">
        <v>16</v>
      </c>
      <c r="H15" s="38" t="s">
        <v>434</v>
      </c>
    </row>
    <row r="16" spans="2:8" ht="36" customHeight="1" x14ac:dyDescent="0.3">
      <c r="B16" s="30">
        <v>12</v>
      </c>
      <c r="C16" s="30" t="s">
        <v>441</v>
      </c>
      <c r="D16" s="30" t="s">
        <v>442</v>
      </c>
      <c r="E16" s="38" t="s">
        <v>443</v>
      </c>
      <c r="F16" s="42" t="s">
        <v>419</v>
      </c>
      <c r="G16" s="40">
        <v>8</v>
      </c>
      <c r="H16" s="38" t="s">
        <v>434</v>
      </c>
    </row>
    <row r="17" spans="2:8" ht="42" customHeight="1" x14ac:dyDescent="0.3">
      <c r="B17" s="30">
        <v>13</v>
      </c>
      <c r="C17" s="30" t="s">
        <v>444</v>
      </c>
      <c r="D17" s="30" t="s">
        <v>445</v>
      </c>
      <c r="E17" s="38" t="s">
        <v>446</v>
      </c>
      <c r="F17" s="42" t="s">
        <v>419</v>
      </c>
      <c r="G17" s="40">
        <v>16</v>
      </c>
      <c r="H17" s="38" t="s">
        <v>434</v>
      </c>
    </row>
    <row r="18" spans="2:8" ht="42" customHeight="1" x14ac:dyDescent="0.3">
      <c r="B18" s="30">
        <v>14</v>
      </c>
      <c r="C18" s="30" t="s">
        <v>447</v>
      </c>
      <c r="D18" s="30" t="s">
        <v>448</v>
      </c>
      <c r="E18" s="38" t="s">
        <v>449</v>
      </c>
      <c r="F18" s="41" t="s">
        <v>407</v>
      </c>
      <c r="G18" s="40">
        <v>4</v>
      </c>
      <c r="H18" s="38" t="s">
        <v>420</v>
      </c>
    </row>
    <row r="19" spans="2:8" ht="36" customHeight="1" x14ac:dyDescent="0.3">
      <c r="B19" s="30">
        <v>15</v>
      </c>
      <c r="C19" s="30" t="s">
        <v>450</v>
      </c>
      <c r="D19" s="30" t="s">
        <v>451</v>
      </c>
      <c r="E19" s="38" t="s">
        <v>452</v>
      </c>
      <c r="F19" s="42" t="s">
        <v>419</v>
      </c>
      <c r="G19" s="40">
        <v>4</v>
      </c>
      <c r="H19" s="38" t="s">
        <v>420</v>
      </c>
    </row>
  </sheetData>
  <mergeCells count="2">
    <mergeCell ref="B1:G1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Architecture</vt:lpstr>
      <vt:lpstr>Tracker</vt:lpstr>
      <vt:lpstr>Prompts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Din</cp:lastModifiedBy>
  <dcterms:created xsi:type="dcterms:W3CDTF">2026-04-30T10:47:36Z</dcterms:created>
  <dcterms:modified xsi:type="dcterms:W3CDTF">2026-05-03T17:33:52Z</dcterms:modified>
</cp:coreProperties>
</file>