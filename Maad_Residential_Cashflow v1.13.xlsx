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SFA\0 SFA Clients\8 - DIH\1 Real Estate &amp; Hospitality\1 Maad\Maad April 2026\"/>
    </mc:Choice>
  </mc:AlternateContent>
  <xr:revisionPtr revIDLastSave="0" documentId="13_ncr:1_{CD39CBDC-4AB9-4944-92D6-3D938B97CC09}" xr6:coauthVersionLast="47" xr6:coauthVersionMax="47" xr10:uidLastSave="{00000000-0000-0000-0000-000000000000}"/>
  <bookViews>
    <workbookView xWindow="-108" yWindow="-108" windowWidth="23256" windowHeight="12456" tabRatio="960" xr2:uid="{00000000-000D-0000-FFFF-FFFF00000000}"/>
  </bookViews>
  <sheets>
    <sheet name="Cover" sheetId="16" r:id="rId1"/>
    <sheet name="Revenue" sheetId="5" r:id="rId2"/>
    <sheet name="Costs" sheetId="17" r:id="rId3"/>
    <sheet name="Capex" sheetId="11" r:id="rId4"/>
    <sheet name="Sheet1" sheetId="36" r:id="rId5"/>
    <sheet name="Capex Allocation" sheetId="32" r:id="rId6"/>
    <sheet name="Debt" sheetId="12" r:id="rId7"/>
    <sheet name="P&amp;L" sheetId="3" r:id="rId8"/>
    <sheet name="CF" sheetId="4" r:id="rId9"/>
    <sheet name="WACC" sheetId="24" r:id="rId10"/>
    <sheet name="Wafi Escrow" sheetId="19" r:id="rId11"/>
    <sheet name="Land Summary" sheetId="26" r:id="rId12"/>
    <sheet name="Review Summary" sheetId="15" r:id="rId13"/>
  </sheets>
  <externalReferences>
    <externalReference r:id="rId14"/>
    <externalReference r:id="rId15"/>
    <externalReference r:id="rId16"/>
    <externalReference r:id="rId17"/>
  </externalReferences>
  <definedNames>
    <definedName name="Area_Unit">[1]Intro!$I$8</definedName>
    <definedName name="BigNumber">100000000</definedName>
    <definedName name="CALC">#REF!</definedName>
    <definedName name="Capex_sensitivity">[2]Dashboard!$N$17</definedName>
    <definedName name="CHECK">#REF!</definedName>
    <definedName name="CIQWBGuid" hidden="1">"Pricing Strategy.xlsx"</definedName>
    <definedName name="CPI">#REF!</definedName>
    <definedName name="CPI_St">#REF!</definedName>
    <definedName name="Currency">[1]Intro!$I$6</definedName>
    <definedName name="days_in_month">30</definedName>
    <definedName name="Days_in_Yr">#REF!</definedName>
    <definedName name="Days_per_Year">365</definedName>
    <definedName name="Debtproportion_sensitivity">[2]Dashboard!$C$20</definedName>
    <definedName name="DynamicChart">'[2]Graph data'!A7:OFFSET('[2]Graph data'!A7,11,'[2]Graph data'!$Q$13)</definedName>
    <definedName name="Enddate">54788</definedName>
    <definedName name="hours_per_day">24</definedName>
    <definedName name="INPUT">#REF!</definedName>
    <definedName name="IQ_ADDIN" hidden="1">"AUTO"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BROKER_REC_NO_REUT" hidden="1">"c5315"</definedName>
    <definedName name="IQ_AVG_BROKER_REC_REUT" hidden="1">"c3630"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PEX_ACT_OR_EST_REUT" hidden="1">"c5474"</definedName>
    <definedName name="IQ_CAPEX_BR" hidden="1">"c111"</definedName>
    <definedName name="IQ_CAPEX_EST_REUT" hidden="1">"c3969"</definedName>
    <definedName name="IQ_CAPEX_HIGH_EST_REUT" hidden="1">"c3971"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URRENCY_GAIN_BR" hidden="1">"c236"</definedName>
    <definedName name="IQ_CURRENT_PORT_DEBT_BR" hidden="1">"c1567"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IFF_LASTCLOSE_TARGET_PRICE_REUT" hidden="1">"c5436"</definedName>
    <definedName name="IQ_DNTM" hidden="1">700000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EARNINGS_ANNOUNCE_DATE_REUT" hidden="1">"c5314"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LOW_EST_REUT" hidden="1">"c5336"</definedName>
    <definedName name="IQ_EBIT_MEDIAN_EST_REUT" hidden="1">"c5334"</definedName>
    <definedName name="IQ_EBIT_NUM_EST_REUT" hidden="1">"c5337"</definedName>
    <definedName name="IQ_EBIT_STDDEV_EST_REUT" hidden="1">"c5338"</definedName>
    <definedName name="IQ_EBITDA_ACT_OR_EST_REUT" hidden="1">"c5462"</definedName>
    <definedName name="IQ_EBITDA_EST_REUT" hidden="1">"c3640"</definedName>
    <definedName name="IQ_EBITDA_HIGH_EST_REUT" hidden="1">"c3642"</definedName>
    <definedName name="IQ_EBITDA_LOW_EST_REUT" hidden="1">"c3643"</definedName>
    <definedName name="IQ_EBITDA_MEDIAN_EST_REUT" hidden="1">"c3641"</definedName>
    <definedName name="IQ_EBITDA_NUM_EST_REUT" hidden="1">"c3644"</definedName>
    <definedName name="IQ_EBITDA_STDDEV_EST_REUT" hidden="1">"c3645"</definedName>
    <definedName name="IQ_EBT_BR" hidden="1">"c378"</definedName>
    <definedName name="IQ_EBT_EXCL_BR" hidden="1">"c381"</definedName>
    <definedName name="IQ_EPS_ACT_OR_EST_REUT" hidden="1">"c5460"</definedName>
    <definedName name="IQ_EPS_EST_BOTTOM_UP_REUT" hidden="1">"c5497"</definedName>
    <definedName name="IQ_EPS_EST_REUT" hidden="1">"c5453"</definedName>
    <definedName name="IQ_EPS_GW_ACT_OR_EST_REUT" hidden="1">"c5469"</definedName>
    <definedName name="IQ_EPS_GW_EST_BOTTOM_UP_REUT" hidden="1">"c5499"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_REUT" hidden="1">"c5454"</definedName>
    <definedName name="IQ_EPS_LOW_EST_REUT" hidden="1">"c5455"</definedName>
    <definedName name="IQ_EPS_MEDIAN_EST_REUT" hidden="1">"c5456"</definedName>
    <definedName name="IQ_EPS_NORM_EST_BOTTOM_UP_REUT" hidden="1">"c5498"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_REUT" hidden="1">"c5451"</definedName>
    <definedName name="IQ_EPS_REPORT_ACT_OR_EST_REUT" hidden="1">"c5470"</definedName>
    <definedName name="IQ_EPS_REPORTED_EST_BOTTOM_UP_REUT" hidden="1">"c5500"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_REUT" hidden="1">"c5452"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_GW_REUT" hidden="1">"c5395"</definedName>
    <definedName name="IQ_EST_ACT_EPS_NORM_REUT" hidden="1">"c5332"</definedName>
    <definedName name="IQ_EST_ACT_EPS_REPORTED_REUT" hidden="1">"c5402"</definedName>
    <definedName name="IQ_EST_ACT_EPS_REUT" hidden="1">"c5457"</definedName>
    <definedName name="IQ_EST_ACT_FFO_REUT" hidden="1">"c3843"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_REUT" hidden="1">"c5437"</definedName>
    <definedName name="IQ_EST_DATE_REUT" hidden="1">"c5438"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_REUT" hidden="1">"c3646"</definedName>
    <definedName name="IQ_EST_EPS_GROWTH_2YR_REUT" hidden="1">"c3858"</definedName>
    <definedName name="IQ_EST_EPS_GROWTH_5YR_BOTTOM_UP_REUT" hidden="1">"c5495"</definedName>
    <definedName name="IQ_EST_EPS_GROWTH_5YR_HIGH_REUT" hidden="1">"c5322"</definedName>
    <definedName name="IQ_EST_EPS_GROWTH_5YR_LOW_REUT" hidden="1">"c5323"</definedName>
    <definedName name="IQ_EST_EPS_GROWTH_5YR_MEDIAN_REUT" hidden="1">"c5321"</definedName>
    <definedName name="IQ_EST_EPS_GROWTH_5YR_NUM_REUT" hidden="1">"c5324"</definedName>
    <definedName name="IQ_EST_EPS_GROWTH_5YR_REUT" hidden="1">"c3633"</definedName>
    <definedName name="IQ_EST_EPS_GROWTH_5YR_STDDEV_REUT" hidden="1">"c5325"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REUT" hidden="1">"c3869"</definedName>
    <definedName name="IQ_EST_NUM_HOLD_REUT" hidden="1">"c3871"</definedName>
    <definedName name="IQ_EST_NUM_NO_OPINION_REUT" hidden="1">"c3868"</definedName>
    <definedName name="IQ_EST_NUM_OUTPERFORM_REUT" hidden="1">"c3870"</definedName>
    <definedName name="IQ_EST_NUM_SELL_REUT" hidden="1">"c3873"</definedName>
    <definedName name="IQ_EST_NUM_UNDERPERFORM_REUT" hidden="1">"c3872"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XTRA_ACC_ITEMS_BR" hidden="1">"c412"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TDDEV_EST_REUT" hidden="1">"c3842"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HIGH_TARGET_PRICE_REUT" hidden="1">"c5317"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VEST_LOANS_CF_BR" hidden="1">"c630"</definedName>
    <definedName name="IQ_INVEST_SECURITY_CF_BR" hidden="1">"c639"</definedName>
    <definedName name="IQ_LATESTK" hidden="1">1000</definedName>
    <definedName name="IQ_LATESTQ" hidden="1">500</definedName>
    <definedName name="IQ_LEGAL_SETTLE_BR" hidden="1">"c649"</definedName>
    <definedName name="IQ_LOANS_CF_BR" hidden="1">"c661"</definedName>
    <definedName name="IQ_LOW_TARGET_PRICE_REUT" hidden="1">"c5318"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MONTH" hidden="1">120000</definedName>
    <definedName name="IQ_MEDIAN_TARGET_PRICE_REUT" hidden="1">"c5316"</definedName>
    <definedName name="IQ_MERGER_BR" hidden="1">"c715"</definedName>
    <definedName name="IQ_MERGER_RESTRUCTURE_BR" hidden="1">"c721"</definedName>
    <definedName name="IQ_MINORITY_INTEREST_BR" hidden="1">"c729"</definedName>
    <definedName name="IQ_MKTCAP_TOTAL_REV_FWD_REUT" hidden="1">"c4048"</definedName>
    <definedName name="IQ_MTD" hidden="1">800000</definedName>
    <definedName name="IQ_NAMES_REVISION_DATE_" hidden="1">"06/29/2017 06:58:26"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DEBT_ACT_OR_EST_REUT" hidden="1">"c5473"</definedName>
    <definedName name="IQ_NET_DEBT_EST_REUT" hidden="1">"c3976"</definedName>
    <definedName name="IQ_NET_DEBT_HIGH_EST_REUT" hidden="1">"c3978"</definedName>
    <definedName name="IQ_NET_DEBT_ISSUED_BR" hidden="1">"c753"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T_INC_BR" hidden="1">"c765"</definedName>
    <definedName name="IQ_NI_ACT_OR_EST_REUT" hidden="1">"c5468"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EDIAN_EST_REUT" hidden="1">"c5369"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TDDEV_EST_REUT" hidden="1">"c5373"</definedName>
    <definedName name="IQ_NORM_EPS_ACT_OR_EST_REUT" hidden="1">"c5472"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HIGH_EST_REUT" hidden="1">"c5342"</definedName>
    <definedName name="IQ_OPER_INC_LOW_EST_REUT" hidden="1">"c5343"</definedName>
    <definedName name="IQ_OPER_INC_MEDIAN_EST_REUT" hidden="1">"c5341"</definedName>
    <definedName name="IQ_OPER_INC_NUM_EST_REUT" hidden="1">"c5344"</definedName>
    <definedName name="IQ_OPER_INC_STDDEV_EST_REUT" hidden="1">"c5345"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_EXCL_FWD_REUT" hidden="1">"c4049"</definedName>
    <definedName name="IQ_PEG_FWD_REUT" hidden="1">"c4052"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"c3965"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OTENTIAL_UPSIDE_REUT" hidden="1">"c3968"</definedName>
    <definedName name="IQ_PRE_TAX_ACT_OR_EST_REUT" hidden="1">"c5467"</definedName>
    <definedName name="IQ_PREF_ISSUED_BR" hidden="1">"c1047"</definedName>
    <definedName name="IQ_PREF_OTHER_BR" hidden="1">"c1055"</definedName>
    <definedName name="IQ_PREF_REP_BR" hidden="1">"c1062"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ICE_CFPS_FWD_REUT" hidden="1">"c4053"</definedName>
    <definedName name="IQ_PRICE_TARGET_BOTTOM_UP_REUT" hidden="1">"c5494"</definedName>
    <definedName name="IQ_PRICE_TARGET_REUT" hidden="1">"c3631"</definedName>
    <definedName name="IQ_PRIMARY_EPS_TYPE_REUT" hidden="1">"c5481"</definedName>
    <definedName name="IQ_QTD" hidden="1">750000</definedName>
    <definedName name="IQ_RESIDENTIAL_LOANS" hidden="1">"c1102"</definedName>
    <definedName name="IQ_RESTRUCTURE_BR" hidden="1">"c1106"</definedName>
    <definedName name="IQ_RETURN_ASSETS_ACT_OR_EST_REUT" hidden="1">"c5475"</definedName>
    <definedName name="IQ_RETURN_ASSETS_BROK" hidden="1">"c1115"</definedName>
    <definedName name="IQ_RETURN_ASSETS_EST_REUT" hidden="1">"c3990"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EQUITY_ACT_OR_EST_REUT" hidden="1">"c5476"</definedName>
    <definedName name="IQ_RETURN_EQUITY_BROK" hidden="1">"c1120"</definedName>
    <definedName name="IQ_RETURN_EQUITY_EST_REUT" hidden="1">"c3983"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V_STDDEV_EST_REUT" hidden="1">"c3639"</definedName>
    <definedName name="IQ_REVENUE_ACT_OR_EST_REUT" hidden="1">"c5461"</definedName>
    <definedName name="IQ_REVENUE_EST_BOTTOM_UP_REUT" hidden="1">"c5496"</definedName>
    <definedName name="IQ_REVENUE_EST_REUT" hidden="1">"c3634"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UM_EST_REUT" hidden="1">"c3638"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ARGET_PRICE_NUM_REUT" hidden="1">"c5319"</definedName>
    <definedName name="IQ_TARGET_PRICE_STDDEV_REUT" hidden="1">"c5320"</definedName>
    <definedName name="IQ_TEV_EBIT_FWD_REUT" hidden="1">"c4054"</definedName>
    <definedName name="IQ_TEV_EBITDA_FWD_REUT" hidden="1">"c4050"</definedName>
    <definedName name="IQ_TEV_TOTAL_REV_FWD_REUT" hidden="1">"c4051"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REV_BR" hidden="1">"c1303"</definedName>
    <definedName name="IQ_TOTAL_UNUSUAL_BR" hidden="1">"c5517"</definedName>
    <definedName name="IQ_TREASURY_OTHER_EQUITY_BR" hidden="1">"c1314"</definedName>
    <definedName name="IQ_UNEARN_REV_CURRENT_BR" hidden="1">"c1324"</definedName>
    <definedName name="IQ_YTDMONTH" hidden="1">130000</definedName>
    <definedName name="Landcost_sensitivity">[2]Dashboard!$N$18</definedName>
    <definedName name="Leaseexp_sensitivity">[2]Dashboard!$N$20</definedName>
    <definedName name="Million">#REF!</definedName>
    <definedName name="Monthly">[2]Global!$J$69</definedName>
    <definedName name="Months_per_Year">12</definedName>
    <definedName name="Occupancy_sensitivity">[2]Dashboard!$N$16</definedName>
    <definedName name="Optcost_sensitivity">[2]Dashboard!$N$19</definedName>
    <definedName name="P1_PS_End_Date">#REF!</definedName>
    <definedName name="P1_PS_ST_Date">#REF!</definedName>
    <definedName name="P1_SDC_End_Date">#REF!</definedName>
    <definedName name="P1_SDC_St_Date">#REF!</definedName>
    <definedName name="P2_End_date">#REF!</definedName>
    <definedName name="P2_St_Date">#REF!</definedName>
    <definedName name="_xlnm.Print_Area" localSheetId="8">CF!$B$1:$T$72</definedName>
    <definedName name="_xlnm.Print_Area" localSheetId="7">'P&amp;L'!$B$1:$S$62</definedName>
    <definedName name="_xlnm.Print_Titles" localSheetId="8">CF!$B:$E,CF!$1:$5</definedName>
    <definedName name="_xlnm.Print_Titles" localSheetId="7">'P&amp;L'!$B:$D,'P&amp;L'!$1:$4</definedName>
    <definedName name="ProjStartDate">[1]Intro!$I$10</definedName>
    <definedName name="quarter">0.25</definedName>
    <definedName name="Quarterly">[2]Global!$J$68</definedName>
    <definedName name="Revenue_sensitivity">[2]Dashboard!$N$15</definedName>
    <definedName name="rngCrncy">[3]Settings!$E$61</definedName>
    <definedName name="rngModelName">[4]Global!$E$16</definedName>
    <definedName name="rngProjName">[4]Global!$E$15</definedName>
    <definedName name="SemiAnnually">[2]Global!$J$67</definedName>
    <definedName name="Thousand">1000</definedName>
    <definedName name="Todaydate">42004</definedName>
    <definedName name="unit" hidden="1">1000</definedName>
    <definedName name="Unit_cent">100</definedName>
    <definedName name="Unit_k">1000</definedName>
    <definedName name="Unit_mn">1000000</definedName>
    <definedName name="Units">1000</definedName>
    <definedName name="Weekly">[2]Global!$J$70</definedName>
    <definedName name="z_ActivePeriods">'[2]Graph data'!$R$6:OFFSET('[2]Graph data'!$R$6,,'[2]Graph data'!$Q$13)</definedName>
    <definedName name="z_Constructionphase">('[2]General Input'!$R$6:OFFSET('[2]General Input'!$R$6,,'[2]General Input'!$J$17/12-1))</definedName>
    <definedName name="z_EBITDAMargin">'[2]Graph data'!$R$33:OFFSET('[2]Graph data'!$R$33,,'[2]Graph data'!$Q$13)</definedName>
    <definedName name="z_EBIZMargin">'[2]Graph data'!$R$34:OFFSET('[2]Graph data'!$R$34,,'[2]Graph data'!$Q$13)</definedName>
    <definedName name="z_Entertainment_LeisureRevenue">'[2]Graph data'!$R$23:OFFSET('[2]Graph data'!$R$23,,'[2]Graph data'!$Q$13)</definedName>
    <definedName name="z_EntertainmentType">[2]Headings!#REF!</definedName>
    <definedName name="z_FinancingCash">'[2]Graph data'!$R$41:OFFSET('[2]Graph data'!$R$41,,'[2]Graph data'!$Q$13)</definedName>
    <definedName name="z_HospitalityRevenue">'[2]Graph data'!$R$18:OFFSET('[2]Graph data'!$R$18,,'[2]Graph data'!$Q$13)</definedName>
    <definedName name="z_IndustrialRevenue">'[2]Graph data'!$R$19:OFFSET('[2]Graph data'!$R$19,,'[2]Graph data'!$Q$13)</definedName>
    <definedName name="z_InvestingCash">'[2]Graph data'!$R$40:OFFSET('[2]Graph data'!$R$40,,'[2]Graph data'!$Q$13)</definedName>
    <definedName name="z_LaborAccomodationRevenue">'[2]Graph data'!$R$22:OFFSET('[2]Graph data'!$R$22,,'[2]Graph data'!$Q$13)</definedName>
    <definedName name="z_LandRevenue">'[2]Graph data'!$R$21:OFFSET('[2]Graph data'!$R$21,,'[2]Graph data'!$Q$13)</definedName>
    <definedName name="z_OfficeRevenue">'[2]Graph data'!$R$17:OFFSET('[2]Graph data'!$R$17,,'[2]Graph data'!$Q$13)</definedName>
    <definedName name="z_OperatingCash">'[2]Graph data'!$R$39:OFFSET('[2]Graph data'!$R$39,,'[2]Graph data'!$Q$13)</definedName>
    <definedName name="z_PATMargin">'[2]Graph data'!$R$36:OFFSET('[2]Graph data'!$R$36,,'[2]Graph data'!$Q$13)</definedName>
    <definedName name="z_PBTMargin">'[2]Graph data'!$R$35:OFFSET('[2]Graph data'!$R$35,,'[2]Graph data'!$Q$13)</definedName>
    <definedName name="z_ResidentialRevenue">'[2]Graph data'!#REF!:OFFSET('[2]Graph data'!#REF!,,'[2]Graph data'!$Q$13)</definedName>
    <definedName name="z_RetailRevenue">'[2]Graph data'!$R$16:OFFSET('[2]Graph data'!$R$16,,'[2]Graph data'!$Q$13)</definedName>
    <definedName name="z_SaleLeaseOperate">[2]Headings!$I$574:$I$576</definedName>
    <definedName name="z_Spare1Revenue">'[2]Graph data'!$R$24:OFFSET('[2]Graph data'!$R$24,,'[2]Graph data'!$Q$13)</definedName>
    <definedName name="z_Spare2Revenue">'[2]Graph data'!$R$25:OFFSET('[2]Graph data'!$R$25,,'[2]Graph data'!$Q$13)</definedName>
    <definedName name="z_TotalCapex">'[2]Graph data'!$R$32:OFFSET('[2]Graph data'!$R$32,,'[2]Graph data'!$Q$13)</definedName>
    <definedName name="z_TotalCost">'[2]Graph data'!$R$31:OFFSET('[2]Graph data'!$R$31,,'[2]Graph data'!$Q$13)</definedName>
    <definedName name="z_TotalRevenue">'[2]Graph data'!$R$29:OFFSET('[2]Graph data'!$R$29,,'[2]Graph data'!$Q$13)</definedName>
    <definedName name="z_Warehouse_LogsticsRevenue">'[2]Graph data'!$R$20:OFFSET('[2]Graph data'!$R$20,,'[2]Graph data'!$Q$13)</definedName>
    <definedName name="Zakat_rate">0.025</definedName>
    <definedName name="zAllocationBasis">[2]Headings!$G$530:$G$531</definedName>
    <definedName name="zBUACalculationBasis">[2]Headings!$G$534:$G$535</definedName>
    <definedName name="zCompany">[2]Global!$F$13</definedName>
    <definedName name="zDate_Headings">[2]Global!$31:$31</definedName>
    <definedName name="zDepartment">[2]Global!$F$14</definedName>
    <definedName name="zDevelopLand">[2]Headings!$H$574:$H$575</definedName>
    <definedName name="zDiscountPeriodType">[2]Headings!$G$522:$G$523</definedName>
    <definedName name="zDPW">[2]Global!$J$38</definedName>
    <definedName name="zDpY">[2]Global!$J$34</definedName>
    <definedName name="zEndDates">[2]Global!$30:$30</definedName>
    <definedName name="zEntertainmentCalc">#REF!</definedName>
    <definedName name="zFinancingCost">[2]Headings!$G$556:$G$557</definedName>
    <definedName name="zFlagDates">[2]Global!$L$43:$L$46</definedName>
    <definedName name="zFVWarehouseCalc">'[2]Calc_Other Assets'!$E$33</definedName>
    <definedName name="zFYE">[2]Global!$J$37</definedName>
    <definedName name="zHospCalc">'[2]Calc_Hosp,Office &amp; Civ'!$E$33</definedName>
    <definedName name="zIndustrialCalc">'[2]Calc_Hosp,Office &amp; Civ'!$E$8915</definedName>
    <definedName name="zIRR_CF_FP">10^(-6)</definedName>
    <definedName name="zLabourCalc">'[2]Calc_Other Assets'!$E$11257</definedName>
    <definedName name="zLandAllocationBasis">[2]Headings!$I$530:$I$531</definedName>
    <definedName name="zLblHis">[2]Global!$J$43</definedName>
    <definedName name="zMDate">[2]Global!$F$20</definedName>
    <definedName name="zMnthFY">[2]Global!$76:$76</definedName>
    <definedName name="zModelCheck">[2]TOC!$E$12</definedName>
    <definedName name="zModelEndDate">[2]Global!$J$36</definedName>
    <definedName name="zModelName">[2]Global!$F$15</definedName>
    <definedName name="zModelPerNo">[2]Global!$63:$63</definedName>
    <definedName name="zMpHY">[2]Global!$J$83</definedName>
    <definedName name="zMpQtr">[2]Global!$J$84</definedName>
    <definedName name="zNo">[2]Headings!$G$514</definedName>
    <definedName name="zParkingArea">[2]Headings!$G$542:$G$543</definedName>
    <definedName name="zPeriodsPerYear">[2]Global!$J$66:$J$70</definedName>
    <definedName name="zPerType">[2]Global!$28:$28</definedName>
    <definedName name="zPpY">[2]Global!$J$33</definedName>
    <definedName name="zProjName">[2]Global!$F$12</definedName>
    <definedName name="zRepaymentMethod">[2]Headings!$G$517:$G$519</definedName>
    <definedName name="zSaleLease">[2]Headings!$G$574:$G$575</definedName>
    <definedName name="zSensitivities">[2]Headings!$G$560:$GY$560</definedName>
    <definedName name="zSensitivitiesType">[2]Headings!$G$563:$G$564</definedName>
    <definedName name="zSheetCheckCell">[2]TOC!$F$8</definedName>
    <definedName name="zSourcesFunds">[2]Headings!$G$552:$G$553</definedName>
    <definedName name="zStartDates">[2]Global!$29:$29</definedName>
    <definedName name="zThousandFactor">[2]Global!$J$40</definedName>
    <definedName name="zTolerance">0.001</definedName>
    <definedName name="ztolerance_4d">4</definedName>
    <definedName name="ztolerance_d">-LOG(zTolerance)</definedName>
    <definedName name="zVersion">[2]Global!$F$21</definedName>
    <definedName name="zWACCSelection">[2]Headings!$G$526:$G$527</definedName>
    <definedName name="zYesNo">[2]Headings!$G$513:$G$514</definedName>
    <definedName name="zYrEnd">[2]Global!$80:$80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5" i="11" l="1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B11" i="3"/>
  <c r="B10" i="3"/>
  <c r="B9" i="3"/>
  <c r="B8" i="3"/>
  <c r="B7" i="3"/>
  <c r="B6" i="3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G5" i="36"/>
  <c r="F5" i="36"/>
  <c r="C169" i="5"/>
  <c r="M153" i="5"/>
  <c r="N153" i="5"/>
  <c r="O153" i="5"/>
  <c r="P153" i="5"/>
  <c r="R153" i="5"/>
  <c r="S153" i="5"/>
  <c r="T153" i="5"/>
  <c r="U153" i="5"/>
  <c r="V153" i="5"/>
  <c r="W153" i="5"/>
  <c r="X153" i="5"/>
  <c r="Y153" i="5"/>
  <c r="Z153" i="5"/>
  <c r="M154" i="5"/>
  <c r="N154" i="5"/>
  <c r="O154" i="5"/>
  <c r="P154" i="5"/>
  <c r="R154" i="5"/>
  <c r="S154" i="5"/>
  <c r="T154" i="5"/>
  <c r="U154" i="5"/>
  <c r="V154" i="5"/>
  <c r="W154" i="5"/>
  <c r="X154" i="5"/>
  <c r="Y154" i="5"/>
  <c r="Z154" i="5"/>
  <c r="M155" i="5"/>
  <c r="N155" i="5"/>
  <c r="O155" i="5"/>
  <c r="P155" i="5"/>
  <c r="R155" i="5"/>
  <c r="S155" i="5"/>
  <c r="T155" i="5"/>
  <c r="U155" i="5"/>
  <c r="V155" i="5"/>
  <c r="W155" i="5"/>
  <c r="X155" i="5"/>
  <c r="Y155" i="5"/>
  <c r="Z155" i="5"/>
  <c r="L155" i="5"/>
  <c r="L154" i="5"/>
  <c r="L153" i="5"/>
  <c r="H150" i="5"/>
  <c r="H149" i="5"/>
  <c r="H148" i="5"/>
  <c r="G159" i="5" s="1"/>
  <c r="G150" i="5"/>
  <c r="G149" i="5"/>
  <c r="G148" i="5"/>
  <c r="G161" i="5"/>
  <c r="G160" i="5"/>
  <c r="G118" i="5"/>
  <c r="G119" i="5"/>
  <c r="G123" i="5" s="1" a="1"/>
  <c r="G123" i="5" s="1"/>
  <c r="H118" i="5"/>
  <c r="H119" i="5"/>
  <c r="G128" i="5" s="1"/>
  <c r="E52" i="15"/>
  <c r="E51" i="15"/>
  <c r="E53" i="15"/>
  <c r="V88" i="12"/>
  <c r="U88" i="12"/>
  <c r="T88" i="12"/>
  <c r="S88" i="12"/>
  <c r="R88" i="12"/>
  <c r="Q88" i="12"/>
  <c r="P88" i="12"/>
  <c r="O88" i="12"/>
  <c r="N88" i="12"/>
  <c r="M88" i="12"/>
  <c r="H88" i="12"/>
  <c r="F39" i="4"/>
  <c r="L122" i="5" l="1"/>
  <c r="G122" i="5" a="1"/>
  <c r="G122" i="5" s="1"/>
  <c r="G162" i="5"/>
  <c r="M122" i="5"/>
  <c r="N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L123" i="5"/>
  <c r="M123" i="5"/>
  <c r="N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I72" i="12"/>
  <c r="J72" i="12"/>
  <c r="K72" i="12"/>
  <c r="L72" i="12"/>
  <c r="M72" i="12"/>
  <c r="N72" i="12"/>
  <c r="O72" i="12"/>
  <c r="P72" i="12"/>
  <c r="Q72" i="12"/>
  <c r="R72" i="12"/>
  <c r="S72" i="12"/>
  <c r="T72" i="12"/>
  <c r="U72" i="12"/>
  <c r="V72" i="12"/>
  <c r="L93" i="5"/>
  <c r="L92" i="5"/>
  <c r="L91" i="5"/>
  <c r="M91" i="5" s="1"/>
  <c r="N91" i="5" s="1"/>
  <c r="D12" i="19"/>
  <c r="D13" i="19" s="1"/>
  <c r="F70" i="4"/>
  <c r="F16" i="32"/>
  <c r="F15" i="32"/>
  <c r="F14" i="32"/>
  <c r="F13" i="32"/>
  <c r="F12" i="32"/>
  <c r="F11" i="32"/>
  <c r="F10" i="32"/>
  <c r="L304" i="5"/>
  <c r="L231" i="5"/>
  <c r="B78" i="4"/>
  <c r="B77" i="4"/>
  <c r="B76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F99" i="4"/>
  <c r="M93" i="5" l="1"/>
  <c r="N93" i="5" s="1"/>
  <c r="M92" i="5"/>
  <c r="O91" i="5"/>
  <c r="E102" i="4"/>
  <c r="E103" i="4"/>
  <c r="N92" i="5" l="1"/>
  <c r="O93" i="5"/>
  <c r="P91" i="5"/>
  <c r="B88" i="4"/>
  <c r="B104" i="4" s="1"/>
  <c r="B87" i="4"/>
  <c r="B103" i="4" s="1"/>
  <c r="B86" i="4"/>
  <c r="B102" i="4" s="1"/>
  <c r="B99" i="4"/>
  <c r="B98" i="4"/>
  <c r="B97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C68" i="12"/>
  <c r="C67" i="12"/>
  <c r="C66" i="12"/>
  <c r="C65" i="12"/>
  <c r="Q30" i="12"/>
  <c r="P21" i="12"/>
  <c r="G1" i="4"/>
  <c r="S71" i="11" s="1"/>
  <c r="F128" i="32"/>
  <c r="F127" i="32"/>
  <c r="F126" i="32"/>
  <c r="F125" i="32"/>
  <c r="F124" i="32"/>
  <c r="F123" i="32"/>
  <c r="F122" i="32"/>
  <c r="F121" i="32"/>
  <c r="F118" i="32"/>
  <c r="F117" i="32"/>
  <c r="F116" i="32"/>
  <c r="F115" i="32"/>
  <c r="F114" i="32"/>
  <c r="F113" i="32"/>
  <c r="F112" i="32"/>
  <c r="F111" i="32"/>
  <c r="F108" i="32"/>
  <c r="F107" i="32"/>
  <c r="F106" i="32"/>
  <c r="F105" i="32"/>
  <c r="F104" i="32"/>
  <c r="F103" i="32"/>
  <c r="F102" i="32"/>
  <c r="F101" i="32"/>
  <c r="F98" i="32"/>
  <c r="F97" i="32"/>
  <c r="F96" i="32"/>
  <c r="F95" i="32"/>
  <c r="F94" i="32"/>
  <c r="F93" i="32"/>
  <c r="F92" i="32"/>
  <c r="F91" i="32"/>
  <c r="F88" i="32"/>
  <c r="F87" i="32"/>
  <c r="F86" i="32"/>
  <c r="F85" i="32"/>
  <c r="F84" i="32"/>
  <c r="F83" i="32"/>
  <c r="F82" i="32"/>
  <c r="F81" i="32"/>
  <c r="F78" i="32"/>
  <c r="F77" i="32"/>
  <c r="F76" i="32"/>
  <c r="F75" i="32"/>
  <c r="F74" i="32"/>
  <c r="F73" i="32"/>
  <c r="F72" i="32"/>
  <c r="F71" i="32"/>
  <c r="F66" i="32"/>
  <c r="F65" i="32"/>
  <c r="F64" i="32"/>
  <c r="F63" i="32"/>
  <c r="F62" i="32"/>
  <c r="F61" i="32"/>
  <c r="F60" i="32"/>
  <c r="F59" i="32"/>
  <c r="F56" i="32"/>
  <c r="F55" i="32"/>
  <c r="F54" i="32"/>
  <c r="F53" i="32"/>
  <c r="F52" i="32"/>
  <c r="F51" i="32"/>
  <c r="F50" i="32"/>
  <c r="F49" i="32"/>
  <c r="F46" i="32"/>
  <c r="F45" i="32"/>
  <c r="F44" i="32"/>
  <c r="F43" i="32"/>
  <c r="F42" i="32"/>
  <c r="F41" i="32"/>
  <c r="F40" i="32"/>
  <c r="F39" i="32"/>
  <c r="F36" i="32"/>
  <c r="F35" i="32"/>
  <c r="F34" i="32"/>
  <c r="F33" i="32"/>
  <c r="F32" i="32"/>
  <c r="F31" i="32"/>
  <c r="F30" i="32"/>
  <c r="F29" i="32"/>
  <c r="F26" i="32"/>
  <c r="F25" i="32"/>
  <c r="F24" i="32"/>
  <c r="F23" i="32"/>
  <c r="F22" i="32"/>
  <c r="F21" i="32"/>
  <c r="F20" i="32"/>
  <c r="F19" i="32"/>
  <c r="F9" i="32"/>
  <c r="L164" i="11"/>
  <c r="N4" i="32"/>
  <c r="O4" i="32" s="1"/>
  <c r="P4" i="32" s="1"/>
  <c r="Q4" i="32" s="1"/>
  <c r="R4" i="32" s="1"/>
  <c r="S4" i="32" s="1"/>
  <c r="T4" i="32" s="1"/>
  <c r="U4" i="32" s="1"/>
  <c r="O92" i="5" l="1"/>
  <c r="P92" i="5" s="1"/>
  <c r="Q92" i="5" s="1"/>
  <c r="P93" i="5"/>
  <c r="Q93" i="5" s="1"/>
  <c r="Q91" i="5"/>
  <c r="R91" i="5" s="1"/>
  <c r="E98" i="4"/>
  <c r="E97" i="4"/>
  <c r="E92" i="4"/>
  <c r="E93" i="4"/>
  <c r="E94" i="4"/>
  <c r="Y32" i="11"/>
  <c r="S66" i="11"/>
  <c r="S33" i="11"/>
  <c r="Q9" i="11"/>
  <c r="Q67" i="11"/>
  <c r="N10" i="11"/>
  <c r="N68" i="11"/>
  <c r="Q43" i="11"/>
  <c r="O68" i="11"/>
  <c r="R43" i="11"/>
  <c r="Z68" i="11"/>
  <c r="U10" i="11"/>
  <c r="S47" i="11"/>
  <c r="M69" i="11"/>
  <c r="S10" i="11"/>
  <c r="T47" i="11"/>
  <c r="V64" i="11"/>
  <c r="V164" i="11" s="1"/>
  <c r="X69" i="11"/>
  <c r="N26" i="11"/>
  <c r="Y54" i="11"/>
  <c r="W64" i="11"/>
  <c r="W164" i="11" s="1"/>
  <c r="Y69" i="11"/>
  <c r="P67" i="11"/>
  <c r="O36" i="11"/>
  <c r="N37" i="11"/>
  <c r="R16" i="11"/>
  <c r="Z16" i="11"/>
  <c r="U25" i="11"/>
  <c r="P55" i="11"/>
  <c r="T65" i="11"/>
  <c r="V70" i="11"/>
  <c r="Z21" i="11"/>
  <c r="S58" i="11"/>
  <c r="U65" i="11"/>
  <c r="T71" i="11"/>
  <c r="Y21" i="11"/>
  <c r="U58" i="11"/>
  <c r="R66" i="11"/>
  <c r="Y71" i="11"/>
  <c r="U21" i="11"/>
  <c r="R59" i="11"/>
  <c r="T66" i="11"/>
  <c r="S16" i="11"/>
  <c r="R48" i="11"/>
  <c r="M20" i="11"/>
  <c r="P69" i="11"/>
  <c r="O35" i="11"/>
  <c r="P37" i="11"/>
  <c r="V65" i="11"/>
  <c r="O12" i="11"/>
  <c r="V44" i="11"/>
  <c r="W65" i="11"/>
  <c r="R24" i="11"/>
  <c r="O45" i="11"/>
  <c r="T67" i="11"/>
  <c r="R12" i="11"/>
  <c r="P34" i="11"/>
  <c r="V55" i="11"/>
  <c r="W66" i="11"/>
  <c r="O70" i="11"/>
  <c r="Z13" i="11"/>
  <c r="M23" i="11"/>
  <c r="Z23" i="11"/>
  <c r="M31" i="11"/>
  <c r="O38" i="11"/>
  <c r="Q45" i="11"/>
  <c r="S49" i="11"/>
  <c r="Z55" i="11"/>
  <c r="S60" i="11"/>
  <c r="P64" i="11"/>
  <c r="P164" i="11" s="1"/>
  <c r="N65" i="11"/>
  <c r="Z65" i="11"/>
  <c r="X66" i="11"/>
  <c r="V67" i="11"/>
  <c r="T68" i="11"/>
  <c r="R69" i="11"/>
  <c r="P70" i="11"/>
  <c r="N71" i="11"/>
  <c r="Z71" i="11"/>
  <c r="O13" i="11"/>
  <c r="U13" i="11"/>
  <c r="R27" i="11"/>
  <c r="Y23" i="11"/>
  <c r="N31" i="11"/>
  <c r="Q35" i="11"/>
  <c r="U38" i="11"/>
  <c r="R45" i="11"/>
  <c r="P53" i="11"/>
  <c r="Z56" i="11"/>
  <c r="T60" i="11"/>
  <c r="Q64" i="11"/>
  <c r="Q164" i="11" s="1"/>
  <c r="O65" i="11"/>
  <c r="M66" i="11"/>
  <c r="Y66" i="11"/>
  <c r="W67" i="11"/>
  <c r="U68" i="11"/>
  <c r="S69" i="11"/>
  <c r="Q70" i="11"/>
  <c r="O71" i="11"/>
  <c r="X9" i="11"/>
  <c r="W47" i="11"/>
  <c r="N69" i="11"/>
  <c r="U33" i="11"/>
  <c r="M64" i="11"/>
  <c r="M164" i="11" s="1"/>
  <c r="Q12" i="11"/>
  <c r="T48" i="11"/>
  <c r="X65" i="11"/>
  <c r="P20" i="11"/>
  <c r="M65" i="11"/>
  <c r="Q13" i="11"/>
  <c r="W45" i="11"/>
  <c r="R70" i="11"/>
  <c r="Z12" i="11"/>
  <c r="N27" i="11"/>
  <c r="T23" i="11"/>
  <c r="R31" i="11"/>
  <c r="R35" i="11"/>
  <c r="N42" i="11"/>
  <c r="Q53" i="11"/>
  <c r="S57" i="11"/>
  <c r="R64" i="11"/>
  <c r="R164" i="11" s="1"/>
  <c r="P65" i="11"/>
  <c r="N66" i="11"/>
  <c r="Z66" i="11"/>
  <c r="X67" i="11"/>
  <c r="V68" i="11"/>
  <c r="T69" i="11"/>
  <c r="P71" i="11"/>
  <c r="M9" i="11"/>
  <c r="P14" i="11"/>
  <c r="Y12" i="11"/>
  <c r="Z26" i="11"/>
  <c r="T22" i="11"/>
  <c r="W31" i="11"/>
  <c r="S35" i="11"/>
  <c r="R42" i="11"/>
  <c r="N46" i="11"/>
  <c r="R53" i="11"/>
  <c r="T57" i="11"/>
  <c r="S64" i="11"/>
  <c r="S164" i="11" s="1"/>
  <c r="Q65" i="11"/>
  <c r="O66" i="11"/>
  <c r="M67" i="11"/>
  <c r="Y67" i="11"/>
  <c r="W68" i="11"/>
  <c r="U69" i="11"/>
  <c r="S70" i="11"/>
  <c r="Q71" i="11"/>
  <c r="Y16" i="11"/>
  <c r="V43" i="11"/>
  <c r="P68" i="11"/>
  <c r="W9" i="11"/>
  <c r="R55" i="11"/>
  <c r="S20" i="11"/>
  <c r="U55" i="11"/>
  <c r="Z64" i="11"/>
  <c r="Z164" i="11" s="1"/>
  <c r="W14" i="11"/>
  <c r="Z67" i="11"/>
  <c r="W70" i="11"/>
  <c r="U71" i="11"/>
  <c r="P10" i="11"/>
  <c r="Q25" i="11"/>
  <c r="T33" i="11"/>
  <c r="Q55" i="11"/>
  <c r="X64" i="11"/>
  <c r="X164" i="11" s="1"/>
  <c r="R67" i="11"/>
  <c r="Z69" i="11"/>
  <c r="X70" i="11"/>
  <c r="V71" i="11"/>
  <c r="Y24" i="11"/>
  <c r="S21" i="11"/>
  <c r="Q37" i="11"/>
  <c r="T59" i="11"/>
  <c r="Y64" i="11"/>
  <c r="Y164" i="11" s="1"/>
  <c r="U66" i="11"/>
  <c r="S67" i="11"/>
  <c r="Q68" i="11"/>
  <c r="O69" i="11"/>
  <c r="M70" i="11"/>
  <c r="Y70" i="11"/>
  <c r="W71" i="11"/>
  <c r="V15" i="11"/>
  <c r="X33" i="11"/>
  <c r="U37" i="11"/>
  <c r="N60" i="11"/>
  <c r="N64" i="11"/>
  <c r="V66" i="11"/>
  <c r="R68" i="11"/>
  <c r="N70" i="11"/>
  <c r="Z70" i="11"/>
  <c r="X71" i="11"/>
  <c r="M21" i="11"/>
  <c r="Q24" i="11"/>
  <c r="V37" i="11"/>
  <c r="P45" i="11"/>
  <c r="Q49" i="11"/>
  <c r="R60" i="11"/>
  <c r="O64" i="11"/>
  <c r="O164" i="11" s="1"/>
  <c r="Y65" i="11"/>
  <c r="U67" i="11"/>
  <c r="S68" i="11"/>
  <c r="Q69" i="11"/>
  <c r="M71" i="11"/>
  <c r="M13" i="11"/>
  <c r="N9" i="11"/>
  <c r="R15" i="11"/>
  <c r="U12" i="11"/>
  <c r="U26" i="11"/>
  <c r="R22" i="11"/>
  <c r="M32" i="11"/>
  <c r="V35" i="11"/>
  <c r="O43" i="11"/>
  <c r="N47" i="11"/>
  <c r="S53" i="11"/>
  <c r="U57" i="11"/>
  <c r="T64" i="11"/>
  <c r="T164" i="11" s="1"/>
  <c r="R65" i="11"/>
  <c r="P66" i="11"/>
  <c r="N67" i="11"/>
  <c r="X68" i="11"/>
  <c r="V69" i="11"/>
  <c r="T70" i="11"/>
  <c r="R71" i="11"/>
  <c r="O9" i="11"/>
  <c r="Q16" i="11"/>
  <c r="Z11" i="11"/>
  <c r="T26" i="11"/>
  <c r="Q22" i="11"/>
  <c r="U32" i="11"/>
  <c r="W35" i="11"/>
  <c r="P43" i="11"/>
  <c r="P47" i="11"/>
  <c r="Y53" i="11"/>
  <c r="V57" i="11"/>
  <c r="U64" i="11"/>
  <c r="U164" i="11" s="1"/>
  <c r="S65" i="11"/>
  <c r="Q66" i="11"/>
  <c r="O67" i="11"/>
  <c r="M68" i="11"/>
  <c r="Y68" i="11"/>
  <c r="W69" i="11"/>
  <c r="U70" i="11"/>
  <c r="O10" i="11"/>
  <c r="R13" i="11"/>
  <c r="W15" i="11"/>
  <c r="T12" i="11"/>
  <c r="M22" i="11"/>
  <c r="Z25" i="11"/>
  <c r="U23" i="11"/>
  <c r="T21" i="11"/>
  <c r="Z31" i="11"/>
  <c r="Y33" i="11"/>
  <c r="N36" i="11"/>
  <c r="P38" i="11"/>
  <c r="U43" i="11"/>
  <c r="X45" i="11"/>
  <c r="S48" i="11"/>
  <c r="T53" i="11"/>
  <c r="Y55" i="11"/>
  <c r="T58" i="11"/>
  <c r="W60" i="11"/>
  <c r="X60" i="11"/>
  <c r="Q10" i="11"/>
  <c r="M15" i="11"/>
  <c r="U15" i="11"/>
  <c r="Y11" i="11"/>
  <c r="U27" i="11"/>
  <c r="T25" i="11"/>
  <c r="S23" i="11"/>
  <c r="Y20" i="11"/>
  <c r="Q32" i="11"/>
  <c r="Q34" i="11"/>
  <c r="U36" i="11"/>
  <c r="V38" i="11"/>
  <c r="N44" i="11"/>
  <c r="R46" i="11"/>
  <c r="W48" i="11"/>
  <c r="Z53" i="11"/>
  <c r="U56" i="11"/>
  <c r="V58" i="11"/>
  <c r="R10" i="11"/>
  <c r="N15" i="11"/>
  <c r="T15" i="11"/>
  <c r="X11" i="11"/>
  <c r="T27" i="11"/>
  <c r="S25" i="11"/>
  <c r="R23" i="11"/>
  <c r="U20" i="11"/>
  <c r="S32" i="11"/>
  <c r="R34" i="11"/>
  <c r="W36" i="11"/>
  <c r="Z38" i="11"/>
  <c r="O44" i="11"/>
  <c r="W46" i="11"/>
  <c r="X48" i="11"/>
  <c r="P54" i="11"/>
  <c r="V56" i="11"/>
  <c r="M59" i="11"/>
  <c r="Q11" i="11"/>
  <c r="Q15" i="11"/>
  <c r="Z14" i="11"/>
  <c r="U11" i="11"/>
  <c r="S27" i="11"/>
  <c r="R25" i="11"/>
  <c r="Q23" i="11"/>
  <c r="T20" i="11"/>
  <c r="T32" i="11"/>
  <c r="S34" i="11"/>
  <c r="M37" i="11"/>
  <c r="M42" i="11"/>
  <c r="P44" i="11"/>
  <c r="X46" i="11"/>
  <c r="P49" i="11"/>
  <c r="Q54" i="11"/>
  <c r="Y56" i="11"/>
  <c r="N59" i="11"/>
  <c r="M60" i="11"/>
  <c r="R58" i="11"/>
  <c r="T56" i="11"/>
  <c r="T54" i="11"/>
  <c r="X49" i="11"/>
  <c r="Q48" i="11"/>
  <c r="Q46" i="11"/>
  <c r="U44" i="11"/>
  <c r="Z42" i="11"/>
  <c r="N38" i="11"/>
  <c r="R36" i="11"/>
  <c r="X34" i="11"/>
  <c r="R33" i="11"/>
  <c r="V31" i="11"/>
  <c r="Z20" i="11"/>
  <c r="U22" i="11"/>
  <c r="S24" i="11"/>
  <c r="Q26" i="11"/>
  <c r="Z27" i="11"/>
  <c r="V10" i="11"/>
  <c r="V13" i="11"/>
  <c r="T16" i="11"/>
  <c r="R14" i="11"/>
  <c r="O11" i="11"/>
  <c r="V59" i="11"/>
  <c r="Z57" i="11"/>
  <c r="S56" i="11"/>
  <c r="S54" i="11"/>
  <c r="W49" i="11"/>
  <c r="N48" i="11"/>
  <c r="P46" i="11"/>
  <c r="R44" i="11"/>
  <c r="V42" i="11"/>
  <c r="M38" i="11"/>
  <c r="Q36" i="11"/>
  <c r="W34" i="11"/>
  <c r="Q33" i="11"/>
  <c r="U31" i="11"/>
  <c r="P21" i="11"/>
  <c r="Y22" i="11"/>
  <c r="T24" i="11"/>
  <c r="R26" i="11"/>
  <c r="M27" i="11"/>
  <c r="X10" i="11"/>
  <c r="X13" i="11"/>
  <c r="U16" i="11"/>
  <c r="Q14" i="11"/>
  <c r="N11" i="11"/>
  <c r="U59" i="11"/>
  <c r="Y57" i="11"/>
  <c r="P56" i="11"/>
  <c r="R54" i="11"/>
  <c r="T49" i="11"/>
  <c r="X47" i="11"/>
  <c r="O46" i="11"/>
  <c r="Q44" i="11"/>
  <c r="U42" i="11"/>
  <c r="Z37" i="11"/>
  <c r="P36" i="11"/>
  <c r="T34" i="11"/>
  <c r="Z32" i="11"/>
  <c r="S31" i="11"/>
  <c r="R21" i="11"/>
  <c r="Z22" i="11"/>
  <c r="U24" i="11"/>
  <c r="S26" i="11"/>
  <c r="M24" i="11"/>
  <c r="T11" i="11"/>
  <c r="Y13" i="11"/>
  <c r="X16" i="11"/>
  <c r="P12" i="11"/>
  <c r="M16" i="11"/>
  <c r="V14" i="11"/>
  <c r="T10" i="11"/>
  <c r="Q27" i="11"/>
  <c r="N25" i="11"/>
  <c r="S22" i="11"/>
  <c r="Q20" i="11"/>
  <c r="V32" i="11"/>
  <c r="P35" i="11"/>
  <c r="O37" i="11"/>
  <c r="Q42" i="11"/>
  <c r="N45" i="11"/>
  <c r="O47" i="11"/>
  <c r="R49" i="11"/>
  <c r="Z54" i="11"/>
  <c r="R57" i="11"/>
  <c r="S59" i="11"/>
  <c r="V60" i="11"/>
  <c r="X59" i="11"/>
  <c r="Z58" i="11"/>
  <c r="N58" i="11"/>
  <c r="P57" i="11"/>
  <c r="R56" i="11"/>
  <c r="T55" i="11"/>
  <c r="V54" i="11"/>
  <c r="X53" i="11"/>
  <c r="Z49" i="11"/>
  <c r="N49" i="11"/>
  <c r="P48" i="11"/>
  <c r="R47" i="11"/>
  <c r="T46" i="11"/>
  <c r="V45" i="11"/>
  <c r="X44" i="11"/>
  <c r="Z43" i="11"/>
  <c r="N43" i="11"/>
  <c r="P42" i="11"/>
  <c r="R38" i="11"/>
  <c r="T37" i="11"/>
  <c r="V36" i="11"/>
  <c r="X35" i="11"/>
  <c r="Z34" i="11"/>
  <c r="N34" i="11"/>
  <c r="P33" i="11"/>
  <c r="R32" i="11"/>
  <c r="T31" i="11"/>
  <c r="R20" i="11"/>
  <c r="Q21" i="11"/>
  <c r="P22" i="11"/>
  <c r="O23" i="11"/>
  <c r="N24" i="11"/>
  <c r="Z24" i="11"/>
  <c r="Y25" i="11"/>
  <c r="X26" i="11"/>
  <c r="W27" i="11"/>
  <c r="S9" i="11"/>
  <c r="W10" i="11"/>
  <c r="S12" i="11"/>
  <c r="W13" i="11"/>
  <c r="S15" i="11"/>
  <c r="W16" i="11"/>
  <c r="P15" i="11"/>
  <c r="P13" i="11"/>
  <c r="P11" i="11"/>
  <c r="P9" i="11"/>
  <c r="U60" i="11"/>
  <c r="W59" i="11"/>
  <c r="Y58" i="11"/>
  <c r="M58" i="11"/>
  <c r="O57" i="11"/>
  <c r="Q56" i="11"/>
  <c r="S55" i="11"/>
  <c r="U54" i="11"/>
  <c r="W53" i="11"/>
  <c r="Y49" i="11"/>
  <c r="M49" i="11"/>
  <c r="O48" i="11"/>
  <c r="Q47" i="11"/>
  <c r="S46" i="11"/>
  <c r="U45" i="11"/>
  <c r="W44" i="11"/>
  <c r="Y43" i="11"/>
  <c r="M43" i="11"/>
  <c r="O42" i="11"/>
  <c r="Q38" i="11"/>
  <c r="M11" i="11"/>
  <c r="N13" i="11"/>
  <c r="O15" i="11"/>
  <c r="V16" i="11"/>
  <c r="Y14" i="11"/>
  <c r="T13" i="11"/>
  <c r="W11" i="11"/>
  <c r="Z9" i="11"/>
  <c r="M25" i="11"/>
  <c r="P27" i="11"/>
  <c r="P26" i="11"/>
  <c r="P25" i="11"/>
  <c r="P24" i="11"/>
  <c r="P23" i="11"/>
  <c r="O22" i="11"/>
  <c r="O21" i="11"/>
  <c r="O20" i="11"/>
  <c r="X31" i="11"/>
  <c r="W32" i="11"/>
  <c r="V33" i="11"/>
  <c r="U34" i="11"/>
  <c r="T35" i="11"/>
  <c r="S36" i="11"/>
  <c r="R37" i="11"/>
  <c r="S38" i="11"/>
  <c r="S42" i="11"/>
  <c r="S43" i="11"/>
  <c r="S44" i="11"/>
  <c r="S45" i="11"/>
  <c r="U46" i="11"/>
  <c r="U47" i="11"/>
  <c r="U48" i="11"/>
  <c r="U49" i="11"/>
  <c r="U53" i="11"/>
  <c r="W54" i="11"/>
  <c r="W55" i="11"/>
  <c r="W56" i="11"/>
  <c r="W57" i="11"/>
  <c r="W58" i="11"/>
  <c r="Y59" i="11"/>
  <c r="Y60" i="11"/>
  <c r="X14" i="11"/>
  <c r="S13" i="11"/>
  <c r="V11" i="11"/>
  <c r="Y9" i="11"/>
  <c r="M26" i="11"/>
  <c r="O27" i="11"/>
  <c r="O26" i="11"/>
  <c r="O25" i="11"/>
  <c r="O24" i="11"/>
  <c r="N23" i="11"/>
  <c r="N22" i="11"/>
  <c r="N21" i="11"/>
  <c r="N20" i="11"/>
  <c r="Y31" i="11"/>
  <c r="X32" i="11"/>
  <c r="W33" i="11"/>
  <c r="V34" i="11"/>
  <c r="U35" i="11"/>
  <c r="T36" i="11"/>
  <c r="S37" i="11"/>
  <c r="T38" i="11"/>
  <c r="T42" i="11"/>
  <c r="T43" i="11"/>
  <c r="T44" i="11"/>
  <c r="T45" i="11"/>
  <c r="V46" i="11"/>
  <c r="V47" i="11"/>
  <c r="V48" i="11"/>
  <c r="V49" i="11"/>
  <c r="V53" i="11"/>
  <c r="X54" i="11"/>
  <c r="X55" i="11"/>
  <c r="X56" i="11"/>
  <c r="X57" i="11"/>
  <c r="X58" i="11"/>
  <c r="Z59" i="11"/>
  <c r="Z60" i="11"/>
  <c r="N16" i="11"/>
  <c r="U14" i="11"/>
  <c r="S11" i="11"/>
  <c r="V9" i="11"/>
  <c r="Y27" i="11"/>
  <c r="X25" i="11"/>
  <c r="X24" i="11"/>
  <c r="X22" i="11"/>
  <c r="X21" i="11"/>
  <c r="X20" i="11"/>
  <c r="O31" i="11"/>
  <c r="N32" i="11"/>
  <c r="M33" i="11"/>
  <c r="Z33" i="11"/>
  <c r="Y34" i="11"/>
  <c r="Y35" i="11"/>
  <c r="X36" i="11"/>
  <c r="W37" i="11"/>
  <c r="W38" i="11"/>
  <c r="W42" i="11"/>
  <c r="W43" i="11"/>
  <c r="Y44" i="11"/>
  <c r="Y45" i="11"/>
  <c r="Y46" i="11"/>
  <c r="Y47" i="11"/>
  <c r="Y48" i="11"/>
  <c r="M53" i="11"/>
  <c r="M54" i="11"/>
  <c r="M55" i="11"/>
  <c r="M56" i="11"/>
  <c r="M57" i="11"/>
  <c r="O58" i="11"/>
  <c r="O59" i="11"/>
  <c r="O60" i="11"/>
  <c r="M14" i="11"/>
  <c r="Y26" i="11"/>
  <c r="N14" i="11"/>
  <c r="T14" i="11"/>
  <c r="U9" i="11"/>
  <c r="W26" i="11"/>
  <c r="W23" i="11"/>
  <c r="W20" i="11"/>
  <c r="O32" i="11"/>
  <c r="M34" i="11"/>
  <c r="Z35" i="11"/>
  <c r="X42" i="11"/>
  <c r="Z45" i="11"/>
  <c r="Z48" i="11"/>
  <c r="N55" i="11"/>
  <c r="P60" i="11"/>
  <c r="R11" i="11"/>
  <c r="Z15" i="11"/>
  <c r="X12" i="11"/>
  <c r="X23" i="11"/>
  <c r="R9" i="11"/>
  <c r="M12" i="11"/>
  <c r="O16" i="11"/>
  <c r="Y15" i="11"/>
  <c r="W12" i="11"/>
  <c r="Z10" i="11"/>
  <c r="X27" i="11"/>
  <c r="W25" i="11"/>
  <c r="W24" i="11"/>
  <c r="W22" i="11"/>
  <c r="W21" i="11"/>
  <c r="P31" i="11"/>
  <c r="N33" i="11"/>
  <c r="M35" i="11"/>
  <c r="Y36" i="11"/>
  <c r="X37" i="11"/>
  <c r="X38" i="11"/>
  <c r="X43" i="11"/>
  <c r="Z44" i="11"/>
  <c r="Z46" i="11"/>
  <c r="Z47" i="11"/>
  <c r="N53" i="11"/>
  <c r="N54" i="11"/>
  <c r="N56" i="11"/>
  <c r="N57" i="11"/>
  <c r="P58" i="11"/>
  <c r="P59" i="11"/>
  <c r="M10" i="11"/>
  <c r="N12" i="11"/>
  <c r="O14" i="11"/>
  <c r="P16" i="11"/>
  <c r="X15" i="11"/>
  <c r="S14" i="11"/>
  <c r="V12" i="11"/>
  <c r="Y10" i="11"/>
  <c r="T9" i="11"/>
  <c r="V27" i="11"/>
  <c r="V26" i="11"/>
  <c r="V25" i="11"/>
  <c r="V24" i="11"/>
  <c r="V23" i="11"/>
  <c r="V22" i="11"/>
  <c r="V21" i="11"/>
  <c r="V20" i="11"/>
  <c r="Q31" i="11"/>
  <c r="P32" i="11"/>
  <c r="O33" i="11"/>
  <c r="O34" i="11"/>
  <c r="N35" i="11"/>
  <c r="M36" i="11"/>
  <c r="Z36" i="11"/>
  <c r="Y37" i="11"/>
  <c r="Y38" i="11"/>
  <c r="Y42" i="11"/>
  <c r="M44" i="11"/>
  <c r="M45" i="11"/>
  <c r="M46" i="11"/>
  <c r="M47" i="11"/>
  <c r="M48" i="11"/>
  <c r="O49" i="11"/>
  <c r="O53" i="11"/>
  <c r="O54" i="11"/>
  <c r="O55" i="11"/>
  <c r="O56" i="11"/>
  <c r="Q57" i="11"/>
  <c r="Q58" i="11"/>
  <c r="Q59" i="11"/>
  <c r="Q60" i="11"/>
  <c r="R92" i="5" l="1"/>
  <c r="S92" i="5" s="1"/>
  <c r="T92" i="5" s="1"/>
  <c r="U92" i="5" s="1"/>
  <c r="R93" i="5"/>
  <c r="S91" i="5"/>
  <c r="T91" i="5" s="1"/>
  <c r="K68" i="11"/>
  <c r="K69" i="11"/>
  <c r="K71" i="11"/>
  <c r="K67" i="11"/>
  <c r="K65" i="11"/>
  <c r="K66" i="11"/>
  <c r="K70" i="11"/>
  <c r="N164" i="11"/>
  <c r="K64" i="11"/>
  <c r="U91" i="5" l="1"/>
  <c r="S93" i="5"/>
  <c r="T93" i="5" s="1"/>
  <c r="V92" i="5"/>
  <c r="W92" i="5" s="1"/>
  <c r="C41" i="15"/>
  <c r="C42" i="16"/>
  <c r="C39" i="16"/>
  <c r="C30" i="15"/>
  <c r="D31" i="15"/>
  <c r="E31" i="15" s="1"/>
  <c r="X92" i="5" l="1"/>
  <c r="Y92" i="5" s="1"/>
  <c r="Z92" i="5" s="1"/>
  <c r="V91" i="5"/>
  <c r="U93" i="5"/>
  <c r="B80" i="4"/>
  <c r="B79" i="4"/>
  <c r="H49" i="26"/>
  <c r="G49" i="26"/>
  <c r="E49" i="26"/>
  <c r="H48" i="26"/>
  <c r="G48" i="26"/>
  <c r="E48" i="26"/>
  <c r="H47" i="26"/>
  <c r="G47" i="26"/>
  <c r="E47" i="26"/>
  <c r="H46" i="26"/>
  <c r="G46" i="26"/>
  <c r="E46" i="26"/>
  <c r="G42" i="26"/>
  <c r="E42" i="26"/>
  <c r="G41" i="26"/>
  <c r="E41" i="26"/>
  <c r="D41" i="26"/>
  <c r="C41" i="26"/>
  <c r="G40" i="26"/>
  <c r="E40" i="26"/>
  <c r="D40" i="26"/>
  <c r="C40" i="26"/>
  <c r="G39" i="26"/>
  <c r="E39" i="26"/>
  <c r="D39" i="26"/>
  <c r="C39" i="26"/>
  <c r="G37" i="26"/>
  <c r="E37" i="26"/>
  <c r="D37" i="26"/>
  <c r="C37" i="26"/>
  <c r="G36" i="26"/>
  <c r="E36" i="26"/>
  <c r="D36" i="26"/>
  <c r="C36" i="26"/>
  <c r="G34" i="26"/>
  <c r="E34" i="26"/>
  <c r="D34" i="26"/>
  <c r="C34" i="26"/>
  <c r="G33" i="26"/>
  <c r="E33" i="26"/>
  <c r="D33" i="26"/>
  <c r="C33" i="26"/>
  <c r="G32" i="26"/>
  <c r="E32" i="26"/>
  <c r="D32" i="26"/>
  <c r="C32" i="26"/>
  <c r="H26" i="26"/>
  <c r="G26" i="26"/>
  <c r="E26" i="26"/>
  <c r="H25" i="26"/>
  <c r="G25" i="26"/>
  <c r="E25" i="26"/>
  <c r="H24" i="26"/>
  <c r="G24" i="26"/>
  <c r="E24" i="26"/>
  <c r="H23" i="26"/>
  <c r="G23" i="26"/>
  <c r="E23" i="26"/>
  <c r="G19" i="26"/>
  <c r="E19" i="26"/>
  <c r="G18" i="26"/>
  <c r="G17" i="26"/>
  <c r="G16" i="26"/>
  <c r="G14" i="26"/>
  <c r="G13" i="26"/>
  <c r="G11" i="26"/>
  <c r="G10" i="26"/>
  <c r="G9" i="26"/>
  <c r="G4" i="19"/>
  <c r="D54" i="3"/>
  <c r="D52" i="3"/>
  <c r="D40" i="3"/>
  <c r="D36" i="3"/>
  <c r="D29" i="3"/>
  <c r="D28" i="3"/>
  <c r="F4" i="3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G37" i="24"/>
  <c r="G33" i="24"/>
  <c r="G28" i="24"/>
  <c r="H62" i="12"/>
  <c r="G5" i="4"/>
  <c r="G39" i="4" s="1"/>
  <c r="F168" i="12"/>
  <c r="F163" i="12"/>
  <c r="F158" i="12"/>
  <c r="C36" i="15" s="1"/>
  <c r="F153" i="12"/>
  <c r="F148" i="12"/>
  <c r="C38" i="15" s="1"/>
  <c r="H134" i="12"/>
  <c r="F134" i="12" s="1"/>
  <c r="H99" i="12"/>
  <c r="H123" i="12" s="1"/>
  <c r="F92" i="12"/>
  <c r="H84" i="12"/>
  <c r="H46" i="12"/>
  <c r="F46" i="12" s="1"/>
  <c r="H40" i="12"/>
  <c r="H120" i="12" s="1"/>
  <c r="F63" i="4" s="1"/>
  <c r="H36" i="12"/>
  <c r="H37" i="12" s="1"/>
  <c r="F30" i="12"/>
  <c r="F25" i="12"/>
  <c r="F21" i="12"/>
  <c r="I4" i="12"/>
  <c r="I84" i="12" s="1"/>
  <c r="L318" i="11"/>
  <c r="C47" i="15" s="1"/>
  <c r="L313" i="11"/>
  <c r="C46" i="15" s="1"/>
  <c r="L308" i="11"/>
  <c r="C43" i="15" s="1"/>
  <c r="L303" i="11"/>
  <c r="C42" i="15" s="1"/>
  <c r="Q292" i="11"/>
  <c r="Q309" i="11" s="1"/>
  <c r="Q310" i="11" s="1"/>
  <c r="P292" i="11"/>
  <c r="O292" i="11"/>
  <c r="O297" i="11" s="1"/>
  <c r="N292" i="11"/>
  <c r="M292" i="11"/>
  <c r="H290" i="11"/>
  <c r="L279" i="11"/>
  <c r="M275" i="11"/>
  <c r="M272" i="11"/>
  <c r="Q266" i="11"/>
  <c r="Q296" i="11" s="1"/>
  <c r="P266" i="11"/>
  <c r="P296" i="11" s="1"/>
  <c r="O266" i="11"/>
  <c r="O296" i="11" s="1"/>
  <c r="N266" i="11"/>
  <c r="N296" i="11" s="1"/>
  <c r="M266" i="11"/>
  <c r="M265" i="11"/>
  <c r="M262" i="11"/>
  <c r="Q256" i="11"/>
  <c r="Q295" i="11" s="1"/>
  <c r="P256" i="11"/>
  <c r="O256" i="11"/>
  <c r="O295" i="11" s="1"/>
  <c r="N256" i="11"/>
  <c r="N295" i="11" s="1"/>
  <c r="M256" i="11"/>
  <c r="M295" i="11" s="1"/>
  <c r="M255" i="11"/>
  <c r="M252" i="11"/>
  <c r="R240" i="11"/>
  <c r="Q240" i="11"/>
  <c r="P240" i="11"/>
  <c r="O240" i="11"/>
  <c r="N240" i="11"/>
  <c r="M240" i="11"/>
  <c r="K207" i="11"/>
  <c r="K205" i="11"/>
  <c r="K194" i="11"/>
  <c r="K192" i="11"/>
  <c r="K173" i="11"/>
  <c r="R173" i="11" s="1"/>
  <c r="K168" i="11"/>
  <c r="Y168" i="11" s="1"/>
  <c r="G167" i="11"/>
  <c r="K166" i="11"/>
  <c r="K167" i="11" s="1"/>
  <c r="V167" i="11" s="1"/>
  <c r="H164" i="11"/>
  <c r="G164" i="11"/>
  <c r="G170" i="11" s="1"/>
  <c r="K170" i="11" s="1"/>
  <c r="T170" i="11" s="1"/>
  <c r="K157" i="11"/>
  <c r="Y157" i="11" s="1"/>
  <c r="K152" i="11"/>
  <c r="T152" i="11" s="1"/>
  <c r="G151" i="11"/>
  <c r="K150" i="11"/>
  <c r="K151" i="11" s="1"/>
  <c r="H148" i="11"/>
  <c r="G148" i="11"/>
  <c r="K141" i="11"/>
  <c r="U141" i="11" s="1"/>
  <c r="K136" i="11"/>
  <c r="L136" i="11" s="1"/>
  <c r="G135" i="11"/>
  <c r="K134" i="11"/>
  <c r="K133" i="11"/>
  <c r="K132" i="11"/>
  <c r="H130" i="11"/>
  <c r="G130" i="11"/>
  <c r="R120" i="11"/>
  <c r="P120" i="11"/>
  <c r="O120" i="11"/>
  <c r="K118" i="11"/>
  <c r="X118" i="11" s="1"/>
  <c r="G117" i="11"/>
  <c r="K116" i="11"/>
  <c r="K115" i="11"/>
  <c r="K114" i="11"/>
  <c r="K113" i="11"/>
  <c r="H111" i="11"/>
  <c r="G111" i="11"/>
  <c r="G120" i="11" s="1"/>
  <c r="K120" i="11" s="1"/>
  <c r="T120" i="11" s="1"/>
  <c r="K99" i="11"/>
  <c r="X99" i="11" s="1"/>
  <c r="G98" i="11"/>
  <c r="K97" i="11"/>
  <c r="K96" i="11"/>
  <c r="K95" i="11"/>
  <c r="H93" i="11"/>
  <c r="G93" i="11"/>
  <c r="K81" i="11"/>
  <c r="V81" i="11" s="1"/>
  <c r="G80" i="11"/>
  <c r="K79" i="11"/>
  <c r="K78" i="11"/>
  <c r="K77" i="11"/>
  <c r="K80" i="11" s="1"/>
  <c r="P80" i="11" s="1"/>
  <c r="H75" i="11"/>
  <c r="G75" i="11"/>
  <c r="G83" i="11" s="1"/>
  <c r="K83" i="11" s="1"/>
  <c r="Z83" i="11" s="1"/>
  <c r="K60" i="11"/>
  <c r="K59" i="11"/>
  <c r="K58" i="11"/>
  <c r="K57" i="11"/>
  <c r="K56" i="11"/>
  <c r="K55" i="11"/>
  <c r="K54" i="11"/>
  <c r="K53" i="11"/>
  <c r="K49" i="11"/>
  <c r="K48" i="11"/>
  <c r="K47" i="11"/>
  <c r="K46" i="11"/>
  <c r="K45" i="11"/>
  <c r="K44" i="11"/>
  <c r="K43" i="11"/>
  <c r="K42" i="11"/>
  <c r="K38" i="11"/>
  <c r="K37" i="11"/>
  <c r="K36" i="11"/>
  <c r="K35" i="11"/>
  <c r="K34" i="11"/>
  <c r="K33" i="11"/>
  <c r="K32" i="11"/>
  <c r="K31" i="11"/>
  <c r="K27" i="11"/>
  <c r="K26" i="11"/>
  <c r="K25" i="11"/>
  <c r="K24" i="11"/>
  <c r="K23" i="11"/>
  <c r="K22" i="11"/>
  <c r="K21" i="11"/>
  <c r="K20" i="11"/>
  <c r="K16" i="11"/>
  <c r="K15" i="11"/>
  <c r="K14" i="11"/>
  <c r="K13" i="11"/>
  <c r="K12" i="11"/>
  <c r="K11" i="11"/>
  <c r="K10" i="11"/>
  <c r="K9" i="11"/>
  <c r="S4" i="11"/>
  <c r="S240" i="11" s="1"/>
  <c r="X185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H184" i="17"/>
  <c r="H183" i="17"/>
  <c r="H182" i="17"/>
  <c r="X159" i="17"/>
  <c r="W159" i="17"/>
  <c r="V159" i="17"/>
  <c r="U159" i="17"/>
  <c r="T159" i="17"/>
  <c r="S159" i="17"/>
  <c r="R159" i="17"/>
  <c r="Q159" i="17"/>
  <c r="P159" i="17"/>
  <c r="O159" i="17"/>
  <c r="N159" i="17"/>
  <c r="M159" i="17"/>
  <c r="L159" i="17"/>
  <c r="K159" i="17"/>
  <c r="J159" i="17"/>
  <c r="H157" i="17"/>
  <c r="X156" i="17"/>
  <c r="W156" i="17"/>
  <c r="V156" i="17"/>
  <c r="U156" i="17"/>
  <c r="T156" i="17"/>
  <c r="S156" i="17"/>
  <c r="R156" i="17"/>
  <c r="Q156" i="17"/>
  <c r="P156" i="17"/>
  <c r="N156" i="17"/>
  <c r="M156" i="17"/>
  <c r="L156" i="17"/>
  <c r="K156" i="17"/>
  <c r="J156" i="17"/>
  <c r="D155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D136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H109" i="17"/>
  <c r="H77" i="17"/>
  <c r="H73" i="17"/>
  <c r="H68" i="17"/>
  <c r="G27" i="17"/>
  <c r="J4" i="17"/>
  <c r="J147" i="17" s="1"/>
  <c r="Z344" i="5"/>
  <c r="Y344" i="5"/>
  <c r="X344" i="5"/>
  <c r="W344" i="5"/>
  <c r="V344" i="5"/>
  <c r="U344" i="5"/>
  <c r="T344" i="5"/>
  <c r="S344" i="5"/>
  <c r="R344" i="5"/>
  <c r="Q344" i="5"/>
  <c r="P344" i="5"/>
  <c r="O344" i="5"/>
  <c r="N344" i="5"/>
  <c r="M344" i="5"/>
  <c r="L344" i="5"/>
  <c r="L340" i="5"/>
  <c r="Z334" i="5"/>
  <c r="Y334" i="5"/>
  <c r="X334" i="5"/>
  <c r="W334" i="5"/>
  <c r="V334" i="5"/>
  <c r="U334" i="5"/>
  <c r="T334" i="5"/>
  <c r="S334" i="5"/>
  <c r="R334" i="5"/>
  <c r="Q334" i="5"/>
  <c r="P334" i="5"/>
  <c r="O334" i="5"/>
  <c r="N334" i="5"/>
  <c r="M334" i="5"/>
  <c r="L334" i="5"/>
  <c r="L330" i="5"/>
  <c r="C325" i="5"/>
  <c r="C324" i="5"/>
  <c r="L313" i="5"/>
  <c r="L314" i="5" s="1"/>
  <c r="L307" i="5"/>
  <c r="M307" i="5" s="1"/>
  <c r="N307" i="5" s="1"/>
  <c r="O307" i="5" s="1"/>
  <c r="P307" i="5" s="1"/>
  <c r="Q307" i="5" s="1"/>
  <c r="R307" i="5" s="1"/>
  <c r="S307" i="5" s="1"/>
  <c r="T307" i="5" s="1"/>
  <c r="U307" i="5" s="1"/>
  <c r="V307" i="5" s="1"/>
  <c r="W307" i="5" s="1"/>
  <c r="X307" i="5" s="1"/>
  <c r="Y307" i="5" s="1"/>
  <c r="Z307" i="5" s="1"/>
  <c r="G280" i="5"/>
  <c r="L271" i="5"/>
  <c r="G246" i="5"/>
  <c r="L240" i="5"/>
  <c r="H240" i="5"/>
  <c r="L239" i="5"/>
  <c r="H239" i="5"/>
  <c r="L238" i="5"/>
  <c r="H238" i="5"/>
  <c r="L232" i="5"/>
  <c r="L235" i="5"/>
  <c r="C225" i="5"/>
  <c r="C224" i="5"/>
  <c r="C223" i="5"/>
  <c r="C213" i="5"/>
  <c r="L209" i="5"/>
  <c r="M209" i="5" s="1"/>
  <c r="C197" i="5"/>
  <c r="L193" i="5"/>
  <c r="C181" i="5"/>
  <c r="C182" i="5" s="1"/>
  <c r="C183" i="5" s="1"/>
  <c r="L177" i="5"/>
  <c r="M177" i="5" s="1"/>
  <c r="C168" i="5"/>
  <c r="C167" i="5"/>
  <c r="C166" i="5"/>
  <c r="C165" i="5"/>
  <c r="C164" i="5"/>
  <c r="H134" i="5"/>
  <c r="G143" i="5" s="1"/>
  <c r="G134" i="5"/>
  <c r="H133" i="5"/>
  <c r="G142" i="5" s="1"/>
  <c r="G133" i="5"/>
  <c r="G137" i="5" s="1" a="1"/>
  <c r="G137" i="5" s="1"/>
  <c r="G127" i="5"/>
  <c r="C107" i="5"/>
  <c r="L104" i="5"/>
  <c r="M104" i="5" s="1"/>
  <c r="N104" i="5" s="1"/>
  <c r="O104" i="5" s="1"/>
  <c r="P104" i="5" s="1"/>
  <c r="Q104" i="5" s="1"/>
  <c r="R104" i="5" s="1"/>
  <c r="S104" i="5" s="1"/>
  <c r="T104" i="5" s="1"/>
  <c r="U104" i="5" s="1"/>
  <c r="V104" i="5" s="1"/>
  <c r="W104" i="5" s="1"/>
  <c r="X104" i="5" s="1"/>
  <c r="Y104" i="5" s="1"/>
  <c r="Z104" i="5" s="1"/>
  <c r="G99" i="5"/>
  <c r="G98" i="5"/>
  <c r="G97" i="5"/>
  <c r="N94" i="5"/>
  <c r="M94" i="5"/>
  <c r="G239" i="5"/>
  <c r="S94" i="5"/>
  <c r="R94" i="5"/>
  <c r="P94" i="5"/>
  <c r="O94" i="5"/>
  <c r="C75" i="5"/>
  <c r="S72" i="5"/>
  <c r="T72" i="5" s="1"/>
  <c r="U72" i="5" s="1"/>
  <c r="V72" i="5" s="1"/>
  <c r="W72" i="5" s="1"/>
  <c r="X72" i="5" s="1"/>
  <c r="Y72" i="5" s="1"/>
  <c r="Z72" i="5" s="1"/>
  <c r="L72" i="5"/>
  <c r="M72" i="5" s="1"/>
  <c r="G67" i="5"/>
  <c r="G66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G62" i="5" a="1"/>
  <c r="G62" i="5" s="1"/>
  <c r="Z61" i="5"/>
  <c r="Y61" i="5"/>
  <c r="X61" i="5"/>
  <c r="W61" i="5"/>
  <c r="V61" i="5"/>
  <c r="V63" i="5" s="1"/>
  <c r="U61" i="5"/>
  <c r="T61" i="5"/>
  <c r="S61" i="5"/>
  <c r="R61" i="5"/>
  <c r="R63" i="5" s="1"/>
  <c r="Q61" i="5"/>
  <c r="Q63" i="5" s="1"/>
  <c r="P61" i="5"/>
  <c r="P63" i="5" s="1"/>
  <c r="O61" i="5"/>
  <c r="O63" i="5" s="1"/>
  <c r="N61" i="5"/>
  <c r="N63" i="5" s="1"/>
  <c r="M61" i="5"/>
  <c r="M63" i="5" s="1"/>
  <c r="L61" i="5"/>
  <c r="L63" i="5" s="1"/>
  <c r="G61" i="5" a="1"/>
  <c r="G61" i="5" s="1"/>
  <c r="C46" i="5"/>
  <c r="L43" i="5"/>
  <c r="M43" i="5" s="1"/>
  <c r="N43" i="5" s="1"/>
  <c r="O43" i="5" s="1"/>
  <c r="P43" i="5" s="1"/>
  <c r="Q43" i="5" s="1"/>
  <c r="R43" i="5" s="1"/>
  <c r="S43" i="5" s="1"/>
  <c r="T43" i="5" s="1"/>
  <c r="U43" i="5" s="1"/>
  <c r="V43" i="5" s="1"/>
  <c r="W43" i="5" s="1"/>
  <c r="X43" i="5" s="1"/>
  <c r="Y43" i="5" s="1"/>
  <c r="Z43" i="5" s="1"/>
  <c r="G38" i="5"/>
  <c r="G37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G33" i="5" a="1"/>
  <c r="G33" i="5" s="1"/>
  <c r="Z32" i="5"/>
  <c r="Z34" i="5" s="1"/>
  <c r="Y32" i="5"/>
  <c r="Y34" i="5" s="1"/>
  <c r="X32" i="5"/>
  <c r="X34" i="5" s="1"/>
  <c r="W32" i="5"/>
  <c r="W34" i="5" s="1"/>
  <c r="V32" i="5"/>
  <c r="V34" i="5" s="1"/>
  <c r="U32" i="5"/>
  <c r="T32" i="5"/>
  <c r="S32" i="5"/>
  <c r="R32" i="5"/>
  <c r="R34" i="5" s="1"/>
  <c r="Q32" i="5"/>
  <c r="P32" i="5"/>
  <c r="P34" i="5" s="1"/>
  <c r="O32" i="5"/>
  <c r="O34" i="5" s="1"/>
  <c r="N32" i="5"/>
  <c r="N34" i="5" s="1"/>
  <c r="M32" i="5"/>
  <c r="M34" i="5" s="1"/>
  <c r="L32" i="5"/>
  <c r="G32" i="5" a="1"/>
  <c r="G32" i="5" s="1"/>
  <c r="L6" i="5"/>
  <c r="M4" i="5"/>
  <c r="M239" i="5" s="1"/>
  <c r="C44" i="16"/>
  <c r="C31" i="16"/>
  <c r="G39" i="5" l="1"/>
  <c r="W91" i="5"/>
  <c r="Q34" i="5"/>
  <c r="Z63" i="5"/>
  <c r="Y63" i="5"/>
  <c r="X63" i="5"/>
  <c r="G34" i="5"/>
  <c r="L213" i="5" a="1"/>
  <c r="L213" i="5" s="1"/>
  <c r="C214" i="5"/>
  <c r="V93" i="5"/>
  <c r="V94" i="5" s="1"/>
  <c r="Z124" i="5"/>
  <c r="Y124" i="5"/>
  <c r="J33" i="5"/>
  <c r="L331" i="5"/>
  <c r="L335" i="5" s="1"/>
  <c r="L336" i="5" s="1"/>
  <c r="L324" i="5" s="1"/>
  <c r="T124" i="5"/>
  <c r="T34" i="5"/>
  <c r="W63" i="5"/>
  <c r="T63" i="5"/>
  <c r="S63" i="5"/>
  <c r="L197" i="5" a="1"/>
  <c r="L197" i="5" s="1"/>
  <c r="C198" i="5"/>
  <c r="M198" i="5" s="1" a="1"/>
  <c r="M198" i="5" s="1"/>
  <c r="M193" i="5"/>
  <c r="J141" i="17"/>
  <c r="N177" i="5"/>
  <c r="K122" i="17"/>
  <c r="P138" i="5"/>
  <c r="Z138" i="5"/>
  <c r="W138" i="5"/>
  <c r="X138" i="5"/>
  <c r="R138" i="5"/>
  <c r="Q137" i="5"/>
  <c r="V137" i="5"/>
  <c r="R137" i="5"/>
  <c r="R139" i="5" s="1"/>
  <c r="U137" i="5"/>
  <c r="S137" i="5"/>
  <c r="P137" i="5"/>
  <c r="C108" i="5"/>
  <c r="M108" i="5" s="1" a="1"/>
  <c r="M108" i="5" s="1"/>
  <c r="L107" i="5" a="1"/>
  <c r="L107" i="5" s="1"/>
  <c r="L75" i="5" a="1"/>
  <c r="L75" i="5" s="1"/>
  <c r="C76" i="5"/>
  <c r="L54" i="5"/>
  <c r="M6" i="5"/>
  <c r="L83" i="5"/>
  <c r="S34" i="5"/>
  <c r="L76" i="5" a="1"/>
  <c r="L76" i="5" s="1"/>
  <c r="M304" i="5"/>
  <c r="M313" i="5" s="1"/>
  <c r="M314" i="5" s="1"/>
  <c r="M316" i="5" s="1"/>
  <c r="M231" i="5"/>
  <c r="M271" i="5"/>
  <c r="M330" i="5"/>
  <c r="M331" i="5" s="1"/>
  <c r="M335" i="5" s="1"/>
  <c r="M336" i="5" s="1"/>
  <c r="M324" i="5" s="1"/>
  <c r="M340" i="5"/>
  <c r="M341" i="5" s="1"/>
  <c r="M345" i="5" s="1"/>
  <c r="M346" i="5" s="1"/>
  <c r="M325" i="5" s="1"/>
  <c r="M182" i="5" a="1"/>
  <c r="M182" i="5" s="1"/>
  <c r="N4" i="5"/>
  <c r="M240" i="5"/>
  <c r="M238" i="5"/>
  <c r="M183" i="5" a="1"/>
  <c r="M183" i="5" s="1"/>
  <c r="K160" i="17"/>
  <c r="N209" i="5"/>
  <c r="G63" i="5"/>
  <c r="G100" i="5"/>
  <c r="C47" i="5"/>
  <c r="L46" i="5" a="1"/>
  <c r="L46" i="5" s="1"/>
  <c r="J62" i="5"/>
  <c r="L273" i="5"/>
  <c r="L272" i="5"/>
  <c r="L279" i="5"/>
  <c r="L278" i="5"/>
  <c r="J32" i="5"/>
  <c r="L34" i="5"/>
  <c r="G68" i="5"/>
  <c r="T94" i="5"/>
  <c r="L94" i="5"/>
  <c r="C184" i="5"/>
  <c r="M184" i="5" s="1" a="1"/>
  <c r="M184" i="5" s="1"/>
  <c r="L183" i="5" a="1"/>
  <c r="L183" i="5" s="1"/>
  <c r="L275" i="5"/>
  <c r="G129" i="5"/>
  <c r="L182" i="5" a="1"/>
  <c r="L182" i="5" s="1"/>
  <c r="U94" i="5"/>
  <c r="J61" i="5"/>
  <c r="J63" i="5" s="1"/>
  <c r="U34" i="5"/>
  <c r="G240" i="5"/>
  <c r="J160" i="17"/>
  <c r="L25" i="5"/>
  <c r="U63" i="5"/>
  <c r="G238" i="5"/>
  <c r="L243" i="5" s="1"/>
  <c r="L249" i="5" s="1"/>
  <c r="G144" i="5"/>
  <c r="U138" i="5"/>
  <c r="G138" i="5" a="1"/>
  <c r="G138" i="5" s="1"/>
  <c r="G139" i="5" s="1"/>
  <c r="T138" i="5"/>
  <c r="S138" i="5"/>
  <c r="Q138" i="5"/>
  <c r="N138" i="5"/>
  <c r="M138" i="5"/>
  <c r="L138" i="5"/>
  <c r="Y138" i="5"/>
  <c r="V138" i="5"/>
  <c r="O138" i="5"/>
  <c r="Z137" i="5"/>
  <c r="N137" i="5"/>
  <c r="Y137" i="5"/>
  <c r="M137" i="5"/>
  <c r="W137" i="5"/>
  <c r="T137" i="5"/>
  <c r="J122" i="17"/>
  <c r="J92" i="5"/>
  <c r="G92" i="5" s="1"/>
  <c r="G154" i="5" s="1"/>
  <c r="Q154" i="5" s="1"/>
  <c r="J154" i="5" s="1"/>
  <c r="X137" i="5"/>
  <c r="L137" i="5"/>
  <c r="L341" i="5"/>
  <c r="L345" i="5" s="1"/>
  <c r="L346" i="5" s="1"/>
  <c r="O137" i="5"/>
  <c r="J145" i="17"/>
  <c r="L181" i="5" a="1"/>
  <c r="L181" i="5" s="1"/>
  <c r="L316" i="5"/>
  <c r="J8" i="17" s="1"/>
  <c r="H68" i="12"/>
  <c r="G99" i="4"/>
  <c r="E104" i="4"/>
  <c r="H5" i="4"/>
  <c r="H39" i="4" s="1"/>
  <c r="L233" i="5"/>
  <c r="Q94" i="5"/>
  <c r="F66" i="4"/>
  <c r="H169" i="12"/>
  <c r="H170" i="12" s="1"/>
  <c r="H38" i="12"/>
  <c r="H110" i="12"/>
  <c r="F61" i="4" s="1"/>
  <c r="H67" i="12" s="1"/>
  <c r="I47" i="12"/>
  <c r="I141" i="12" s="1"/>
  <c r="G56" i="4" s="1"/>
  <c r="I65" i="12" s="1"/>
  <c r="H105" i="12"/>
  <c r="I36" i="12"/>
  <c r="I105" i="12" s="1"/>
  <c r="G58" i="4" s="1"/>
  <c r="I66" i="12" s="1"/>
  <c r="J4" i="12"/>
  <c r="J84" i="12" s="1"/>
  <c r="W80" i="11"/>
  <c r="X80" i="11"/>
  <c r="S136" i="11"/>
  <c r="Q120" i="11"/>
  <c r="U136" i="11"/>
  <c r="W136" i="11"/>
  <c r="N136" i="11"/>
  <c r="V136" i="11"/>
  <c r="X136" i="11"/>
  <c r="V157" i="11"/>
  <c r="W81" i="11"/>
  <c r="R99" i="11"/>
  <c r="W157" i="11"/>
  <c r="K75" i="11"/>
  <c r="V75" i="11" s="1"/>
  <c r="V202" i="11" s="1"/>
  <c r="X81" i="11"/>
  <c r="S99" i="11"/>
  <c r="X157" i="11"/>
  <c r="G82" i="11"/>
  <c r="K82" i="11" s="1"/>
  <c r="Y82" i="11" s="1"/>
  <c r="T99" i="11"/>
  <c r="M257" i="11"/>
  <c r="N255" i="11" s="1"/>
  <c r="N257" i="11" s="1"/>
  <c r="O255" i="11" s="1"/>
  <c r="O257" i="11" s="1"/>
  <c r="P255" i="11" s="1"/>
  <c r="P257" i="11" s="1"/>
  <c r="Q255" i="11" s="1"/>
  <c r="Q257" i="11" s="1"/>
  <c r="R255" i="11" s="1"/>
  <c r="U99" i="11"/>
  <c r="Y99" i="11"/>
  <c r="Z141" i="11"/>
  <c r="S80" i="11"/>
  <c r="Y167" i="11"/>
  <c r="U80" i="11"/>
  <c r="K98" i="11"/>
  <c r="T98" i="11" s="1"/>
  <c r="V99" i="11"/>
  <c r="V80" i="11"/>
  <c r="L118" i="11"/>
  <c r="O118" i="11"/>
  <c r="P118" i="11"/>
  <c r="Z168" i="11"/>
  <c r="Q118" i="11"/>
  <c r="G169" i="11"/>
  <c r="K169" i="11" s="1"/>
  <c r="Z169" i="11" s="1"/>
  <c r="X75" i="11"/>
  <c r="X202" i="11" s="1"/>
  <c r="L81" i="11"/>
  <c r="S120" i="11"/>
  <c r="M141" i="11"/>
  <c r="R81" i="11"/>
  <c r="U118" i="11"/>
  <c r="N141" i="11"/>
  <c r="N157" i="11"/>
  <c r="M167" i="11"/>
  <c r="Q297" i="11"/>
  <c r="Q298" i="11" s="1"/>
  <c r="J48" i="3" s="1"/>
  <c r="S81" i="11"/>
  <c r="M99" i="11"/>
  <c r="K117" i="11"/>
  <c r="T117" i="11" s="1"/>
  <c r="W118" i="11"/>
  <c r="O141" i="11"/>
  <c r="O157" i="11"/>
  <c r="O167" i="11"/>
  <c r="U81" i="11"/>
  <c r="P99" i="11"/>
  <c r="Y118" i="11"/>
  <c r="O136" i="11"/>
  <c r="S141" i="11"/>
  <c r="Q157" i="11"/>
  <c r="Q167" i="11"/>
  <c r="O309" i="11"/>
  <c r="O310" i="11" s="1"/>
  <c r="X168" i="11"/>
  <c r="K164" i="11"/>
  <c r="V209" i="11" s="1"/>
  <c r="Q83" i="11"/>
  <c r="R118" i="11"/>
  <c r="T81" i="11"/>
  <c r="O99" i="11"/>
  <c r="P141" i="11"/>
  <c r="P157" i="11"/>
  <c r="P167" i="11"/>
  <c r="Q99" i="11"/>
  <c r="G119" i="11"/>
  <c r="K119" i="11" s="1"/>
  <c r="O119" i="11" s="1"/>
  <c r="K135" i="11"/>
  <c r="G140" i="11" s="1"/>
  <c r="K140" i="11" s="1"/>
  <c r="P136" i="11"/>
  <c r="T157" i="11"/>
  <c r="P276" i="11"/>
  <c r="R209" i="11"/>
  <c r="T209" i="11"/>
  <c r="X209" i="11"/>
  <c r="Z209" i="11"/>
  <c r="Y209" i="11"/>
  <c r="S209" i="11"/>
  <c r="V152" i="11"/>
  <c r="M170" i="11"/>
  <c r="M173" i="11"/>
  <c r="G153" i="11"/>
  <c r="K153" i="11" s="1"/>
  <c r="G154" i="11"/>
  <c r="K154" i="11" s="1"/>
  <c r="K148" i="11"/>
  <c r="N170" i="11"/>
  <c r="T4" i="11"/>
  <c r="O170" i="11"/>
  <c r="K93" i="11"/>
  <c r="G101" i="11"/>
  <c r="K101" i="11" s="1"/>
  <c r="G100" i="11"/>
  <c r="K100" i="11" s="1"/>
  <c r="Q152" i="11"/>
  <c r="T173" i="11"/>
  <c r="S173" i="11"/>
  <c r="V173" i="11"/>
  <c r="Q173" i="11"/>
  <c r="O173" i="11"/>
  <c r="P173" i="11"/>
  <c r="N173" i="11"/>
  <c r="Z173" i="11"/>
  <c r="Y173" i="11"/>
  <c r="X173" i="11"/>
  <c r="U173" i="11"/>
  <c r="W173" i="11"/>
  <c r="P309" i="11"/>
  <c r="P310" i="11" s="1"/>
  <c r="P297" i="11"/>
  <c r="V170" i="11"/>
  <c r="U170" i="11"/>
  <c r="X170" i="11"/>
  <c r="L170" i="11"/>
  <c r="S170" i="11"/>
  <c r="Q170" i="11"/>
  <c r="R170" i="11"/>
  <c r="P170" i="11"/>
  <c r="Z170" i="11"/>
  <c r="W170" i="11"/>
  <c r="Y170" i="11"/>
  <c r="L173" i="11"/>
  <c r="P83" i="11"/>
  <c r="O83" i="11"/>
  <c r="R83" i="11"/>
  <c r="M83" i="11"/>
  <c r="L83" i="11"/>
  <c r="Y83" i="11"/>
  <c r="X83" i="11"/>
  <c r="W83" i="11"/>
  <c r="V83" i="11"/>
  <c r="U83" i="11"/>
  <c r="T83" i="11"/>
  <c r="S83" i="11"/>
  <c r="V120" i="11"/>
  <c r="U120" i="11"/>
  <c r="X120" i="11"/>
  <c r="L120" i="11"/>
  <c r="M120" i="11"/>
  <c r="Z120" i="11"/>
  <c r="Y120" i="11"/>
  <c r="N120" i="11"/>
  <c r="W120" i="11"/>
  <c r="S152" i="11"/>
  <c r="R152" i="11"/>
  <c r="U152" i="11"/>
  <c r="P152" i="11"/>
  <c r="N152" i="11"/>
  <c r="O152" i="11"/>
  <c r="M152" i="11"/>
  <c r="Z152" i="11"/>
  <c r="Y152" i="11"/>
  <c r="W152" i="11"/>
  <c r="X152" i="11"/>
  <c r="L152" i="11"/>
  <c r="R80" i="11"/>
  <c r="Q80" i="11"/>
  <c r="G87" i="11"/>
  <c r="K87" i="11" s="1"/>
  <c r="T80" i="11"/>
  <c r="O80" i="11"/>
  <c r="G85" i="11"/>
  <c r="K85" i="11" s="1"/>
  <c r="N80" i="11"/>
  <c r="L80" i="11"/>
  <c r="M80" i="11"/>
  <c r="Z80" i="11"/>
  <c r="Y80" i="11"/>
  <c r="N83" i="11"/>
  <c r="W151" i="11"/>
  <c r="G156" i="11"/>
  <c r="K156" i="11" s="1"/>
  <c r="V151" i="11"/>
  <c r="Y151" i="11"/>
  <c r="M151" i="11"/>
  <c r="Q151" i="11"/>
  <c r="G158" i="11"/>
  <c r="K158" i="11" s="1"/>
  <c r="P151" i="11"/>
  <c r="O151" i="11"/>
  <c r="N151" i="11"/>
  <c r="Z151" i="11"/>
  <c r="X151" i="11"/>
  <c r="U151" i="11"/>
  <c r="T151" i="11"/>
  <c r="S151" i="11"/>
  <c r="L151" i="11"/>
  <c r="R151" i="11"/>
  <c r="G138" i="11"/>
  <c r="K138" i="11" s="1"/>
  <c r="G137" i="11"/>
  <c r="K137" i="11" s="1"/>
  <c r="T168" i="11"/>
  <c r="S168" i="11"/>
  <c r="V168" i="11"/>
  <c r="W168" i="11"/>
  <c r="R168" i="11"/>
  <c r="U168" i="11"/>
  <c r="Q168" i="11"/>
  <c r="G172" i="11"/>
  <c r="K172" i="11" s="1"/>
  <c r="L168" i="11"/>
  <c r="K130" i="11"/>
  <c r="M168" i="11"/>
  <c r="N168" i="11"/>
  <c r="M309" i="11"/>
  <c r="M310" i="11" s="1"/>
  <c r="M297" i="11"/>
  <c r="R141" i="11"/>
  <c r="Q141" i="11"/>
  <c r="T141" i="11"/>
  <c r="Y141" i="11"/>
  <c r="W141" i="11"/>
  <c r="X141" i="11"/>
  <c r="V141" i="11"/>
  <c r="X167" i="11"/>
  <c r="L167" i="11"/>
  <c r="W167" i="11"/>
  <c r="Z167" i="11"/>
  <c r="N167" i="11"/>
  <c r="U167" i="11"/>
  <c r="T167" i="11"/>
  <c r="S167" i="11"/>
  <c r="R167" i="11"/>
  <c r="O168" i="11"/>
  <c r="G174" i="11"/>
  <c r="K174" i="11" s="1"/>
  <c r="N309" i="11"/>
  <c r="N310" i="11" s="1"/>
  <c r="N297" i="11"/>
  <c r="N298" i="11" s="1"/>
  <c r="L141" i="11"/>
  <c r="P168" i="11"/>
  <c r="Z81" i="11"/>
  <c r="N81" i="11"/>
  <c r="Y81" i="11"/>
  <c r="M81" i="11"/>
  <c r="P81" i="11"/>
  <c r="T118" i="11"/>
  <c r="S118" i="11"/>
  <c r="V118" i="11"/>
  <c r="Z118" i="11"/>
  <c r="Y136" i="11"/>
  <c r="Z136" i="11"/>
  <c r="S157" i="11"/>
  <c r="R157" i="11"/>
  <c r="U157" i="11"/>
  <c r="O81" i="11"/>
  <c r="M118" i="11"/>
  <c r="L157" i="11"/>
  <c r="R136" i="11"/>
  <c r="Q136" i="11"/>
  <c r="T136" i="11"/>
  <c r="Z157" i="11"/>
  <c r="Q81" i="11"/>
  <c r="N118" i="11"/>
  <c r="M136" i="11"/>
  <c r="M157" i="11"/>
  <c r="N99" i="11"/>
  <c r="Z99" i="11"/>
  <c r="K111" i="11"/>
  <c r="W99" i="11"/>
  <c r="L99" i="11"/>
  <c r="M276" i="11"/>
  <c r="M277" i="11" s="1"/>
  <c r="N275" i="11" s="1"/>
  <c r="P295" i="11"/>
  <c r="M296" i="11"/>
  <c r="Q276" i="11"/>
  <c r="M267" i="11"/>
  <c r="O298" i="11"/>
  <c r="H48" i="3" s="1"/>
  <c r="O276" i="11"/>
  <c r="N276" i="11"/>
  <c r="G53" i="4"/>
  <c r="H4" i="19"/>
  <c r="G26" i="19"/>
  <c r="G24" i="19"/>
  <c r="G25" i="19"/>
  <c r="K4" i="17"/>
  <c r="J125" i="17"/>
  <c r="J127" i="17"/>
  <c r="J149" i="17"/>
  <c r="H121" i="17"/>
  <c r="J128" i="17"/>
  <c r="J163" i="17"/>
  <c r="H118" i="17"/>
  <c r="K128" i="17"/>
  <c r="J129" i="17"/>
  <c r="H140" i="17"/>
  <c r="H156" i="17"/>
  <c r="J130" i="17"/>
  <c r="K149" i="17"/>
  <c r="K130" i="17"/>
  <c r="J146" i="17"/>
  <c r="J164" i="17"/>
  <c r="K164" i="17"/>
  <c r="J166" i="17"/>
  <c r="J86" i="17"/>
  <c r="K166" i="17"/>
  <c r="J165" i="17"/>
  <c r="J126" i="17"/>
  <c r="J148" i="17"/>
  <c r="J144" i="17"/>
  <c r="K86" i="17"/>
  <c r="J167" i="17"/>
  <c r="J168" i="17"/>
  <c r="K165" i="17"/>
  <c r="K126" i="17"/>
  <c r="K146" i="17"/>
  <c r="K167" i="17"/>
  <c r="K168" i="17"/>
  <c r="L4" i="17"/>
  <c r="H119" i="17"/>
  <c r="H185" i="17"/>
  <c r="H137" i="17"/>
  <c r="H138" i="17"/>
  <c r="L161" i="5" l="1"/>
  <c r="L159" i="5"/>
  <c r="L160" i="5"/>
  <c r="T139" i="5"/>
  <c r="L127" i="5"/>
  <c r="L128" i="5"/>
  <c r="U124" i="5"/>
  <c r="K147" i="17"/>
  <c r="K127" i="17"/>
  <c r="L318" i="5"/>
  <c r="L317" i="5"/>
  <c r="Q124" i="5"/>
  <c r="X91" i="5"/>
  <c r="Y91" i="5" s="1"/>
  <c r="C77" i="5"/>
  <c r="N77" i="5" s="1" a="1"/>
  <c r="N77" i="5" s="1"/>
  <c r="M76" i="5" a="1"/>
  <c r="M76" i="5" s="1"/>
  <c r="M54" i="5"/>
  <c r="M25" i="5"/>
  <c r="M83" i="5"/>
  <c r="N6" i="5"/>
  <c r="P139" i="5"/>
  <c r="S124" i="5"/>
  <c r="M124" i="5"/>
  <c r="J34" i="5"/>
  <c r="P124" i="5"/>
  <c r="C215" i="5"/>
  <c r="N215" i="5" s="1" a="1"/>
  <c r="N215" i="5" s="1"/>
  <c r="M214" i="5" a="1"/>
  <c r="M214" i="5" s="1"/>
  <c r="L214" i="5" a="1"/>
  <c r="L214" i="5" s="1"/>
  <c r="N193" i="5"/>
  <c r="K141" i="17"/>
  <c r="O124" i="5"/>
  <c r="W124" i="5"/>
  <c r="V124" i="5"/>
  <c r="R124" i="5"/>
  <c r="N124" i="5"/>
  <c r="U139" i="5"/>
  <c r="S139" i="5"/>
  <c r="Q139" i="5"/>
  <c r="V139" i="5"/>
  <c r="Z139" i="5"/>
  <c r="W139" i="5"/>
  <c r="X124" i="5"/>
  <c r="X139" i="5"/>
  <c r="L142" i="5"/>
  <c r="O177" i="5"/>
  <c r="L122" i="17"/>
  <c r="L97" i="5"/>
  <c r="L99" i="5"/>
  <c r="L98" i="5"/>
  <c r="M318" i="5"/>
  <c r="K10" i="17" s="1"/>
  <c r="K8" i="17"/>
  <c r="M317" i="5"/>
  <c r="M233" i="5"/>
  <c r="M235" i="5"/>
  <c r="M232" i="5"/>
  <c r="W93" i="5"/>
  <c r="L198" i="5" a="1"/>
  <c r="L198" i="5" s="1"/>
  <c r="C199" i="5"/>
  <c r="N199" i="5" s="1" a="1"/>
  <c r="N199" i="5" s="1"/>
  <c r="C109" i="5"/>
  <c r="N109" i="5" s="1" a="1"/>
  <c r="N109" i="5" s="1"/>
  <c r="L108" i="5" a="1"/>
  <c r="L108" i="5" s="1"/>
  <c r="N139" i="5"/>
  <c r="M243" i="5"/>
  <c r="L325" i="5"/>
  <c r="L326" i="5" s="1"/>
  <c r="L10" i="5" s="1"/>
  <c r="F22" i="3"/>
  <c r="K21" i="17"/>
  <c r="K52" i="17" s="1"/>
  <c r="K61" i="17" s="1"/>
  <c r="G20" i="4"/>
  <c r="L288" i="5"/>
  <c r="L289" i="5"/>
  <c r="L139" i="5"/>
  <c r="J137" i="5"/>
  <c r="L66" i="5"/>
  <c r="J138" i="5"/>
  <c r="K129" i="17"/>
  <c r="L67" i="5"/>
  <c r="L38" i="5"/>
  <c r="F21" i="3"/>
  <c r="K20" i="17"/>
  <c r="K51" i="17" s="1"/>
  <c r="G19" i="4"/>
  <c r="M326" i="5"/>
  <c r="M10" i="5" s="1"/>
  <c r="M139" i="5"/>
  <c r="K145" i="17"/>
  <c r="J122" i="5"/>
  <c r="L124" i="5"/>
  <c r="Y139" i="5"/>
  <c r="N54" i="5"/>
  <c r="N25" i="5"/>
  <c r="N83" i="5"/>
  <c r="O6" i="5"/>
  <c r="C48" i="5"/>
  <c r="N48" i="5" s="1" a="1"/>
  <c r="N48" i="5" s="1"/>
  <c r="L47" i="5" a="1"/>
  <c r="L47" i="5" s="1"/>
  <c r="M47" i="5" a="1"/>
  <c r="M47" i="5" s="1"/>
  <c r="M273" i="5"/>
  <c r="M272" i="5"/>
  <c r="M275" i="5"/>
  <c r="M278" i="5"/>
  <c r="M279" i="5"/>
  <c r="L160" i="17"/>
  <c r="O209" i="5"/>
  <c r="E21" i="3"/>
  <c r="F19" i="4"/>
  <c r="J20" i="17"/>
  <c r="L143" i="5"/>
  <c r="N304" i="5"/>
  <c r="N231" i="5"/>
  <c r="N243" i="5"/>
  <c r="N184" i="5" a="1"/>
  <c r="N184" i="5" s="1"/>
  <c r="N340" i="5"/>
  <c r="N240" i="5"/>
  <c r="N271" i="5"/>
  <c r="N238" i="5"/>
  <c r="N183" i="5" a="1"/>
  <c r="N183" i="5" s="1"/>
  <c r="O4" i="5"/>
  <c r="O245" i="5" s="1"/>
  <c r="N330" i="5"/>
  <c r="N331" i="5" s="1"/>
  <c r="N335" i="5" s="1"/>
  <c r="N336" i="5" s="1"/>
  <c r="N239" i="5"/>
  <c r="L37" i="5"/>
  <c r="G124" i="5"/>
  <c r="J123" i="5"/>
  <c r="L280" i="5"/>
  <c r="L283" i="5"/>
  <c r="M143" i="5"/>
  <c r="O139" i="5"/>
  <c r="L184" i="5" a="1"/>
  <c r="L184" i="5" s="1"/>
  <c r="C185" i="5"/>
  <c r="L284" i="5"/>
  <c r="H25" i="19"/>
  <c r="N304" i="11"/>
  <c r="N305" i="11" s="1"/>
  <c r="G48" i="3"/>
  <c r="J10" i="17"/>
  <c r="I5" i="4"/>
  <c r="I39" i="4" s="1"/>
  <c r="H99" i="4"/>
  <c r="H53" i="4"/>
  <c r="L257" i="5"/>
  <c r="L256" i="5"/>
  <c r="L255" i="5"/>
  <c r="L260" i="5" s="1"/>
  <c r="M245" i="5"/>
  <c r="L245" i="5"/>
  <c r="L251" i="5" s="1"/>
  <c r="N245" i="5"/>
  <c r="N244" i="5"/>
  <c r="M244" i="5"/>
  <c r="L244" i="5"/>
  <c r="F58" i="4"/>
  <c r="H66" i="12" s="1"/>
  <c r="K4" i="12"/>
  <c r="K84" i="12" s="1"/>
  <c r="J36" i="12"/>
  <c r="J47" i="12"/>
  <c r="J141" i="12" s="1"/>
  <c r="H56" i="4" s="1"/>
  <c r="J65" i="12" s="1"/>
  <c r="J99" i="12"/>
  <c r="J123" i="12" s="1"/>
  <c r="H115" i="12"/>
  <c r="I35" i="12"/>
  <c r="M298" i="11"/>
  <c r="R75" i="11"/>
  <c r="R202" i="11" s="1"/>
  <c r="X119" i="11"/>
  <c r="G102" i="11"/>
  <c r="K102" i="11" s="1"/>
  <c r="N102" i="11" s="1"/>
  <c r="X98" i="11"/>
  <c r="Q98" i="11"/>
  <c r="T75" i="11"/>
  <c r="T202" i="11" s="1"/>
  <c r="N98" i="11"/>
  <c r="M98" i="11"/>
  <c r="L98" i="11"/>
  <c r="P298" i="11"/>
  <c r="P135" i="11"/>
  <c r="Z135" i="11"/>
  <c r="M135" i="11"/>
  <c r="X135" i="11"/>
  <c r="V82" i="11"/>
  <c r="U135" i="11"/>
  <c r="L82" i="11"/>
  <c r="L119" i="11"/>
  <c r="V135" i="11"/>
  <c r="Y119" i="11"/>
  <c r="M119" i="11"/>
  <c r="O135" i="11"/>
  <c r="N119" i="11"/>
  <c r="N135" i="11"/>
  <c r="S82" i="11"/>
  <c r="U119" i="11"/>
  <c r="G105" i="11"/>
  <c r="K105" i="11" s="1"/>
  <c r="Q105" i="11" s="1"/>
  <c r="W98" i="11"/>
  <c r="V98" i="11"/>
  <c r="R98" i="11"/>
  <c r="V169" i="11"/>
  <c r="X82" i="11"/>
  <c r="P169" i="11"/>
  <c r="P75" i="11"/>
  <c r="P202" i="11" s="1"/>
  <c r="Y75" i="11"/>
  <c r="Y202" i="11" s="1"/>
  <c r="P98" i="11"/>
  <c r="Y169" i="11"/>
  <c r="G103" i="11"/>
  <c r="K103" i="11" s="1"/>
  <c r="Y103" i="11" s="1"/>
  <c r="S98" i="11"/>
  <c r="W75" i="11"/>
  <c r="W202" i="11" s="1"/>
  <c r="L75" i="11"/>
  <c r="L202" i="11" s="1"/>
  <c r="U75" i="11"/>
  <c r="U202" i="11" s="1"/>
  <c r="M202" i="11"/>
  <c r="U98" i="11"/>
  <c r="O98" i="11"/>
  <c r="X169" i="11"/>
  <c r="S75" i="11"/>
  <c r="S202" i="11" s="1"/>
  <c r="Q135" i="11"/>
  <c r="R82" i="11"/>
  <c r="R169" i="11"/>
  <c r="N277" i="11"/>
  <c r="O275" i="11" s="1"/>
  <c r="O277" i="11" s="1"/>
  <c r="P275" i="11" s="1"/>
  <c r="P277" i="11" s="1"/>
  <c r="Q275" i="11" s="1"/>
  <c r="Q277" i="11" s="1"/>
  <c r="R275" i="11" s="1"/>
  <c r="G139" i="11"/>
  <c r="K139" i="11" s="1"/>
  <c r="Y139" i="11" s="1"/>
  <c r="L135" i="11"/>
  <c r="W82" i="11"/>
  <c r="S169" i="11"/>
  <c r="Z117" i="11"/>
  <c r="T82" i="11"/>
  <c r="U169" i="11"/>
  <c r="Z82" i="11"/>
  <c r="O82" i="11"/>
  <c r="U82" i="11"/>
  <c r="O169" i="11"/>
  <c r="N75" i="11"/>
  <c r="N202" i="11" s="1"/>
  <c r="G84" i="11"/>
  <c r="K84" i="11" s="1"/>
  <c r="Y98" i="11"/>
  <c r="P82" i="11"/>
  <c r="L209" i="11"/>
  <c r="Q75" i="11"/>
  <c r="Q202" i="11" s="1"/>
  <c r="N82" i="11"/>
  <c r="M82" i="11"/>
  <c r="Z75" i="11"/>
  <c r="Z202" i="11" s="1"/>
  <c r="T119" i="11"/>
  <c r="Z98" i="11"/>
  <c r="Q82" i="11"/>
  <c r="P209" i="11"/>
  <c r="O75" i="11"/>
  <c r="O202" i="11" s="1"/>
  <c r="W117" i="11"/>
  <c r="Q304" i="11"/>
  <c r="Q305" i="11" s="1"/>
  <c r="V119" i="11"/>
  <c r="L117" i="11"/>
  <c r="W169" i="11"/>
  <c r="N209" i="11"/>
  <c r="Q209" i="11"/>
  <c r="W119" i="11"/>
  <c r="P117" i="11"/>
  <c r="X117" i="11"/>
  <c r="Q117" i="11"/>
  <c r="G124" i="11"/>
  <c r="K124" i="11" s="1"/>
  <c r="P124" i="11" s="1"/>
  <c r="Y117" i="11"/>
  <c r="Q119" i="11"/>
  <c r="S117" i="11"/>
  <c r="T169" i="11"/>
  <c r="O209" i="11"/>
  <c r="W135" i="11"/>
  <c r="Y135" i="11"/>
  <c r="T135" i="11"/>
  <c r="S135" i="11"/>
  <c r="R135" i="11"/>
  <c r="Z119" i="11"/>
  <c r="G121" i="11"/>
  <c r="K121" i="11" s="1"/>
  <c r="W121" i="11" s="1"/>
  <c r="Q169" i="11"/>
  <c r="U209" i="11"/>
  <c r="R117" i="11"/>
  <c r="G171" i="11"/>
  <c r="K171" i="11" s="1"/>
  <c r="K175" i="11" s="1"/>
  <c r="K177" i="11" s="1"/>
  <c r="U117" i="11"/>
  <c r="O117" i="11"/>
  <c r="M169" i="11"/>
  <c r="N169" i="11"/>
  <c r="W209" i="11"/>
  <c r="G122" i="11"/>
  <c r="K122" i="11" s="1"/>
  <c r="L122" i="11" s="1"/>
  <c r="M117" i="11"/>
  <c r="R119" i="11"/>
  <c r="P119" i="11"/>
  <c r="G142" i="11"/>
  <c r="K142" i="11" s="1"/>
  <c r="O142" i="11" s="1"/>
  <c r="S119" i="11"/>
  <c r="V117" i="11"/>
  <c r="N117" i="11"/>
  <c r="L169" i="11"/>
  <c r="U102" i="11"/>
  <c r="R130" i="11"/>
  <c r="R206" i="11" s="1"/>
  <c r="Q130" i="11"/>
  <c r="Q206" i="11" s="1"/>
  <c r="T130" i="11"/>
  <c r="T206" i="11" s="1"/>
  <c r="U130" i="11"/>
  <c r="P130" i="11"/>
  <c r="P206" i="11" s="1"/>
  <c r="S130" i="11"/>
  <c r="S206" i="11" s="1"/>
  <c r="O130" i="11"/>
  <c r="N130" i="11"/>
  <c r="N206" i="11" s="1"/>
  <c r="M130" i="11"/>
  <c r="L130" i="11"/>
  <c r="Z130" i="11"/>
  <c r="Y130" i="11"/>
  <c r="X130" i="11"/>
  <c r="W130" i="11"/>
  <c r="V130" i="11"/>
  <c r="X93" i="11"/>
  <c r="L93" i="11"/>
  <c r="L203" i="11" s="1"/>
  <c r="W93" i="11"/>
  <c r="Z93" i="11"/>
  <c r="N93" i="11"/>
  <c r="U93" i="11"/>
  <c r="S93" i="11"/>
  <c r="T93" i="11"/>
  <c r="R93" i="11"/>
  <c r="K181" i="11"/>
  <c r="Y93" i="11"/>
  <c r="V93" i="11"/>
  <c r="O93" i="11"/>
  <c r="M93" i="11"/>
  <c r="Q93" i="11"/>
  <c r="P93" i="11"/>
  <c r="O304" i="11"/>
  <c r="O305" i="11" s="1"/>
  <c r="Z158" i="11"/>
  <c r="N158" i="11"/>
  <c r="Y158" i="11"/>
  <c r="M158" i="11"/>
  <c r="P158" i="11"/>
  <c r="X158" i="11"/>
  <c r="W158" i="11"/>
  <c r="V158" i="11"/>
  <c r="U158" i="11"/>
  <c r="T158" i="11"/>
  <c r="S158" i="11"/>
  <c r="Q158" i="11"/>
  <c r="R158" i="11"/>
  <c r="O158" i="11"/>
  <c r="L158" i="11"/>
  <c r="T240" i="11"/>
  <c r="U4" i="11"/>
  <c r="S100" i="11"/>
  <c r="R100" i="11"/>
  <c r="U100" i="11"/>
  <c r="O100" i="11"/>
  <c r="M100" i="11"/>
  <c r="N100" i="11"/>
  <c r="L100" i="11"/>
  <c r="Q100" i="11"/>
  <c r="P100" i="11"/>
  <c r="T100" i="11"/>
  <c r="X100" i="11"/>
  <c r="W100" i="11"/>
  <c r="V100" i="11"/>
  <c r="Z100" i="11"/>
  <c r="Y100" i="11"/>
  <c r="Z153" i="11"/>
  <c r="N153" i="11"/>
  <c r="Y153" i="11"/>
  <c r="M153" i="11"/>
  <c r="P153" i="11"/>
  <c r="Q153" i="11"/>
  <c r="O153" i="11"/>
  <c r="L153" i="11"/>
  <c r="S153" i="11"/>
  <c r="R153" i="11"/>
  <c r="X153" i="11"/>
  <c r="W153" i="11"/>
  <c r="V153" i="11"/>
  <c r="U153" i="11"/>
  <c r="T153" i="11"/>
  <c r="W156" i="11"/>
  <c r="V156" i="11"/>
  <c r="Y156" i="11"/>
  <c r="M156" i="11"/>
  <c r="N156" i="11"/>
  <c r="L156" i="11"/>
  <c r="Z156" i="11"/>
  <c r="P156" i="11"/>
  <c r="O156" i="11"/>
  <c r="X156" i="11"/>
  <c r="Q156" i="11"/>
  <c r="U156" i="11"/>
  <c r="T156" i="11"/>
  <c r="S156" i="11"/>
  <c r="R156" i="11"/>
  <c r="U111" i="11"/>
  <c r="T111" i="11"/>
  <c r="W111" i="11"/>
  <c r="R111" i="11"/>
  <c r="Q111" i="11"/>
  <c r="P111" i="11"/>
  <c r="O111" i="11"/>
  <c r="V111" i="11"/>
  <c r="S111" i="11"/>
  <c r="N111" i="11"/>
  <c r="M111" i="11"/>
  <c r="M204" i="11" s="1"/>
  <c r="L111" i="11"/>
  <c r="Z111" i="11"/>
  <c r="Y111" i="11"/>
  <c r="Y204" i="11" s="1"/>
  <c r="X111" i="11"/>
  <c r="V140" i="11"/>
  <c r="U140" i="11"/>
  <c r="X140" i="11"/>
  <c r="L140" i="11"/>
  <c r="Z140" i="11"/>
  <c r="Y140" i="11"/>
  <c r="W140" i="11"/>
  <c r="T140" i="11"/>
  <c r="S140" i="11"/>
  <c r="R140" i="11"/>
  <c r="Q140" i="11"/>
  <c r="O140" i="11"/>
  <c r="P140" i="11"/>
  <c r="M140" i="11"/>
  <c r="N140" i="11"/>
  <c r="X172" i="11"/>
  <c r="L172" i="11"/>
  <c r="W172" i="11"/>
  <c r="Z172" i="11"/>
  <c r="N172" i="11"/>
  <c r="R172" i="11"/>
  <c r="Q172" i="11"/>
  <c r="P172" i="11"/>
  <c r="O172" i="11"/>
  <c r="V172" i="11"/>
  <c r="U172" i="11"/>
  <c r="T172" i="11"/>
  <c r="S172" i="11"/>
  <c r="M172" i="11"/>
  <c r="Y172" i="11"/>
  <c r="R85" i="11"/>
  <c r="Q85" i="11"/>
  <c r="T85" i="11"/>
  <c r="L85" i="11"/>
  <c r="Y85" i="11"/>
  <c r="Z85" i="11"/>
  <c r="X85" i="11"/>
  <c r="O85" i="11"/>
  <c r="N85" i="11"/>
  <c r="M85" i="11"/>
  <c r="W85" i="11"/>
  <c r="V85" i="11"/>
  <c r="U85" i="11"/>
  <c r="S85" i="11"/>
  <c r="P85" i="11"/>
  <c r="M209" i="11"/>
  <c r="Z101" i="11"/>
  <c r="N101" i="11"/>
  <c r="Y101" i="11"/>
  <c r="M101" i="11"/>
  <c r="P101" i="11"/>
  <c r="O101" i="11"/>
  <c r="L101" i="11"/>
  <c r="V101" i="11"/>
  <c r="U101" i="11"/>
  <c r="T101" i="11"/>
  <c r="S101" i="11"/>
  <c r="R101" i="11"/>
  <c r="Q101" i="11"/>
  <c r="X101" i="11"/>
  <c r="W101" i="11"/>
  <c r="Q148" i="11"/>
  <c r="P148" i="11"/>
  <c r="S148" i="11"/>
  <c r="U148" i="11"/>
  <c r="R148" i="11"/>
  <c r="T148" i="11"/>
  <c r="O148" i="11"/>
  <c r="O208" i="11" s="1"/>
  <c r="W148" i="11"/>
  <c r="W208" i="11" s="1"/>
  <c r="V148" i="11"/>
  <c r="N148" i="11"/>
  <c r="M148" i="11"/>
  <c r="L148" i="11"/>
  <c r="Z148" i="11"/>
  <c r="Z208" i="11" s="1"/>
  <c r="Y148" i="11"/>
  <c r="X148" i="11"/>
  <c r="Y137" i="11"/>
  <c r="M137" i="11"/>
  <c r="X137" i="11"/>
  <c r="L137" i="11"/>
  <c r="O137" i="11"/>
  <c r="Z137" i="11"/>
  <c r="W137" i="11"/>
  <c r="V137" i="11"/>
  <c r="U137" i="11"/>
  <c r="T137" i="11"/>
  <c r="S137" i="11"/>
  <c r="N137" i="11"/>
  <c r="R137" i="11"/>
  <c r="Q137" i="11"/>
  <c r="P137" i="11"/>
  <c r="T138" i="11"/>
  <c r="S138" i="11"/>
  <c r="V138" i="11"/>
  <c r="L138" i="11"/>
  <c r="Z138" i="11"/>
  <c r="Y138" i="11"/>
  <c r="X138" i="11"/>
  <c r="N138" i="11"/>
  <c r="M138" i="11"/>
  <c r="W138" i="11"/>
  <c r="R138" i="11"/>
  <c r="U138" i="11"/>
  <c r="Q138" i="11"/>
  <c r="P138" i="11"/>
  <c r="O138" i="11"/>
  <c r="U154" i="11"/>
  <c r="T154" i="11"/>
  <c r="W154" i="11"/>
  <c r="O154" i="11"/>
  <c r="M154" i="11"/>
  <c r="N154" i="11"/>
  <c r="L154" i="11"/>
  <c r="X154" i="11"/>
  <c r="V154" i="11"/>
  <c r="S154" i="11"/>
  <c r="R154" i="11"/>
  <c r="Q154" i="11"/>
  <c r="P154" i="11"/>
  <c r="Y154" i="11"/>
  <c r="Z154" i="11"/>
  <c r="V105" i="11"/>
  <c r="O105" i="11"/>
  <c r="O174" i="11"/>
  <c r="Z174" i="11"/>
  <c r="N174" i="11"/>
  <c r="Y174" i="11"/>
  <c r="Q174" i="11"/>
  <c r="R174" i="11"/>
  <c r="M174" i="11"/>
  <c r="P174" i="11"/>
  <c r="L174" i="11"/>
  <c r="X174" i="11"/>
  <c r="W174" i="11"/>
  <c r="V174" i="11"/>
  <c r="U174" i="11"/>
  <c r="T174" i="11"/>
  <c r="S174" i="11"/>
  <c r="G155" i="11"/>
  <c r="K155" i="11" s="1"/>
  <c r="T87" i="11"/>
  <c r="S87" i="11"/>
  <c r="V87" i="11"/>
  <c r="Z87" i="11"/>
  <c r="X87" i="11"/>
  <c r="Y87" i="11"/>
  <c r="W87" i="11"/>
  <c r="U87" i="11"/>
  <c r="R87" i="11"/>
  <c r="Q87" i="11"/>
  <c r="P87" i="11"/>
  <c r="L87" i="11"/>
  <c r="O87" i="11"/>
  <c r="N87" i="11"/>
  <c r="M87" i="11"/>
  <c r="N265" i="11"/>
  <c r="N267" i="11" s="1"/>
  <c r="O265" i="11" s="1"/>
  <c r="O267" i="11" s="1"/>
  <c r="P265" i="11" s="1"/>
  <c r="P267" i="11" s="1"/>
  <c r="Q265" i="11" s="1"/>
  <c r="Q267" i="11" s="1"/>
  <c r="R265" i="11" s="1"/>
  <c r="H24" i="19"/>
  <c r="I4" i="19"/>
  <c r="H26" i="19"/>
  <c r="G27" i="19"/>
  <c r="K148" i="17"/>
  <c r="L146" i="17"/>
  <c r="L167" i="17"/>
  <c r="L128" i="17"/>
  <c r="L130" i="17"/>
  <c r="L168" i="17"/>
  <c r="L147" i="17"/>
  <c r="L86" i="17"/>
  <c r="L166" i="17"/>
  <c r="L165" i="17"/>
  <c r="L149" i="17"/>
  <c r="L129" i="17"/>
  <c r="L127" i="17"/>
  <c r="L148" i="17"/>
  <c r="M4" i="17"/>
  <c r="M67" i="5" l="1"/>
  <c r="M37" i="5"/>
  <c r="L162" i="5"/>
  <c r="L21" i="5" s="1"/>
  <c r="L169" i="5"/>
  <c r="M159" i="5"/>
  <c r="M161" i="5"/>
  <c r="M160" i="5"/>
  <c r="N160" i="5"/>
  <c r="N161" i="5"/>
  <c r="N159" i="5"/>
  <c r="L100" i="5"/>
  <c r="N341" i="5"/>
  <c r="N345" i="5" s="1"/>
  <c r="N346" i="5" s="1"/>
  <c r="N325" i="5" s="1"/>
  <c r="G22" i="3" s="1"/>
  <c r="M128" i="5"/>
  <c r="M127" i="5"/>
  <c r="M129" i="5" s="1"/>
  <c r="N128" i="5"/>
  <c r="N127" i="5"/>
  <c r="N129" i="5" s="1"/>
  <c r="M142" i="5"/>
  <c r="M144" i="5" s="1"/>
  <c r="J9" i="17"/>
  <c r="J11" i="17" s="1"/>
  <c r="L319" i="5"/>
  <c r="L223" i="5" s="1"/>
  <c r="M66" i="5"/>
  <c r="M68" i="5" s="1"/>
  <c r="M190" i="5" s="1"/>
  <c r="M38" i="5"/>
  <c r="M39" i="5" s="1"/>
  <c r="M174" i="5" s="1"/>
  <c r="M284" i="5"/>
  <c r="M251" i="5"/>
  <c r="M249" i="5"/>
  <c r="K9" i="17"/>
  <c r="K11" i="17" s="1"/>
  <c r="K28" i="17" s="1"/>
  <c r="K29" i="17" s="1"/>
  <c r="K56" i="17" s="1"/>
  <c r="M319" i="5"/>
  <c r="M223" i="5" s="1"/>
  <c r="L141" i="17"/>
  <c r="O193" i="5"/>
  <c r="P177" i="5"/>
  <c r="M122" i="17"/>
  <c r="L144" i="5"/>
  <c r="M77" i="5" a="1"/>
  <c r="M77" i="5" s="1"/>
  <c r="L77" i="5" a="1"/>
  <c r="L77" i="5" s="1"/>
  <c r="C78" i="5"/>
  <c r="M99" i="5"/>
  <c r="M98" i="5"/>
  <c r="M97" i="5"/>
  <c r="Z91" i="5"/>
  <c r="J91" i="5" s="1"/>
  <c r="G91" i="5" s="1"/>
  <c r="G153" i="5" s="1"/>
  <c r="Q153" i="5" s="1"/>
  <c r="J153" i="5" s="1"/>
  <c r="C216" i="5"/>
  <c r="O216" i="5" s="1" a="1"/>
  <c r="O216" i="5" s="1"/>
  <c r="M215" i="5" a="1"/>
  <c r="M215" i="5" s="1"/>
  <c r="L215" i="5" a="1"/>
  <c r="L215" i="5" s="1"/>
  <c r="M256" i="5"/>
  <c r="M255" i="5"/>
  <c r="M257" i="5"/>
  <c r="W94" i="5"/>
  <c r="X93" i="5"/>
  <c r="M199" i="5" a="1"/>
  <c r="M199" i="5" s="1"/>
  <c r="C200" i="5"/>
  <c r="O200" i="5" s="1" a="1"/>
  <c r="O200" i="5" s="1"/>
  <c r="L199" i="5" a="1"/>
  <c r="L199" i="5" s="1"/>
  <c r="M109" i="5" a="1"/>
  <c r="M109" i="5" s="1"/>
  <c r="C110" i="5"/>
  <c r="O110" i="5" s="1" a="1"/>
  <c r="O110" i="5" s="1"/>
  <c r="L109" i="5" a="1"/>
  <c r="L109" i="5" s="1"/>
  <c r="L68" i="5"/>
  <c r="L190" i="5" s="1"/>
  <c r="F23" i="3"/>
  <c r="L293" i="5"/>
  <c r="L39" i="5"/>
  <c r="L185" i="5" a="1"/>
  <c r="L185" i="5" s="1"/>
  <c r="M185" i="5" a="1"/>
  <c r="M185" i="5" s="1"/>
  <c r="P209" i="5"/>
  <c r="M160" i="17"/>
  <c r="C49" i="5"/>
  <c r="O49" i="5" s="1" a="1"/>
  <c r="O49" i="5" s="1"/>
  <c r="L48" i="5" a="1"/>
  <c r="L48" i="5" s="1"/>
  <c r="M48" i="5" a="1"/>
  <c r="M48" i="5" s="1"/>
  <c r="O25" i="5"/>
  <c r="O54" i="5"/>
  <c r="O83" i="5"/>
  <c r="P6" i="5"/>
  <c r="N272" i="5"/>
  <c r="N279" i="5"/>
  <c r="N284" i="5" s="1"/>
  <c r="N273" i="5"/>
  <c r="N278" i="5"/>
  <c r="N275" i="5"/>
  <c r="N232" i="5"/>
  <c r="N233" i="5"/>
  <c r="N235" i="5"/>
  <c r="N98" i="5"/>
  <c r="N97" i="5"/>
  <c r="N99" i="5"/>
  <c r="K53" i="17"/>
  <c r="K78" i="17" s="1"/>
  <c r="K79" i="17" s="1"/>
  <c r="K60" i="17"/>
  <c r="M288" i="5"/>
  <c r="M289" i="5"/>
  <c r="N324" i="5"/>
  <c r="O304" i="5"/>
  <c r="N313" i="5"/>
  <c r="N314" i="5" s="1"/>
  <c r="N316" i="5" s="1"/>
  <c r="N37" i="5"/>
  <c r="N38" i="5"/>
  <c r="N67" i="5"/>
  <c r="N66" i="5"/>
  <c r="L285" i="5"/>
  <c r="L292" i="5"/>
  <c r="O231" i="5"/>
  <c r="O340" i="5"/>
  <c r="O341" i="5" s="1"/>
  <c r="O345" i="5" s="1"/>
  <c r="O346" i="5" s="1"/>
  <c r="O325" i="5" s="1"/>
  <c r="O240" i="5"/>
  <c r="O271" i="5"/>
  <c r="O239" i="5"/>
  <c r="O243" i="5"/>
  <c r="O185" i="5" a="1"/>
  <c r="O185" i="5" s="1"/>
  <c r="O330" i="5"/>
  <c r="O331" i="5" s="1"/>
  <c r="O335" i="5" s="1"/>
  <c r="O336" i="5" s="1"/>
  <c r="O324" i="5" s="1"/>
  <c r="O78" i="5" a="1"/>
  <c r="O78" i="5" s="1"/>
  <c r="O238" i="5"/>
  <c r="O184" i="5" a="1"/>
  <c r="O184" i="5" s="1"/>
  <c r="P4" i="5"/>
  <c r="N143" i="5"/>
  <c r="N142" i="5"/>
  <c r="F42" i="3"/>
  <c r="K95" i="17"/>
  <c r="N185" i="5" a="1"/>
  <c r="N185" i="5" s="1"/>
  <c r="M283" i="5"/>
  <c r="M280" i="5"/>
  <c r="M141" i="17"/>
  <c r="P193" i="5"/>
  <c r="E22" i="3"/>
  <c r="E23" i="3" s="1"/>
  <c r="J21" i="17"/>
  <c r="F20" i="4"/>
  <c r="J51" i="17"/>
  <c r="J139" i="5"/>
  <c r="L129" i="5"/>
  <c r="J124" i="5"/>
  <c r="P304" i="11"/>
  <c r="P305" i="11" s="1"/>
  <c r="I48" i="3"/>
  <c r="M304" i="11"/>
  <c r="M305" i="11" s="1"/>
  <c r="F48" i="3"/>
  <c r="I53" i="4"/>
  <c r="J5" i="4"/>
  <c r="I99" i="4"/>
  <c r="O244" i="5"/>
  <c r="L262" i="5"/>
  <c r="L250" i="5"/>
  <c r="L246" i="5"/>
  <c r="M250" i="5"/>
  <c r="M246" i="5"/>
  <c r="N246" i="5"/>
  <c r="H66" i="4"/>
  <c r="J169" i="12"/>
  <c r="J170" i="12" s="1"/>
  <c r="J105" i="12"/>
  <c r="I37" i="12"/>
  <c r="I110" i="12" s="1"/>
  <c r="G61" i="4" s="1"/>
  <c r="I67" i="12" s="1"/>
  <c r="I40" i="12"/>
  <c r="I120" i="12" s="1"/>
  <c r="G63" i="4" s="1"/>
  <c r="L4" i="12"/>
  <c r="L84" i="12" s="1"/>
  <c r="K36" i="12"/>
  <c r="K105" i="12" s="1"/>
  <c r="I58" i="4" s="1"/>
  <c r="K66" i="12" s="1"/>
  <c r="K47" i="12"/>
  <c r="K141" i="12" s="1"/>
  <c r="I56" i="4" s="1"/>
  <c r="K65" i="12" s="1"/>
  <c r="K99" i="12"/>
  <c r="K123" i="12" s="1"/>
  <c r="Z105" i="11"/>
  <c r="L105" i="11"/>
  <c r="R105" i="11"/>
  <c r="T84" i="11"/>
  <c r="N84" i="11"/>
  <c r="L139" i="11"/>
  <c r="O102" i="11"/>
  <c r="P102" i="11"/>
  <c r="Q102" i="11"/>
  <c r="R102" i="11"/>
  <c r="W105" i="11"/>
  <c r="T105" i="11"/>
  <c r="Y121" i="11"/>
  <c r="V102" i="11"/>
  <c r="U84" i="11"/>
  <c r="N105" i="11"/>
  <c r="X84" i="11"/>
  <c r="X102" i="11"/>
  <c r="Z102" i="11"/>
  <c r="S105" i="11"/>
  <c r="W102" i="11"/>
  <c r="M105" i="11"/>
  <c r="S102" i="11"/>
  <c r="P105" i="11"/>
  <c r="Y102" i="11"/>
  <c r="X105" i="11"/>
  <c r="Z84" i="11"/>
  <c r="L102" i="11"/>
  <c r="Y105" i="11"/>
  <c r="R139" i="11"/>
  <c r="T102" i="11"/>
  <c r="T142" i="11"/>
  <c r="P139" i="11"/>
  <c r="M102" i="11"/>
  <c r="U171" i="11"/>
  <c r="U175" i="11" s="1"/>
  <c r="U196" i="11" s="1"/>
  <c r="Y171" i="11"/>
  <c r="Y175" i="11" s="1"/>
  <c r="X139" i="11"/>
  <c r="S139" i="11"/>
  <c r="P142" i="11"/>
  <c r="P84" i="11"/>
  <c r="W139" i="11"/>
  <c r="R142" i="11"/>
  <c r="Q142" i="11"/>
  <c r="O84" i="11"/>
  <c r="O139" i="11"/>
  <c r="O143" i="11" s="1"/>
  <c r="O193" i="11" s="1"/>
  <c r="U142" i="11"/>
  <c r="N171" i="11"/>
  <c r="N175" i="11" s="1"/>
  <c r="O171" i="11"/>
  <c r="O175" i="11" s="1"/>
  <c r="O196" i="11" s="1"/>
  <c r="M142" i="11"/>
  <c r="S171" i="11"/>
  <c r="S175" i="11" s="1"/>
  <c r="Z103" i="11"/>
  <c r="L84" i="11"/>
  <c r="N139" i="11"/>
  <c r="W171" i="11"/>
  <c r="W175" i="11" s="1"/>
  <c r="L171" i="11"/>
  <c r="L175" i="11" s="1"/>
  <c r="L196" i="11" s="1"/>
  <c r="Y142" i="11"/>
  <c r="Y143" i="11" s="1"/>
  <c r="Q171" i="11"/>
  <c r="Q175" i="11" s="1"/>
  <c r="M84" i="11"/>
  <c r="W84" i="11"/>
  <c r="T139" i="11"/>
  <c r="V142" i="11"/>
  <c r="S142" i="11"/>
  <c r="U105" i="11"/>
  <c r="Z142" i="11"/>
  <c r="U139" i="11"/>
  <c r="L103" i="11"/>
  <c r="V103" i="11"/>
  <c r="R103" i="11"/>
  <c r="N142" i="11"/>
  <c r="W103" i="11"/>
  <c r="O103" i="11"/>
  <c r="M139" i="11"/>
  <c r="U103" i="11"/>
  <c r="Q103" i="11"/>
  <c r="P103" i="11"/>
  <c r="T103" i="11"/>
  <c r="W142" i="11"/>
  <c r="Z171" i="11"/>
  <c r="Z175" i="11" s="1"/>
  <c r="N103" i="11"/>
  <c r="V84" i="11"/>
  <c r="Q139" i="11"/>
  <c r="S103" i="11"/>
  <c r="M103" i="11"/>
  <c r="L142" i="11"/>
  <c r="X103" i="11"/>
  <c r="X122" i="11"/>
  <c r="X142" i="11"/>
  <c r="M171" i="11"/>
  <c r="M175" i="11" s="1"/>
  <c r="S84" i="11"/>
  <c r="K143" i="11"/>
  <c r="K145" i="11" s="1"/>
  <c r="Z139" i="11"/>
  <c r="R171" i="11"/>
  <c r="R175" i="11" s="1"/>
  <c r="T171" i="11"/>
  <c r="T175" i="11" s="1"/>
  <c r="R84" i="11"/>
  <c r="Y84" i="11"/>
  <c r="V139" i="11"/>
  <c r="X171" i="11"/>
  <c r="X175" i="11" s="1"/>
  <c r="X177" i="11" s="1"/>
  <c r="M124" i="11"/>
  <c r="Q84" i="11"/>
  <c r="P122" i="11"/>
  <c r="Q122" i="11"/>
  <c r="R122" i="11"/>
  <c r="O124" i="11"/>
  <c r="Y124" i="11"/>
  <c r="X121" i="11"/>
  <c r="T122" i="11"/>
  <c r="X124" i="11"/>
  <c r="V121" i="11"/>
  <c r="P121" i="11"/>
  <c r="T121" i="11"/>
  <c r="S122" i="11"/>
  <c r="U122" i="11"/>
  <c r="R124" i="11"/>
  <c r="Q121" i="11"/>
  <c r="V122" i="11"/>
  <c r="L124" i="11"/>
  <c r="L121" i="11"/>
  <c r="U121" i="11"/>
  <c r="T124" i="11"/>
  <c r="M121" i="11"/>
  <c r="N122" i="11"/>
  <c r="U124" i="11"/>
  <c r="N121" i="11"/>
  <c r="N124" i="11"/>
  <c r="Z122" i="11"/>
  <c r="O121" i="11"/>
  <c r="Z124" i="11"/>
  <c r="V124" i="11"/>
  <c r="K209" i="11"/>
  <c r="D23" i="15" s="1"/>
  <c r="Q124" i="11"/>
  <c r="Z121" i="11"/>
  <c r="S124" i="11"/>
  <c r="S121" i="11"/>
  <c r="Y122" i="11"/>
  <c r="M122" i="11"/>
  <c r="W122" i="11"/>
  <c r="W124" i="11"/>
  <c r="R121" i="11"/>
  <c r="O122" i="11"/>
  <c r="V171" i="11"/>
  <c r="V175" i="11" s="1"/>
  <c r="P171" i="11"/>
  <c r="P175" i="11" s="1"/>
  <c r="M208" i="11"/>
  <c r="X204" i="11"/>
  <c r="W204" i="11"/>
  <c r="O203" i="11"/>
  <c r="O181" i="11"/>
  <c r="M206" i="11"/>
  <c r="N208" i="11"/>
  <c r="V203" i="11"/>
  <c r="V181" i="11"/>
  <c r="X181" i="11"/>
  <c r="X203" i="11"/>
  <c r="V208" i="11"/>
  <c r="Z204" i="11"/>
  <c r="T204" i="11"/>
  <c r="Y203" i="11"/>
  <c r="Y181" i="11"/>
  <c r="O206" i="11"/>
  <c r="L181" i="11"/>
  <c r="L204" i="11"/>
  <c r="U204" i="11"/>
  <c r="R203" i="11"/>
  <c r="R181" i="11"/>
  <c r="P155" i="11"/>
  <c r="P159" i="11" s="1"/>
  <c r="P195" i="11" s="1"/>
  <c r="O155" i="11"/>
  <c r="O159" i="11" s="1"/>
  <c r="R155" i="11"/>
  <c r="R159" i="11" s="1"/>
  <c r="M155" i="11"/>
  <c r="M159" i="11" s="1"/>
  <c r="Z155" i="11"/>
  <c r="Z159" i="11" s="1"/>
  <c r="L155" i="11"/>
  <c r="L159" i="11" s="1"/>
  <c r="L195" i="11" s="1"/>
  <c r="Y155" i="11"/>
  <c r="Y159" i="11" s="1"/>
  <c r="X155" i="11"/>
  <c r="X159" i="11" s="1"/>
  <c r="X195" i="11" s="1"/>
  <c r="W155" i="11"/>
  <c r="W159" i="11" s="1"/>
  <c r="V155" i="11"/>
  <c r="V159" i="11" s="1"/>
  <c r="T155" i="11"/>
  <c r="T159" i="11" s="1"/>
  <c r="U155" i="11"/>
  <c r="U159" i="11" s="1"/>
  <c r="Q155" i="11"/>
  <c r="Q159" i="11" s="1"/>
  <c r="Q195" i="11" s="1"/>
  <c r="N155" i="11"/>
  <c r="N159" i="11" s="1"/>
  <c r="N195" i="11" s="1"/>
  <c r="S155" i="11"/>
  <c r="S159" i="11" s="1"/>
  <c r="K159" i="11"/>
  <c r="K161" i="11" s="1"/>
  <c r="T208" i="11"/>
  <c r="N204" i="11"/>
  <c r="T203" i="11"/>
  <c r="T181" i="11"/>
  <c r="U206" i="11"/>
  <c r="R208" i="11"/>
  <c r="S204" i="11"/>
  <c r="V4" i="11"/>
  <c r="U240" i="11"/>
  <c r="S203" i="11"/>
  <c r="S181" i="11"/>
  <c r="V206" i="11"/>
  <c r="U208" i="11"/>
  <c r="V204" i="11"/>
  <c r="M181" i="11"/>
  <c r="U203" i="11"/>
  <c r="W206" i="11"/>
  <c r="X208" i="11"/>
  <c r="S208" i="11"/>
  <c r="O204" i="11"/>
  <c r="N203" i="11"/>
  <c r="N181" i="11"/>
  <c r="X206" i="11"/>
  <c r="Y208" i="11"/>
  <c r="P204" i="11"/>
  <c r="P203" i="11"/>
  <c r="Z203" i="11"/>
  <c r="Z181" i="11"/>
  <c r="Y206" i="11"/>
  <c r="P181" i="11"/>
  <c r="P208" i="11"/>
  <c r="Q204" i="11"/>
  <c r="U181" i="11"/>
  <c r="Q203" i="11"/>
  <c r="Q181" i="11"/>
  <c r="W203" i="11"/>
  <c r="W181" i="11"/>
  <c r="Z206" i="11"/>
  <c r="K202" i="11"/>
  <c r="D18" i="15" s="1"/>
  <c r="L208" i="11"/>
  <c r="Q208" i="11"/>
  <c r="R204" i="11"/>
  <c r="M203" i="11"/>
  <c r="L206" i="11"/>
  <c r="H27" i="19"/>
  <c r="H33" i="19" s="1"/>
  <c r="J4" i="19"/>
  <c r="I25" i="19"/>
  <c r="I26" i="19"/>
  <c r="I24" i="19"/>
  <c r="G33" i="19"/>
  <c r="H55" i="12" s="1"/>
  <c r="M167" i="17"/>
  <c r="M128" i="17"/>
  <c r="M86" i="17"/>
  <c r="M147" i="17"/>
  <c r="M166" i="17"/>
  <c r="M149" i="17"/>
  <c r="M130" i="17"/>
  <c r="M129" i="17"/>
  <c r="M148" i="17"/>
  <c r="N4" i="17"/>
  <c r="M168" i="17"/>
  <c r="J99" i="4" l="1"/>
  <c r="J53" i="4"/>
  <c r="K5" i="4"/>
  <c r="K39" i="4" s="1"/>
  <c r="J39" i="4"/>
  <c r="N162" i="5"/>
  <c r="L21" i="17"/>
  <c r="L52" i="17" s="1"/>
  <c r="L61" i="17" s="1"/>
  <c r="H20" i="4"/>
  <c r="N21" i="5"/>
  <c r="N169" i="5"/>
  <c r="M162" i="5"/>
  <c r="O159" i="5"/>
  <c r="O160" i="5"/>
  <c r="O161" i="5"/>
  <c r="M293" i="5"/>
  <c r="E15" i="3"/>
  <c r="F15" i="4"/>
  <c r="O128" i="5"/>
  <c r="O127" i="5"/>
  <c r="G15" i="4"/>
  <c r="F15" i="3"/>
  <c r="M19" i="5"/>
  <c r="G11" i="4" s="1"/>
  <c r="M167" i="5"/>
  <c r="F9" i="3" s="1"/>
  <c r="L168" i="5"/>
  <c r="E10" i="3" s="1"/>
  <c r="L20" i="5"/>
  <c r="F12" i="4" s="1"/>
  <c r="M20" i="5"/>
  <c r="G12" i="4" s="1"/>
  <c r="M168" i="5"/>
  <c r="F10" i="3" s="1"/>
  <c r="M260" i="5"/>
  <c r="M262" i="5"/>
  <c r="M100" i="5"/>
  <c r="Q177" i="5"/>
  <c r="N122" i="17"/>
  <c r="K90" i="17"/>
  <c r="F37" i="3"/>
  <c r="C79" i="5"/>
  <c r="P79" i="5" s="1" a="1"/>
  <c r="P79" i="5" s="1"/>
  <c r="L78" i="5" a="1"/>
  <c r="L78" i="5" s="1"/>
  <c r="N78" i="5" a="1"/>
  <c r="N78" i="5" s="1"/>
  <c r="M78" i="5" a="1"/>
  <c r="M78" i="5" s="1"/>
  <c r="M216" i="5" a="1"/>
  <c r="M216" i="5" s="1"/>
  <c r="N216" i="5" a="1"/>
  <c r="N216" i="5" s="1"/>
  <c r="L216" i="5" a="1"/>
  <c r="L216" i="5" s="1"/>
  <c r="C217" i="5"/>
  <c r="P217" i="5" s="1" a="1"/>
  <c r="P217" i="5" s="1"/>
  <c r="X94" i="5"/>
  <c r="Y93" i="5"/>
  <c r="N249" i="5"/>
  <c r="N250" i="5"/>
  <c r="N200" i="5" a="1"/>
  <c r="N200" i="5" s="1"/>
  <c r="L200" i="5" a="1"/>
  <c r="L200" i="5" s="1"/>
  <c r="C201" i="5"/>
  <c r="P201" i="5" s="1" a="1"/>
  <c r="P201" i="5" s="1"/>
  <c r="M200" i="5" a="1"/>
  <c r="M200" i="5" s="1"/>
  <c r="M110" i="5" a="1"/>
  <c r="M110" i="5" s="1"/>
  <c r="L110" i="5" a="1"/>
  <c r="L110" i="5" s="1"/>
  <c r="N110" i="5" a="1"/>
  <c r="N110" i="5" s="1"/>
  <c r="C111" i="5"/>
  <c r="P111" i="5" s="1" a="1"/>
  <c r="P111" i="5" s="1"/>
  <c r="O246" i="5"/>
  <c r="N39" i="5"/>
  <c r="N174" i="5" s="1"/>
  <c r="L167" i="5"/>
  <c r="E9" i="3" s="1"/>
  <c r="L19" i="5"/>
  <c r="F11" i="4" s="1"/>
  <c r="I20" i="4"/>
  <c r="H22" i="3"/>
  <c r="M21" i="17"/>
  <c r="M52" i="17" s="1"/>
  <c r="M61" i="17" s="1"/>
  <c r="N68" i="5"/>
  <c r="K94" i="17"/>
  <c r="F41" i="3"/>
  <c r="N141" i="17"/>
  <c r="Q193" i="5"/>
  <c r="H21" i="3"/>
  <c r="M20" i="17"/>
  <c r="M51" i="17" s="1"/>
  <c r="I19" i="4"/>
  <c r="O326" i="5"/>
  <c r="O10" i="5" s="1"/>
  <c r="P231" i="5"/>
  <c r="O233" i="5"/>
  <c r="O232" i="5"/>
  <c r="O235" i="5"/>
  <c r="J60" i="17"/>
  <c r="L294" i="5"/>
  <c r="N318" i="5"/>
  <c r="L10" i="17" s="1"/>
  <c r="N317" i="5"/>
  <c r="L8" i="17"/>
  <c r="M292" i="5"/>
  <c r="M285" i="5"/>
  <c r="P304" i="5"/>
  <c r="O313" i="5"/>
  <c r="O314" i="5" s="1"/>
  <c r="O316" i="5" s="1"/>
  <c r="Q6" i="5"/>
  <c r="P25" i="5"/>
  <c r="P83" i="5"/>
  <c r="P54" i="5"/>
  <c r="L49" i="5" a="1"/>
  <c r="L49" i="5" s="1"/>
  <c r="C50" i="5"/>
  <c r="M49" i="5" a="1"/>
  <c r="M49" i="5" s="1"/>
  <c r="N49" i="5" a="1"/>
  <c r="N49" i="5" s="1"/>
  <c r="N289" i="5"/>
  <c r="N293" i="5" s="1"/>
  <c r="N288" i="5"/>
  <c r="G21" i="3"/>
  <c r="N326" i="5"/>
  <c r="N10" i="5" s="1"/>
  <c r="H19" i="4"/>
  <c r="L20" i="17"/>
  <c r="N256" i="5"/>
  <c r="N257" i="5"/>
  <c r="N255" i="5"/>
  <c r="O98" i="5"/>
  <c r="O97" i="5"/>
  <c r="O99" i="5"/>
  <c r="L174" i="5"/>
  <c r="P243" i="5"/>
  <c r="P340" i="5"/>
  <c r="P341" i="5" s="1"/>
  <c r="P345" i="5" s="1"/>
  <c r="P346" i="5" s="1"/>
  <c r="P240" i="5"/>
  <c r="P271" i="5"/>
  <c r="P330" i="5"/>
  <c r="P331" i="5" s="1"/>
  <c r="P335" i="5" s="1"/>
  <c r="P336" i="5" s="1"/>
  <c r="P324" i="5" s="1"/>
  <c r="P185" i="5" a="1"/>
  <c r="P185" i="5" s="1"/>
  <c r="P238" i="5"/>
  <c r="P239" i="5"/>
  <c r="Q4" i="5"/>
  <c r="P245" i="5"/>
  <c r="P244" i="5"/>
  <c r="O143" i="5"/>
  <c r="O142" i="5"/>
  <c r="N160" i="17"/>
  <c r="Q209" i="5"/>
  <c r="N100" i="5"/>
  <c r="O37" i="5"/>
  <c r="O38" i="5"/>
  <c r="O67" i="5"/>
  <c r="O66" i="5"/>
  <c r="N167" i="5"/>
  <c r="G9" i="3" s="1"/>
  <c r="N19" i="5"/>
  <c r="H11" i="4" s="1"/>
  <c r="N144" i="5"/>
  <c r="J52" i="17"/>
  <c r="J53" i="17" s="1"/>
  <c r="O279" i="5"/>
  <c r="O278" i="5"/>
  <c r="O275" i="5"/>
  <c r="O273" i="5"/>
  <c r="O272" i="5"/>
  <c r="N280" i="5"/>
  <c r="N283" i="5"/>
  <c r="N251" i="5"/>
  <c r="G23" i="4"/>
  <c r="I55" i="12"/>
  <c r="J25" i="19"/>
  <c r="J28" i="17"/>
  <c r="I68" i="12"/>
  <c r="M261" i="5"/>
  <c r="M252" i="5"/>
  <c r="L261" i="5"/>
  <c r="L252" i="5"/>
  <c r="J24" i="19"/>
  <c r="I27" i="19"/>
  <c r="I33" i="19" s="1"/>
  <c r="I38" i="12"/>
  <c r="J35" i="12" s="1"/>
  <c r="I66" i="4"/>
  <c r="K169" i="12"/>
  <c r="K170" i="12" s="1"/>
  <c r="L36" i="12"/>
  <c r="L105" i="12" s="1"/>
  <c r="J58" i="4" s="1"/>
  <c r="L66" i="12" s="1"/>
  <c r="L47" i="12"/>
  <c r="L141" i="12" s="1"/>
  <c r="J56" i="4" s="1"/>
  <c r="L65" i="12" s="1"/>
  <c r="L99" i="12"/>
  <c r="L123" i="12" s="1"/>
  <c r="M4" i="12"/>
  <c r="M84" i="12" s="1"/>
  <c r="H58" i="4"/>
  <c r="J66" i="12" s="1"/>
  <c r="R143" i="11"/>
  <c r="R193" i="11" s="1"/>
  <c r="R219" i="11" s="1"/>
  <c r="W143" i="11"/>
  <c r="W193" i="11" s="1"/>
  <c r="Q48" i="4" s="1"/>
  <c r="L143" i="11"/>
  <c r="L193" i="11" s="1"/>
  <c r="F48" i="4" s="1"/>
  <c r="U143" i="11"/>
  <c r="U193" i="11" s="1"/>
  <c r="U219" i="11" s="1"/>
  <c r="X143" i="11"/>
  <c r="X193" i="11" s="1"/>
  <c r="X246" i="11" s="1"/>
  <c r="X253" i="11" s="1"/>
  <c r="P143" i="11"/>
  <c r="P193" i="11" s="1"/>
  <c r="J48" i="4" s="1"/>
  <c r="S143" i="11"/>
  <c r="S145" i="11" s="1"/>
  <c r="T143" i="11"/>
  <c r="T193" i="11" s="1"/>
  <c r="T219" i="11" s="1"/>
  <c r="Q143" i="11"/>
  <c r="Q193" i="11" s="1"/>
  <c r="Q219" i="11" s="1"/>
  <c r="N143" i="11"/>
  <c r="N193" i="11" s="1"/>
  <c r="N246" i="11" s="1"/>
  <c r="N253" i="11" s="1"/>
  <c r="I48" i="4"/>
  <c r="O246" i="11"/>
  <c r="O253" i="11" s="1"/>
  <c r="O219" i="11"/>
  <c r="Z143" i="11"/>
  <c r="Z193" i="11" s="1"/>
  <c r="T48" i="4" s="1"/>
  <c r="O145" i="11"/>
  <c r="Q196" i="11"/>
  <c r="Q248" i="11" s="1"/>
  <c r="Q263" i="11" s="1"/>
  <c r="Q177" i="11"/>
  <c r="M177" i="11"/>
  <c r="M196" i="11"/>
  <c r="M222" i="11" s="1"/>
  <c r="Y193" i="11"/>
  <c r="Y219" i="11" s="1"/>
  <c r="Y145" i="11"/>
  <c r="Z196" i="11"/>
  <c r="T51" i="4" s="1"/>
  <c r="Z177" i="11"/>
  <c r="M143" i="11"/>
  <c r="V143" i="11"/>
  <c r="V193" i="11" s="1"/>
  <c r="V246" i="11" s="1"/>
  <c r="V253" i="11" s="1"/>
  <c r="U177" i="11"/>
  <c r="X196" i="11"/>
  <c r="X222" i="11" s="1"/>
  <c r="L177" i="11"/>
  <c r="R196" i="11"/>
  <c r="L51" i="4" s="1"/>
  <c r="R177" i="11"/>
  <c r="T196" i="11"/>
  <c r="N51" i="4" s="1"/>
  <c r="T177" i="11"/>
  <c r="S195" i="11"/>
  <c r="S221" i="11" s="1"/>
  <c r="S161" i="11"/>
  <c r="P210" i="11"/>
  <c r="L161" i="11"/>
  <c r="O177" i="11"/>
  <c r="R210" i="11"/>
  <c r="P161" i="11"/>
  <c r="X210" i="11"/>
  <c r="Q161" i="11"/>
  <c r="Q210" i="11"/>
  <c r="V195" i="11"/>
  <c r="V161" i="11"/>
  <c r="W195" i="11"/>
  <c r="W161" i="11"/>
  <c r="M195" i="11"/>
  <c r="M161" i="11"/>
  <c r="R195" i="11"/>
  <c r="R161" i="11"/>
  <c r="U195" i="11"/>
  <c r="U161" i="11"/>
  <c r="T195" i="11"/>
  <c r="T161" i="11"/>
  <c r="Y195" i="11"/>
  <c r="Y161" i="11"/>
  <c r="Z195" i="11"/>
  <c r="Z161" i="11"/>
  <c r="Y196" i="11"/>
  <c r="Y177" i="11"/>
  <c r="K203" i="11"/>
  <c r="K204" i="11"/>
  <c r="L222" i="11"/>
  <c r="F51" i="4"/>
  <c r="X221" i="11"/>
  <c r="R50" i="4"/>
  <c r="K208" i="11"/>
  <c r="N196" i="11"/>
  <c r="N248" i="11" s="1"/>
  <c r="N263" i="11" s="1"/>
  <c r="N177" i="11"/>
  <c r="O210" i="11"/>
  <c r="V210" i="11"/>
  <c r="H50" i="4"/>
  <c r="N221" i="11"/>
  <c r="U222" i="11"/>
  <c r="O51" i="4"/>
  <c r="K206" i="11"/>
  <c r="X161" i="11"/>
  <c r="S210" i="11"/>
  <c r="P196" i="11"/>
  <c r="P248" i="11" s="1"/>
  <c r="P263" i="11" s="1"/>
  <c r="P177" i="11"/>
  <c r="F50" i="4"/>
  <c r="L221" i="11"/>
  <c r="Z210" i="11"/>
  <c r="V196" i="11"/>
  <c r="V177" i="11"/>
  <c r="N161" i="11"/>
  <c r="M210" i="11"/>
  <c r="W196" i="11"/>
  <c r="W177" i="11"/>
  <c r="W4" i="11"/>
  <c r="V240" i="11"/>
  <c r="Y210" i="11"/>
  <c r="T210" i="11"/>
  <c r="O222" i="11"/>
  <c r="I51" i="4"/>
  <c r="N210" i="11"/>
  <c r="O195" i="11"/>
  <c r="O161" i="11"/>
  <c r="K242" i="11"/>
  <c r="W210" i="11"/>
  <c r="U210" i="11"/>
  <c r="S196" i="11"/>
  <c r="S177" i="11"/>
  <c r="Q221" i="11"/>
  <c r="K50" i="4"/>
  <c r="P221" i="11"/>
  <c r="J50" i="4"/>
  <c r="L210" i="11"/>
  <c r="K4" i="19"/>
  <c r="J26" i="19"/>
  <c r="F23" i="4"/>
  <c r="K53" i="4"/>
  <c r="L5" i="4"/>
  <c r="L39" i="4" s="1"/>
  <c r="N148" i="17"/>
  <c r="N130" i="17"/>
  <c r="N167" i="17"/>
  <c r="N86" i="17"/>
  <c r="N149" i="17"/>
  <c r="N129" i="17"/>
  <c r="O4" i="17"/>
  <c r="N168" i="17"/>
  <c r="M294" i="5" l="1"/>
  <c r="L95" i="17"/>
  <c r="L105" i="17" s="1"/>
  <c r="H34" i="4" s="1"/>
  <c r="H80" i="4" s="1"/>
  <c r="G42" i="3"/>
  <c r="O162" i="5"/>
  <c r="M169" i="5"/>
  <c r="M21" i="5"/>
  <c r="P160" i="5"/>
  <c r="P161" i="5"/>
  <c r="P159" i="5"/>
  <c r="P162" i="5" s="1"/>
  <c r="P128" i="5"/>
  <c r="P127" i="5"/>
  <c r="M263" i="5"/>
  <c r="O144" i="5"/>
  <c r="O122" i="17"/>
  <c r="R177" i="5"/>
  <c r="N79" i="5" a="1"/>
  <c r="N79" i="5" s="1"/>
  <c r="L79" i="5" a="1"/>
  <c r="L79" i="5" s="1"/>
  <c r="M79" i="5" a="1"/>
  <c r="M79" i="5" s="1"/>
  <c r="O79" i="5" a="1"/>
  <c r="O79" i="5" s="1"/>
  <c r="N252" i="5"/>
  <c r="N260" i="5"/>
  <c r="N217" i="5" a="1"/>
  <c r="N217" i="5" s="1"/>
  <c r="M217" i="5" a="1"/>
  <c r="M217" i="5" s="1"/>
  <c r="L217" i="5" a="1"/>
  <c r="L217" i="5" s="1"/>
  <c r="O217" i="5" a="1"/>
  <c r="O217" i="5" s="1"/>
  <c r="H23" i="3"/>
  <c r="N261" i="5"/>
  <c r="Z93" i="5"/>
  <c r="Y94" i="5"/>
  <c r="M201" i="5" a="1"/>
  <c r="M201" i="5" s="1"/>
  <c r="L201" i="5" a="1"/>
  <c r="L201" i="5" s="1"/>
  <c r="O201" i="5" a="1"/>
  <c r="O201" i="5" s="1"/>
  <c r="N201" i="5" a="1"/>
  <c r="N201" i="5" s="1"/>
  <c r="O111" i="5" a="1"/>
  <c r="O111" i="5" s="1"/>
  <c r="M111" i="5" a="1"/>
  <c r="M111" i="5" s="1"/>
  <c r="L111" i="5" a="1"/>
  <c r="L111" i="5" s="1"/>
  <c r="N111" i="5" a="1"/>
  <c r="N111" i="5" s="1"/>
  <c r="O129" i="5"/>
  <c r="O100" i="5"/>
  <c r="J78" i="17"/>
  <c r="N190" i="5"/>
  <c r="O289" i="5"/>
  <c r="O288" i="5"/>
  <c r="O160" i="17"/>
  <c r="R209" i="5"/>
  <c r="I21" i="3"/>
  <c r="N20" i="17"/>
  <c r="N51" i="17" s="1"/>
  <c r="J19" i="4"/>
  <c r="L51" i="17"/>
  <c r="Q304" i="5"/>
  <c r="P313" i="5"/>
  <c r="P314" i="5" s="1"/>
  <c r="P316" i="5" s="1"/>
  <c r="L296" i="5"/>
  <c r="L297" i="5"/>
  <c r="M60" i="17"/>
  <c r="M53" i="17"/>
  <c r="M78" i="17" s="1"/>
  <c r="M79" i="17" s="1"/>
  <c r="O68" i="5"/>
  <c r="O280" i="5"/>
  <c r="O283" i="5"/>
  <c r="P279" i="5"/>
  <c r="P273" i="5"/>
  <c r="P272" i="5"/>
  <c r="P278" i="5"/>
  <c r="P275" i="5"/>
  <c r="L50" i="5" a="1"/>
  <c r="L50" i="5" s="1"/>
  <c r="M50" i="5" a="1"/>
  <c r="M50" i="5" s="1"/>
  <c r="N50" i="5" a="1"/>
  <c r="N50" i="5" s="1"/>
  <c r="O50" i="5" a="1"/>
  <c r="O50" i="5" s="1"/>
  <c r="M296" i="5"/>
  <c r="M297" i="5"/>
  <c r="K18" i="17" s="1"/>
  <c r="K42" i="17" s="1"/>
  <c r="J94" i="17"/>
  <c r="J104" i="17" s="1"/>
  <c r="F33" i="4" s="1"/>
  <c r="E41" i="3"/>
  <c r="O284" i="5"/>
  <c r="G23" i="3"/>
  <c r="O141" i="17"/>
  <c r="R193" i="5"/>
  <c r="O318" i="5"/>
  <c r="M10" i="17" s="1"/>
  <c r="O317" i="5"/>
  <c r="M9" i="17" s="1"/>
  <c r="M8" i="17"/>
  <c r="P325" i="5"/>
  <c r="P326" i="5" s="1"/>
  <c r="P10" i="5" s="1"/>
  <c r="H42" i="3"/>
  <c r="M95" i="17"/>
  <c r="M105" i="17" s="1"/>
  <c r="I34" i="4" s="1"/>
  <c r="I80" i="4" s="1"/>
  <c r="Q271" i="5"/>
  <c r="Q340" i="5"/>
  <c r="Q341" i="5" s="1"/>
  <c r="Q345" i="5" s="1"/>
  <c r="Q346" i="5" s="1"/>
  <c r="Q325" i="5" s="1"/>
  <c r="Q243" i="5"/>
  <c r="Q238" i="5"/>
  <c r="R4" i="5"/>
  <c r="Q330" i="5"/>
  <c r="Q331" i="5" s="1"/>
  <c r="Q335" i="5" s="1"/>
  <c r="Q336" i="5" s="1"/>
  <c r="Q324" i="5" s="1"/>
  <c r="Q244" i="5"/>
  <c r="Q240" i="5"/>
  <c r="Q245" i="5"/>
  <c r="Q239" i="5"/>
  <c r="P98" i="5"/>
  <c r="P97" i="5"/>
  <c r="P99" i="5"/>
  <c r="O39" i="5"/>
  <c r="P246" i="5"/>
  <c r="P37" i="5"/>
  <c r="P38" i="5"/>
  <c r="P67" i="5"/>
  <c r="P66" i="5"/>
  <c r="J61" i="17"/>
  <c r="N262" i="5"/>
  <c r="P50" i="5" a="1"/>
  <c r="P50" i="5" s="1"/>
  <c r="Q83" i="5"/>
  <c r="Q25" i="5"/>
  <c r="Q54" i="5"/>
  <c r="R6" i="5"/>
  <c r="Q231" i="5"/>
  <c r="P232" i="5"/>
  <c r="P249" i="5" s="1"/>
  <c r="P235" i="5"/>
  <c r="P233" i="5"/>
  <c r="P143" i="5"/>
  <c r="P142" i="5"/>
  <c r="N292" i="5"/>
  <c r="N285" i="5"/>
  <c r="O249" i="5"/>
  <c r="O250" i="5"/>
  <c r="O251" i="5"/>
  <c r="N20" i="5"/>
  <c r="N168" i="5"/>
  <c r="L9" i="17"/>
  <c r="L11" i="17" s="1"/>
  <c r="L28" i="17" s="1"/>
  <c r="L29" i="17" s="1"/>
  <c r="L56" i="17" s="1"/>
  <c r="N319" i="5"/>
  <c r="N223" i="5" s="1"/>
  <c r="O256" i="5"/>
  <c r="O255" i="5"/>
  <c r="O257" i="5"/>
  <c r="H23" i="4"/>
  <c r="J55" i="12"/>
  <c r="J29" i="17"/>
  <c r="L99" i="4"/>
  <c r="J27" i="19"/>
  <c r="J33" i="19" s="1"/>
  <c r="K55" i="12" s="1"/>
  <c r="L263" i="5"/>
  <c r="L145" i="11"/>
  <c r="W219" i="11"/>
  <c r="W246" i="11"/>
  <c r="W253" i="11" s="1"/>
  <c r="R246" i="11"/>
  <c r="R253" i="11" s="1"/>
  <c r="L48" i="4"/>
  <c r="R145" i="11"/>
  <c r="K25" i="19"/>
  <c r="I115" i="12"/>
  <c r="J40" i="12"/>
  <c r="J120" i="12" s="1"/>
  <c r="H63" i="4" s="1"/>
  <c r="J37" i="12"/>
  <c r="J110" i="12" s="1"/>
  <c r="H61" i="4" s="1"/>
  <c r="J67" i="12" s="1"/>
  <c r="M36" i="12"/>
  <c r="M105" i="12" s="1"/>
  <c r="M47" i="12"/>
  <c r="M141" i="12" s="1"/>
  <c r="K56" i="4" s="1"/>
  <c r="M65" i="12" s="1"/>
  <c r="M99" i="12"/>
  <c r="M123" i="12" s="1"/>
  <c r="N4" i="12"/>
  <c r="N84" i="12" s="1"/>
  <c r="J66" i="4"/>
  <c r="L169" i="12"/>
  <c r="L170" i="12" s="1"/>
  <c r="K24" i="19"/>
  <c r="K26" i="19"/>
  <c r="L4" i="19"/>
  <c r="U145" i="11"/>
  <c r="W145" i="11"/>
  <c r="P145" i="11"/>
  <c r="P219" i="11"/>
  <c r="R48" i="4"/>
  <c r="X145" i="11"/>
  <c r="P246" i="11"/>
  <c r="P253" i="11" s="1"/>
  <c r="P273" i="11" s="1"/>
  <c r="S193" i="11"/>
  <c r="S246" i="11" s="1"/>
  <c r="Z222" i="11"/>
  <c r="X219" i="11"/>
  <c r="M50" i="4"/>
  <c r="T246" i="11"/>
  <c r="T253" i="11" s="1"/>
  <c r="N48" i="4"/>
  <c r="Z219" i="11"/>
  <c r="Q246" i="11"/>
  <c r="Q253" i="11" s="1"/>
  <c r="Q273" i="11" s="1"/>
  <c r="Q145" i="11"/>
  <c r="T145" i="11"/>
  <c r="K48" i="4"/>
  <c r="M145" i="11"/>
  <c r="T222" i="11"/>
  <c r="N273" i="11"/>
  <c r="N145" i="11"/>
  <c r="M193" i="11"/>
  <c r="M219" i="11" s="1"/>
  <c r="Z145" i="11"/>
  <c r="V219" i="11"/>
  <c r="G51" i="4"/>
  <c r="V145" i="11"/>
  <c r="Z246" i="11"/>
  <c r="Z253" i="11" s="1"/>
  <c r="R222" i="11"/>
  <c r="R248" i="11"/>
  <c r="R263" i="11" s="1"/>
  <c r="Q222" i="11"/>
  <c r="K51" i="4"/>
  <c r="L219" i="11"/>
  <c r="R51" i="4"/>
  <c r="U246" i="11"/>
  <c r="U253" i="11" s="1"/>
  <c r="O48" i="4"/>
  <c r="X248" i="11"/>
  <c r="X263" i="11" s="1"/>
  <c r="X273" i="11" s="1"/>
  <c r="N219" i="11"/>
  <c r="P48" i="4"/>
  <c r="H48" i="4"/>
  <c r="S48" i="4"/>
  <c r="Y246" i="11"/>
  <c r="Y253" i="11" s="1"/>
  <c r="S248" i="11"/>
  <c r="S263" i="11" s="1"/>
  <c r="K196" i="11"/>
  <c r="C23" i="15" s="1"/>
  <c r="E23" i="15" s="1"/>
  <c r="S222" i="11"/>
  <c r="M51" i="4"/>
  <c r="K195" i="11"/>
  <c r="C22" i="15" s="1"/>
  <c r="O221" i="11"/>
  <c r="O248" i="11"/>
  <c r="O263" i="11" s="1"/>
  <c r="O273" i="11" s="1"/>
  <c r="I50" i="4"/>
  <c r="H51" i="4"/>
  <c r="N222" i="11"/>
  <c r="D21" i="15"/>
  <c r="K246" i="11"/>
  <c r="L50" i="4"/>
  <c r="R221" i="11"/>
  <c r="X4" i="11"/>
  <c r="W240" i="11"/>
  <c r="D20" i="15"/>
  <c r="K244" i="11"/>
  <c r="T50" i="4"/>
  <c r="Z221" i="11"/>
  <c r="Z248" i="11"/>
  <c r="Z263" i="11" s="1"/>
  <c r="Q51" i="4"/>
  <c r="W222" i="11"/>
  <c r="D19" i="15"/>
  <c r="K210" i="11"/>
  <c r="K243" i="11"/>
  <c r="M248" i="11"/>
  <c r="G50" i="4"/>
  <c r="M221" i="11"/>
  <c r="P51" i="4"/>
  <c r="V222" i="11"/>
  <c r="S50" i="4"/>
  <c r="Y221" i="11"/>
  <c r="Y248" i="11"/>
  <c r="Y263" i="11" s="1"/>
  <c r="S51" i="4"/>
  <c r="Y222" i="11"/>
  <c r="W221" i="11"/>
  <c r="W248" i="11"/>
  <c r="W263" i="11" s="1"/>
  <c r="Q50" i="4"/>
  <c r="D22" i="15"/>
  <c r="K248" i="11"/>
  <c r="N50" i="4"/>
  <c r="T248" i="11"/>
  <c r="T263" i="11" s="1"/>
  <c r="T221" i="11"/>
  <c r="J51" i="4"/>
  <c r="P222" i="11"/>
  <c r="U221" i="11"/>
  <c r="U248" i="11"/>
  <c r="U263" i="11" s="1"/>
  <c r="O50" i="4"/>
  <c r="V221" i="11"/>
  <c r="P50" i="4"/>
  <c r="V248" i="11"/>
  <c r="V263" i="11" s="1"/>
  <c r="V273" i="11" s="1"/>
  <c r="L53" i="4"/>
  <c r="M5" i="4"/>
  <c r="M39" i="4" s="1"/>
  <c r="O130" i="17"/>
  <c r="O149" i="17"/>
  <c r="P4" i="17"/>
  <c r="O168" i="17"/>
  <c r="O86" i="17"/>
  <c r="O21" i="5" l="1"/>
  <c r="O169" i="5"/>
  <c r="P169" i="5"/>
  <c r="P21" i="5"/>
  <c r="Q160" i="5"/>
  <c r="Q159" i="5"/>
  <c r="Q128" i="5"/>
  <c r="Q127" i="5"/>
  <c r="M265" i="5"/>
  <c r="M266" i="5"/>
  <c r="K14" i="17" s="1"/>
  <c r="K34" i="17" s="1"/>
  <c r="P122" i="17"/>
  <c r="S177" i="5"/>
  <c r="O168" i="5"/>
  <c r="H10" i="3" s="1"/>
  <c r="O20" i="5"/>
  <c r="I12" i="4" s="1"/>
  <c r="O19" i="5"/>
  <c r="I11" i="4" s="1"/>
  <c r="O167" i="5"/>
  <c r="H9" i="3" s="1"/>
  <c r="P284" i="5"/>
  <c r="N263" i="5"/>
  <c r="J93" i="5"/>
  <c r="Z94" i="5"/>
  <c r="O261" i="5"/>
  <c r="O262" i="5"/>
  <c r="P100" i="5"/>
  <c r="G37" i="3"/>
  <c r="L90" i="17"/>
  <c r="L100" i="17" s="1"/>
  <c r="H29" i="4" s="1"/>
  <c r="Q98" i="5"/>
  <c r="Q97" i="5"/>
  <c r="Q99" i="5"/>
  <c r="F79" i="4"/>
  <c r="J17" i="17"/>
  <c r="L298" i="5"/>
  <c r="L225" i="5" s="1"/>
  <c r="N60" i="17"/>
  <c r="N294" i="5"/>
  <c r="P39" i="5"/>
  <c r="P289" i="5"/>
  <c r="P288" i="5"/>
  <c r="N8" i="17"/>
  <c r="P317" i="5"/>
  <c r="P318" i="5"/>
  <c r="N10" i="17" s="1"/>
  <c r="J79" i="17"/>
  <c r="M298" i="5"/>
  <c r="M225" i="5" s="1"/>
  <c r="K17" i="17"/>
  <c r="R304" i="5"/>
  <c r="Q313" i="5"/>
  <c r="Q314" i="5" s="1"/>
  <c r="Q316" i="5" s="1"/>
  <c r="Q37" i="5"/>
  <c r="Q38" i="5"/>
  <c r="Q66" i="5"/>
  <c r="Q67" i="5"/>
  <c r="O190" i="5"/>
  <c r="O260" i="5"/>
  <c r="O252" i="5"/>
  <c r="P257" i="5"/>
  <c r="P256" i="5"/>
  <c r="P255" i="5"/>
  <c r="P260" i="5" s="1"/>
  <c r="L60" i="17"/>
  <c r="L53" i="17"/>
  <c r="P160" i="17"/>
  <c r="S209" i="5"/>
  <c r="J21" i="3"/>
  <c r="O20" i="17"/>
  <c r="O51" i="17" s="1"/>
  <c r="Q326" i="5"/>
  <c r="Q10" i="5" s="1"/>
  <c r="K19" i="4"/>
  <c r="K104" i="17"/>
  <c r="G33" i="4" s="1"/>
  <c r="G79" i="4" s="1"/>
  <c r="J20" i="4"/>
  <c r="I22" i="3"/>
  <c r="I23" i="3" s="1"/>
  <c r="N21" i="17"/>
  <c r="E42" i="3"/>
  <c r="J95" i="17"/>
  <c r="O174" i="5"/>
  <c r="R244" i="5"/>
  <c r="R330" i="5"/>
  <c r="R331" i="5" s="1"/>
  <c r="R335" i="5" s="1"/>
  <c r="R336" i="5" s="1"/>
  <c r="R324" i="5" s="1"/>
  <c r="R239" i="5"/>
  <c r="R245" i="5"/>
  <c r="R238" i="5"/>
  <c r="R240" i="5"/>
  <c r="R340" i="5"/>
  <c r="R341" i="5" s="1"/>
  <c r="R345" i="5" s="1"/>
  <c r="R346" i="5" s="1"/>
  <c r="S4" i="5"/>
  <c r="R271" i="5"/>
  <c r="R243" i="5"/>
  <c r="O319" i="5"/>
  <c r="O223" i="5" s="1"/>
  <c r="H41" i="3"/>
  <c r="M94" i="17"/>
  <c r="J18" i="17"/>
  <c r="P144" i="5"/>
  <c r="G10" i="3"/>
  <c r="R231" i="5"/>
  <c r="Q233" i="5"/>
  <c r="Q232" i="5"/>
  <c r="Q235" i="5"/>
  <c r="M11" i="17"/>
  <c r="M28" i="17" s="1"/>
  <c r="M29" i="17" s="1"/>
  <c r="M56" i="17" s="1"/>
  <c r="O293" i="5"/>
  <c r="H12" i="4"/>
  <c r="P68" i="5"/>
  <c r="Q246" i="5"/>
  <c r="P283" i="5"/>
  <c r="P280" i="5"/>
  <c r="R83" i="5"/>
  <c r="R25" i="5"/>
  <c r="S6" i="5"/>
  <c r="R54" i="5"/>
  <c r="K20" i="4"/>
  <c r="J22" i="3"/>
  <c r="O21" i="17"/>
  <c r="O52" i="17" s="1"/>
  <c r="O61" i="17" s="1"/>
  <c r="P250" i="5"/>
  <c r="O285" i="5"/>
  <c r="O292" i="5"/>
  <c r="P251" i="5"/>
  <c r="G15" i="3"/>
  <c r="H15" i="4"/>
  <c r="Q143" i="5"/>
  <c r="Q142" i="5"/>
  <c r="P129" i="5"/>
  <c r="Q278" i="5"/>
  <c r="Q275" i="5"/>
  <c r="Q272" i="5"/>
  <c r="Q273" i="5"/>
  <c r="Q279" i="5"/>
  <c r="P141" i="17"/>
  <c r="S193" i="5"/>
  <c r="J56" i="17"/>
  <c r="J68" i="12"/>
  <c r="M99" i="4"/>
  <c r="L265" i="5"/>
  <c r="L266" i="5"/>
  <c r="W273" i="11"/>
  <c r="M4" i="19"/>
  <c r="R273" i="11"/>
  <c r="K27" i="19"/>
  <c r="K33" i="19" s="1"/>
  <c r="J38" i="12"/>
  <c r="K35" i="12" s="1"/>
  <c r="K37" i="12" s="1"/>
  <c r="N36" i="12"/>
  <c r="N105" i="12" s="1"/>
  <c r="L58" i="4" s="1"/>
  <c r="N66" i="12" s="1"/>
  <c r="N47" i="12"/>
  <c r="N141" i="12" s="1"/>
  <c r="L56" i="4" s="1"/>
  <c r="N65" i="12" s="1"/>
  <c r="N99" i="12"/>
  <c r="N123" i="12" s="1"/>
  <c r="O4" i="12"/>
  <c r="O84" i="12" s="1"/>
  <c r="M169" i="12"/>
  <c r="M170" i="12" s="1"/>
  <c r="K66" i="4"/>
  <c r="K58" i="4"/>
  <c r="M66" i="12" s="1"/>
  <c r="M48" i="4"/>
  <c r="S219" i="11"/>
  <c r="K219" i="11" s="1"/>
  <c r="Z273" i="11"/>
  <c r="Y273" i="11"/>
  <c r="T273" i="11"/>
  <c r="M246" i="11"/>
  <c r="M253" i="11" s="1"/>
  <c r="M254" i="11" s="1"/>
  <c r="N252" i="11" s="1"/>
  <c r="N254" i="11" s="1"/>
  <c r="N259" i="11" s="1"/>
  <c r="N314" i="11" s="1"/>
  <c r="N315" i="11" s="1"/>
  <c r="K193" i="11"/>
  <c r="C21" i="15" s="1"/>
  <c r="E21" i="15" s="1"/>
  <c r="G48" i="4"/>
  <c r="U273" i="11"/>
  <c r="K249" i="11"/>
  <c r="K222" i="11"/>
  <c r="K221" i="11"/>
  <c r="E50" i="4"/>
  <c r="C37" i="16"/>
  <c r="F10" i="12"/>
  <c r="D24" i="15"/>
  <c r="S253" i="11"/>
  <c r="E22" i="15"/>
  <c r="E51" i="4"/>
  <c r="W282" i="11"/>
  <c r="Z282" i="11"/>
  <c r="X282" i="11"/>
  <c r="R282" i="11"/>
  <c r="P282" i="11"/>
  <c r="O282" i="11"/>
  <c r="M282" i="11"/>
  <c r="Y282" i="11"/>
  <c r="V282" i="11"/>
  <c r="N282" i="11"/>
  <c r="T282" i="11"/>
  <c r="U282" i="11"/>
  <c r="Q282" i="11"/>
  <c r="S282" i="11"/>
  <c r="W283" i="11"/>
  <c r="Y283" i="11"/>
  <c r="T283" i="11"/>
  <c r="P283" i="11"/>
  <c r="U283" i="11"/>
  <c r="Q283" i="11"/>
  <c r="M283" i="11"/>
  <c r="N283" i="11"/>
  <c r="O283" i="11"/>
  <c r="V283" i="11"/>
  <c r="Z283" i="11"/>
  <c r="L283" i="11" s="1"/>
  <c r="S283" i="11"/>
  <c r="R283" i="11"/>
  <c r="X283" i="11"/>
  <c r="M263" i="11"/>
  <c r="L248" i="11"/>
  <c r="Y4" i="11"/>
  <c r="X240" i="11"/>
  <c r="I23" i="4"/>
  <c r="M53" i="4"/>
  <c r="N5" i="4"/>
  <c r="N39" i="4" s="1"/>
  <c r="Q4" i="17"/>
  <c r="P86" i="17"/>
  <c r="P293" i="5" l="1"/>
  <c r="R159" i="5"/>
  <c r="R161" i="5"/>
  <c r="R160" i="5"/>
  <c r="R128" i="5"/>
  <c r="R127" i="5"/>
  <c r="K13" i="17"/>
  <c r="M267" i="5"/>
  <c r="M224" i="5" s="1"/>
  <c r="G16" i="4" s="1"/>
  <c r="T177" i="5"/>
  <c r="R122" i="17" s="1"/>
  <c r="Q122" i="17"/>
  <c r="N265" i="5"/>
  <c r="N266" i="5"/>
  <c r="L14" i="17" s="1"/>
  <c r="L34" i="17" s="1"/>
  <c r="Q250" i="5"/>
  <c r="Q251" i="5"/>
  <c r="P261" i="5"/>
  <c r="P262" i="5"/>
  <c r="H76" i="4"/>
  <c r="G93" i="5"/>
  <c r="J94" i="5"/>
  <c r="O263" i="5"/>
  <c r="N9" i="17"/>
  <c r="N11" i="17" s="1"/>
  <c r="N28" i="17" s="1"/>
  <c r="N29" i="17" s="1"/>
  <c r="N56" i="17" s="1"/>
  <c r="P319" i="5"/>
  <c r="P223" i="5" s="1"/>
  <c r="K105" i="17"/>
  <c r="G34" i="4" s="1"/>
  <c r="G80" i="4" s="1"/>
  <c r="J105" i="17"/>
  <c r="F34" i="4" s="1"/>
  <c r="F80" i="4" s="1"/>
  <c r="Q144" i="5"/>
  <c r="Q39" i="5"/>
  <c r="Q174" i="5" s="1"/>
  <c r="Q129" i="5"/>
  <c r="P252" i="5"/>
  <c r="Q256" i="5"/>
  <c r="Q255" i="5"/>
  <c r="Q257" i="5"/>
  <c r="P292" i="5"/>
  <c r="P294" i="5" s="1"/>
  <c r="P285" i="5"/>
  <c r="S231" i="5"/>
  <c r="R233" i="5"/>
  <c r="R235" i="5"/>
  <c r="R232" i="5"/>
  <c r="R249" i="5" s="1"/>
  <c r="H15" i="3"/>
  <c r="I15" i="4"/>
  <c r="O60" i="17"/>
  <c r="O53" i="17"/>
  <c r="O78" i="17" s="1"/>
  <c r="O79" i="17" s="1"/>
  <c r="Q68" i="5"/>
  <c r="I41" i="3"/>
  <c r="N94" i="17"/>
  <c r="N104" i="17" s="1"/>
  <c r="J33" i="4" s="1"/>
  <c r="J79" i="4" s="1"/>
  <c r="R246" i="5"/>
  <c r="N52" i="17"/>
  <c r="J23" i="3"/>
  <c r="F17" i="4"/>
  <c r="E17" i="3"/>
  <c r="R278" i="5"/>
  <c r="R275" i="5"/>
  <c r="R273" i="5"/>
  <c r="R272" i="5"/>
  <c r="R279" i="5"/>
  <c r="J41" i="17"/>
  <c r="J19" i="17"/>
  <c r="T193" i="5"/>
  <c r="Q141" i="17"/>
  <c r="O294" i="5"/>
  <c r="R143" i="5"/>
  <c r="R142" i="5"/>
  <c r="S330" i="5"/>
  <c r="S331" i="5" s="1"/>
  <c r="S335" i="5" s="1"/>
  <c r="S336" i="5" s="1"/>
  <c r="S324" i="5" s="1"/>
  <c r="S239" i="5"/>
  <c r="S245" i="5"/>
  <c r="S251" i="5" s="1"/>
  <c r="S238" i="5"/>
  <c r="T4" i="5"/>
  <c r="S240" i="5"/>
  <c r="S340" i="5"/>
  <c r="S341" i="5" s="1"/>
  <c r="S345" i="5" s="1"/>
  <c r="S346" i="5" s="1"/>
  <c r="S325" i="5" s="1"/>
  <c r="S244" i="5"/>
  <c r="S250" i="5" s="1"/>
  <c r="S243" i="5"/>
  <c r="S271" i="5"/>
  <c r="Q318" i="5"/>
  <c r="O10" i="17" s="1"/>
  <c r="Q317" i="5"/>
  <c r="O9" i="17" s="1"/>
  <c r="O8" i="17"/>
  <c r="P167" i="5"/>
  <c r="P19" i="5"/>
  <c r="T6" i="5"/>
  <c r="S25" i="5"/>
  <c r="S54" i="5"/>
  <c r="S83" i="5"/>
  <c r="P20" i="5"/>
  <c r="P168" i="5"/>
  <c r="R325" i="5"/>
  <c r="R326" i="5" s="1"/>
  <c r="R10" i="5" s="1"/>
  <c r="Q160" i="17"/>
  <c r="T209" i="5"/>
  <c r="S304" i="5"/>
  <c r="R313" i="5"/>
  <c r="R314" i="5" s="1"/>
  <c r="R316" i="5" s="1"/>
  <c r="Q284" i="5"/>
  <c r="R37" i="5"/>
  <c r="R38" i="5"/>
  <c r="R66" i="5"/>
  <c r="R67" i="5"/>
  <c r="K41" i="17"/>
  <c r="K19" i="17"/>
  <c r="Q289" i="5"/>
  <c r="Q288" i="5"/>
  <c r="R97" i="5"/>
  <c r="R98" i="5"/>
  <c r="R99" i="5"/>
  <c r="L78" i="17"/>
  <c r="J42" i="3"/>
  <c r="O95" i="17"/>
  <c r="Q249" i="5"/>
  <c r="H37" i="3"/>
  <c r="M90" i="17"/>
  <c r="M100" i="17" s="1"/>
  <c r="I29" i="4" s="1"/>
  <c r="G41" i="3"/>
  <c r="L94" i="17"/>
  <c r="M104" i="17" s="1"/>
  <c r="I33" i="4" s="1"/>
  <c r="I79" i="4" s="1"/>
  <c r="F17" i="3"/>
  <c r="G17" i="4"/>
  <c r="P174" i="5"/>
  <c r="Q100" i="5"/>
  <c r="J42" i="17"/>
  <c r="Q280" i="5"/>
  <c r="Q283" i="5"/>
  <c r="P190" i="5"/>
  <c r="L19" i="4"/>
  <c r="P20" i="17"/>
  <c r="P51" i="17" s="1"/>
  <c r="K21" i="3"/>
  <c r="U177" i="5"/>
  <c r="N296" i="5"/>
  <c r="N297" i="5"/>
  <c r="M19" i="19"/>
  <c r="M18" i="19"/>
  <c r="M20" i="19"/>
  <c r="J23" i="4"/>
  <c r="L55" i="12"/>
  <c r="E37" i="3"/>
  <c r="J90" i="17"/>
  <c r="N99" i="4"/>
  <c r="J14" i="17"/>
  <c r="L267" i="5"/>
  <c r="L224" i="5" s="1"/>
  <c r="J13" i="17"/>
  <c r="N4" i="19"/>
  <c r="M26" i="19"/>
  <c r="M24" i="19"/>
  <c r="M25" i="19"/>
  <c r="K40" i="12"/>
  <c r="K120" i="12" s="1"/>
  <c r="J115" i="12"/>
  <c r="O36" i="12"/>
  <c r="O105" i="12" s="1"/>
  <c r="M58" i="4" s="1"/>
  <c r="O66" i="12" s="1"/>
  <c r="O47" i="12"/>
  <c r="O141" i="12" s="1"/>
  <c r="M56" i="4" s="1"/>
  <c r="O65" i="12" s="1"/>
  <c r="O99" i="12"/>
  <c r="O123" i="12" s="1"/>
  <c r="P4" i="12"/>
  <c r="P84" i="12" s="1"/>
  <c r="N169" i="12"/>
  <c r="N170" i="12" s="1"/>
  <c r="L66" i="4"/>
  <c r="K110" i="12"/>
  <c r="K38" i="12"/>
  <c r="E48" i="4"/>
  <c r="O252" i="11"/>
  <c r="O254" i="11" s="1"/>
  <c r="O259" i="11" s="1"/>
  <c r="O314" i="11" s="1"/>
  <c r="O315" i="11" s="1"/>
  <c r="N284" i="11"/>
  <c r="L246" i="11"/>
  <c r="T256" i="11" s="1"/>
  <c r="M259" i="11"/>
  <c r="M314" i="11" s="1"/>
  <c r="M315" i="11" s="1"/>
  <c r="T284" i="11"/>
  <c r="X284" i="11"/>
  <c r="P284" i="11"/>
  <c r="R284" i="11"/>
  <c r="Y292" i="11"/>
  <c r="Z4" i="11"/>
  <c r="Y240" i="11"/>
  <c r="Y266" i="11"/>
  <c r="Y296" i="11" s="1"/>
  <c r="R266" i="11"/>
  <c r="W266" i="11"/>
  <c r="W296" i="11" s="1"/>
  <c r="V266" i="11"/>
  <c r="V296" i="11" s="1"/>
  <c r="U266" i="11"/>
  <c r="U296" i="11" s="1"/>
  <c r="T266" i="11"/>
  <c r="T296" i="11" s="1"/>
  <c r="S266" i="11"/>
  <c r="S296" i="11" s="1"/>
  <c r="V284" i="11"/>
  <c r="Y284" i="11"/>
  <c r="S273" i="11"/>
  <c r="L253" i="11"/>
  <c r="M264" i="11"/>
  <c r="L263" i="11"/>
  <c r="M273" i="11"/>
  <c r="O284" i="11"/>
  <c r="S284" i="11"/>
  <c r="L282" i="11"/>
  <c r="Z284" i="11"/>
  <c r="M284" i="11"/>
  <c r="W284" i="11"/>
  <c r="C40" i="16"/>
  <c r="F11" i="12"/>
  <c r="X266" i="11"/>
  <c r="X296" i="11" s="1"/>
  <c r="Q284" i="11"/>
  <c r="U284" i="11"/>
  <c r="N53" i="4"/>
  <c r="O5" i="4"/>
  <c r="O39" i="4" s="1"/>
  <c r="R4" i="17"/>
  <c r="Q86" i="17"/>
  <c r="R162" i="5" l="1"/>
  <c r="S159" i="5"/>
  <c r="S160" i="5"/>
  <c r="S161" i="5"/>
  <c r="L13" i="17"/>
  <c r="N267" i="5"/>
  <c r="N224" i="5" s="1"/>
  <c r="G94" i="5"/>
  <c r="G237" i="5" s="1"/>
  <c r="K99" i="4" s="1"/>
  <c r="G155" i="5"/>
  <c r="Q155" i="5" s="1"/>
  <c r="Q161" i="5" s="1"/>
  <c r="Q162" i="5" s="1"/>
  <c r="K36" i="17"/>
  <c r="K15" i="17"/>
  <c r="K22" i="17" s="1"/>
  <c r="K33" i="17"/>
  <c r="K37" i="17" s="1"/>
  <c r="Q261" i="5"/>
  <c r="F16" i="3"/>
  <c r="F18" i="3" s="1"/>
  <c r="M226" i="5"/>
  <c r="M9" i="5" s="1"/>
  <c r="S128" i="5"/>
  <c r="S127" i="5"/>
  <c r="P263" i="5"/>
  <c r="L15" i="17"/>
  <c r="Q262" i="5"/>
  <c r="O266" i="5"/>
  <c r="M14" i="17" s="1"/>
  <c r="M34" i="17" s="1"/>
  <c r="O265" i="5"/>
  <c r="O11" i="17"/>
  <c r="O28" i="17" s="1"/>
  <c r="O29" i="17" s="1"/>
  <c r="O56" i="17" s="1"/>
  <c r="R284" i="5"/>
  <c r="Q19" i="5"/>
  <c r="K11" i="4" s="1"/>
  <c r="Q167" i="5"/>
  <c r="J9" i="3" s="1"/>
  <c r="I76" i="4"/>
  <c r="R250" i="5"/>
  <c r="R251" i="5"/>
  <c r="J15" i="4"/>
  <c r="I15" i="3"/>
  <c r="Q168" i="5"/>
  <c r="J10" i="3" s="1"/>
  <c r="Q20" i="5"/>
  <c r="K12" i="4" s="1"/>
  <c r="M20" i="4"/>
  <c r="Q21" i="17"/>
  <c r="Q52" i="17" s="1"/>
  <c r="Q61" i="17" s="1"/>
  <c r="L22" i="3"/>
  <c r="R141" i="17"/>
  <c r="U193" i="5"/>
  <c r="J45" i="17"/>
  <c r="J44" i="17"/>
  <c r="J47" i="17"/>
  <c r="J46" i="17"/>
  <c r="S143" i="5"/>
  <c r="S142" i="5"/>
  <c r="Q285" i="5"/>
  <c r="Q292" i="5"/>
  <c r="S97" i="5"/>
  <c r="S99" i="5"/>
  <c r="S98" i="5"/>
  <c r="Q260" i="5"/>
  <c r="Q252" i="5"/>
  <c r="S37" i="5"/>
  <c r="S66" i="5"/>
  <c r="S67" i="5"/>
  <c r="S38" i="5"/>
  <c r="J12" i="4"/>
  <c r="R317" i="5"/>
  <c r="P9" i="17" s="1"/>
  <c r="P8" i="17"/>
  <c r="R318" i="5"/>
  <c r="U6" i="5"/>
  <c r="T25" i="5"/>
  <c r="T54" i="5"/>
  <c r="T83" i="5"/>
  <c r="R255" i="5"/>
  <c r="R260" i="5" s="1"/>
  <c r="R257" i="5"/>
  <c r="R256" i="5"/>
  <c r="R100" i="5"/>
  <c r="T304" i="5"/>
  <c r="S313" i="5"/>
  <c r="S314" i="5" s="1"/>
  <c r="S316" i="5" s="1"/>
  <c r="S326" i="5"/>
  <c r="S10" i="5" s="1"/>
  <c r="Q20" i="17"/>
  <c r="Q51" i="17" s="1"/>
  <c r="M19" i="4"/>
  <c r="L21" i="3"/>
  <c r="T231" i="5"/>
  <c r="S235" i="5"/>
  <c r="S233" i="5"/>
  <c r="L79" i="17"/>
  <c r="T330" i="5"/>
  <c r="T331" i="5" s="1"/>
  <c r="T335" i="5" s="1"/>
  <c r="T336" i="5" s="1"/>
  <c r="T324" i="5" s="1"/>
  <c r="T239" i="5"/>
  <c r="T245" i="5"/>
  <c r="T243" i="5"/>
  <c r="T238" i="5"/>
  <c r="T271" i="5"/>
  <c r="T244" i="5"/>
  <c r="T340" i="5"/>
  <c r="T341" i="5" s="1"/>
  <c r="T345" i="5" s="1"/>
  <c r="T346" i="5" s="1"/>
  <c r="T325" i="5" s="1"/>
  <c r="U4" i="5"/>
  <c r="T240" i="5"/>
  <c r="N298" i="5"/>
  <c r="N225" i="5" s="1"/>
  <c r="L17" i="17"/>
  <c r="L20" i="4"/>
  <c r="K22" i="3"/>
  <c r="K23" i="3" s="1"/>
  <c r="P21" i="17"/>
  <c r="J11" i="4"/>
  <c r="Q293" i="5"/>
  <c r="L104" i="17"/>
  <c r="H33" i="4" s="1"/>
  <c r="R68" i="5"/>
  <c r="R190" i="5" s="1"/>
  <c r="U209" i="5"/>
  <c r="R160" i="17"/>
  <c r="I9" i="3"/>
  <c r="S278" i="5"/>
  <c r="S275" i="5"/>
  <c r="S279" i="5"/>
  <c r="S284" i="5" s="1"/>
  <c r="S273" i="5"/>
  <c r="R144" i="5"/>
  <c r="I37" i="3"/>
  <c r="N90" i="17"/>
  <c r="I10" i="3"/>
  <c r="R289" i="5"/>
  <c r="R288" i="5"/>
  <c r="L18" i="17"/>
  <c r="S122" i="17"/>
  <c r="V177" i="5"/>
  <c r="K45" i="17"/>
  <c r="K47" i="17"/>
  <c r="K44" i="17"/>
  <c r="K46" i="17"/>
  <c r="Q190" i="5"/>
  <c r="N61" i="17"/>
  <c r="N53" i="17"/>
  <c r="P60" i="17"/>
  <c r="R283" i="5"/>
  <c r="R280" i="5"/>
  <c r="R129" i="5"/>
  <c r="S249" i="5"/>
  <c r="S252" i="5" s="1"/>
  <c r="S246" i="5"/>
  <c r="O297" i="5"/>
  <c r="M18" i="17" s="1"/>
  <c r="M42" i="17" s="1"/>
  <c r="O296" i="5"/>
  <c r="R39" i="5"/>
  <c r="Q319" i="5"/>
  <c r="Q223" i="5" s="1"/>
  <c r="O94" i="17"/>
  <c r="O104" i="17" s="1"/>
  <c r="K33" i="4" s="1"/>
  <c r="K79" i="4" s="1"/>
  <c r="J41" i="3"/>
  <c r="P296" i="5"/>
  <c r="P297" i="5"/>
  <c r="N18" i="17" s="1"/>
  <c r="N42" i="17" s="1"/>
  <c r="M21" i="19"/>
  <c r="M32" i="19" s="1"/>
  <c r="L22" i="4" s="1"/>
  <c r="N25" i="19"/>
  <c r="N18" i="19"/>
  <c r="N19" i="19"/>
  <c r="N20" i="19"/>
  <c r="J100" i="17"/>
  <c r="F29" i="4" s="1"/>
  <c r="K100" i="17"/>
  <c r="G29" i="4" s="1"/>
  <c r="G76" i="4" s="1"/>
  <c r="O99" i="4"/>
  <c r="J15" i="17"/>
  <c r="J36" i="17"/>
  <c r="J33" i="17"/>
  <c r="F16" i="4"/>
  <c r="E16" i="3"/>
  <c r="L226" i="5"/>
  <c r="L9" i="5" s="1"/>
  <c r="J34" i="17"/>
  <c r="M27" i="19"/>
  <c r="O4" i="19"/>
  <c r="N26" i="19"/>
  <c r="N24" i="19"/>
  <c r="P36" i="12"/>
  <c r="P105" i="12" s="1"/>
  <c r="P47" i="12"/>
  <c r="P141" i="12" s="1"/>
  <c r="N56" i="4" s="1"/>
  <c r="P65" i="12" s="1"/>
  <c r="P99" i="12"/>
  <c r="P123" i="12" s="1"/>
  <c r="Q4" i="12"/>
  <c r="Q84" i="12" s="1"/>
  <c r="O169" i="12"/>
  <c r="O170" i="12" s="1"/>
  <c r="M66" i="4"/>
  <c r="L35" i="12"/>
  <c r="K115" i="12"/>
  <c r="I61" i="4"/>
  <c r="K67" i="12" s="1"/>
  <c r="I63" i="4"/>
  <c r="P252" i="11"/>
  <c r="P254" i="11" s="1"/>
  <c r="Q252" i="11" s="1"/>
  <c r="Q254" i="11" s="1"/>
  <c r="X256" i="11"/>
  <c r="X295" i="11" s="1"/>
  <c r="R256" i="11"/>
  <c r="R276" i="11" s="1"/>
  <c r="W256" i="11"/>
  <c r="W276" i="11" s="1"/>
  <c r="Y256" i="11"/>
  <c r="Y295" i="11" s="1"/>
  <c r="U256" i="11"/>
  <c r="U295" i="11" s="1"/>
  <c r="S256" i="11"/>
  <c r="S295" i="11" s="1"/>
  <c r="V256" i="11"/>
  <c r="V295" i="11" s="1"/>
  <c r="C41" i="16"/>
  <c r="F13" i="12"/>
  <c r="L284" i="11"/>
  <c r="L286" i="11" s="1"/>
  <c r="L323" i="11"/>
  <c r="R267" i="11"/>
  <c r="S265" i="11" s="1"/>
  <c r="S267" i="11" s="1"/>
  <c r="T265" i="11" s="1"/>
  <c r="T267" i="11" s="1"/>
  <c r="U265" i="11" s="1"/>
  <c r="U267" i="11" s="1"/>
  <c r="V265" i="11" s="1"/>
  <c r="V267" i="11" s="1"/>
  <c r="W265" i="11" s="1"/>
  <c r="W267" i="11" s="1"/>
  <c r="X265" i="11" s="1"/>
  <c r="X267" i="11" s="1"/>
  <c r="Y265" i="11" s="1"/>
  <c r="Y267" i="11" s="1"/>
  <c r="Z265" i="11" s="1"/>
  <c r="R296" i="11"/>
  <c r="L273" i="11"/>
  <c r="M274" i="11"/>
  <c r="Z292" i="11"/>
  <c r="Z240" i="11"/>
  <c r="Z266" i="11"/>
  <c r="Z296" i="11" s="1"/>
  <c r="Z256" i="11"/>
  <c r="Y309" i="11"/>
  <c r="Y310" i="11" s="1"/>
  <c r="Y297" i="11"/>
  <c r="N262" i="11"/>
  <c r="N264" i="11" s="1"/>
  <c r="M269" i="11"/>
  <c r="M319" i="11" s="1"/>
  <c r="M320" i="11" s="1"/>
  <c r="T295" i="11"/>
  <c r="T276" i="11"/>
  <c r="O53" i="4"/>
  <c r="P5" i="4"/>
  <c r="P39" i="4" s="1"/>
  <c r="R86" i="17"/>
  <c r="S4" i="17"/>
  <c r="L36" i="17" l="1"/>
  <c r="L33" i="17"/>
  <c r="L37" i="17" s="1"/>
  <c r="L57" i="17" s="1"/>
  <c r="Q21" i="5"/>
  <c r="Q169" i="5"/>
  <c r="R21" i="5"/>
  <c r="R169" i="5"/>
  <c r="S162" i="5"/>
  <c r="T160" i="5"/>
  <c r="T161" i="5"/>
  <c r="T159" i="5"/>
  <c r="Q263" i="5"/>
  <c r="G16" i="3"/>
  <c r="H16" i="4"/>
  <c r="P266" i="5"/>
  <c r="N14" i="17" s="1"/>
  <c r="N34" i="17" s="1"/>
  <c r="P265" i="5"/>
  <c r="R293" i="5"/>
  <c r="O267" i="5"/>
  <c r="O224" i="5" s="1"/>
  <c r="M13" i="17"/>
  <c r="T128" i="5"/>
  <c r="T127" i="5"/>
  <c r="S100" i="5"/>
  <c r="S144" i="5"/>
  <c r="R262" i="5"/>
  <c r="R261" i="5"/>
  <c r="J37" i="3"/>
  <c r="O90" i="17"/>
  <c r="O100" i="17" s="1"/>
  <c r="K29" i="4" s="1"/>
  <c r="R252" i="5"/>
  <c r="N100" i="17"/>
  <c r="J29" i="4" s="1"/>
  <c r="J76" i="4" s="1"/>
  <c r="K48" i="17"/>
  <c r="J48" i="17"/>
  <c r="J58" i="17" s="1"/>
  <c r="L23" i="3"/>
  <c r="M28" i="19"/>
  <c r="S68" i="5"/>
  <c r="S190" i="5" s="1"/>
  <c r="S129" i="5"/>
  <c r="S39" i="5"/>
  <c r="S174" i="5" s="1"/>
  <c r="N54" i="12"/>
  <c r="L42" i="17"/>
  <c r="P52" i="17"/>
  <c r="O298" i="5"/>
  <c r="O225" i="5" s="1"/>
  <c r="M17" i="17"/>
  <c r="R167" i="5"/>
  <c r="R19" i="5"/>
  <c r="H79" i="4"/>
  <c r="N19" i="4"/>
  <c r="R20" i="17"/>
  <c r="R51" i="17" s="1"/>
  <c r="T326" i="5"/>
  <c r="T10" i="5" s="1"/>
  <c r="M21" i="3"/>
  <c r="Q294" i="5"/>
  <c r="Q60" i="17"/>
  <c r="Q53" i="17"/>
  <c r="Q78" i="17" s="1"/>
  <c r="Q79" i="17" s="1"/>
  <c r="T97" i="5"/>
  <c r="T98" i="5"/>
  <c r="T99" i="5"/>
  <c r="V193" i="5"/>
  <c r="S141" i="17"/>
  <c r="I42" i="3"/>
  <c r="N95" i="17"/>
  <c r="O105" i="17" s="1"/>
  <c r="K34" i="4" s="1"/>
  <c r="K80" i="4" s="1"/>
  <c r="T246" i="5"/>
  <c r="S283" i="5"/>
  <c r="S280" i="5"/>
  <c r="J15" i="3"/>
  <c r="K15" i="4"/>
  <c r="T143" i="5"/>
  <c r="T142" i="5"/>
  <c r="R292" i="5"/>
  <c r="R285" i="5"/>
  <c r="S255" i="5"/>
  <c r="S260" i="5" s="1"/>
  <c r="S257" i="5"/>
  <c r="S262" i="5" s="1"/>
  <c r="S256" i="5"/>
  <c r="S261" i="5" s="1"/>
  <c r="T38" i="5"/>
  <c r="T67" i="5"/>
  <c r="T37" i="5"/>
  <c r="T66" i="5"/>
  <c r="V209" i="5"/>
  <c r="S160" i="17"/>
  <c r="P298" i="5"/>
  <c r="P225" i="5" s="1"/>
  <c r="N17" i="17"/>
  <c r="U245" i="5"/>
  <c r="U238" i="5"/>
  <c r="U340" i="5"/>
  <c r="U341" i="5" s="1"/>
  <c r="U345" i="5" s="1"/>
  <c r="U346" i="5" s="1"/>
  <c r="U325" i="5" s="1"/>
  <c r="U271" i="5"/>
  <c r="U240" i="5"/>
  <c r="U244" i="5"/>
  <c r="U239" i="5"/>
  <c r="V4" i="5"/>
  <c r="U243" i="5"/>
  <c r="U330" i="5"/>
  <c r="U331" i="5" s="1"/>
  <c r="U335" i="5" s="1"/>
  <c r="U336" i="5" s="1"/>
  <c r="U324" i="5" s="1"/>
  <c r="U54" i="5"/>
  <c r="U25" i="5"/>
  <c r="V6" i="5"/>
  <c r="U83" i="5"/>
  <c r="Q95" i="17"/>
  <c r="L42" i="3"/>
  <c r="R174" i="5"/>
  <c r="P94" i="17"/>
  <c r="P104" i="17" s="1"/>
  <c r="L33" i="4" s="1"/>
  <c r="L79" i="4" s="1"/>
  <c r="K41" i="3"/>
  <c r="T122" i="17"/>
  <c r="W177" i="5"/>
  <c r="L41" i="17"/>
  <c r="L19" i="17"/>
  <c r="N20" i="4"/>
  <c r="M22" i="3"/>
  <c r="R21" i="17"/>
  <c r="R52" i="17" s="1"/>
  <c r="R61" i="17" s="1"/>
  <c r="U231" i="5"/>
  <c r="T233" i="5"/>
  <c r="T235" i="5"/>
  <c r="T232" i="5"/>
  <c r="S317" i="5"/>
  <c r="Q9" i="17" s="1"/>
  <c r="S318" i="5"/>
  <c r="Q8" i="17"/>
  <c r="R168" i="5"/>
  <c r="R20" i="5"/>
  <c r="G17" i="3"/>
  <c r="H17" i="4"/>
  <c r="N226" i="5"/>
  <c r="N9" i="5" s="1"/>
  <c r="R319" i="5"/>
  <c r="R223" i="5" s="1"/>
  <c r="P10" i="17"/>
  <c r="P11" i="17" s="1"/>
  <c r="P28" i="17" s="1"/>
  <c r="P29" i="17" s="1"/>
  <c r="P56" i="17" s="1"/>
  <c r="U304" i="5"/>
  <c r="T313" i="5"/>
  <c r="T314" i="5" s="1"/>
  <c r="T316" i="5" s="1"/>
  <c r="N78" i="17"/>
  <c r="S288" i="5"/>
  <c r="S289" i="5"/>
  <c r="S293" i="5" s="1"/>
  <c r="T275" i="5"/>
  <c r="T272" i="5"/>
  <c r="T278" i="5"/>
  <c r="T273" i="5"/>
  <c r="T279" i="5"/>
  <c r="T284" i="5" s="1"/>
  <c r="N21" i="19"/>
  <c r="N32" i="19" s="1"/>
  <c r="P4" i="19"/>
  <c r="O18" i="19"/>
  <c r="O19" i="19"/>
  <c r="O20" i="19"/>
  <c r="F76" i="4"/>
  <c r="K68" i="12"/>
  <c r="P99" i="4"/>
  <c r="M33" i="19"/>
  <c r="K57" i="17"/>
  <c r="J22" i="17"/>
  <c r="E18" i="3"/>
  <c r="J37" i="17"/>
  <c r="O24" i="19"/>
  <c r="O26" i="19"/>
  <c r="O25" i="19"/>
  <c r="N27" i="19"/>
  <c r="P259" i="11"/>
  <c r="P314" i="11" s="1"/>
  <c r="P315" i="11" s="1"/>
  <c r="Q47" i="12"/>
  <c r="Q141" i="12" s="1"/>
  <c r="O56" i="4" s="1"/>
  <c r="Q65" i="12" s="1"/>
  <c r="Q99" i="12"/>
  <c r="Q123" i="12" s="1"/>
  <c r="Q36" i="12"/>
  <c r="Q105" i="12" s="1"/>
  <c r="O58" i="4" s="1"/>
  <c r="Q66" i="12" s="1"/>
  <c r="R4" i="12"/>
  <c r="R84" i="12" s="1"/>
  <c r="P169" i="12"/>
  <c r="P170" i="12" s="1"/>
  <c r="N66" i="4"/>
  <c r="N58" i="4"/>
  <c r="P66" i="12" s="1"/>
  <c r="L37" i="12"/>
  <c r="L40" i="12"/>
  <c r="R257" i="11"/>
  <c r="S255" i="11" s="1"/>
  <c r="S257" i="11" s="1"/>
  <c r="T255" i="11" s="1"/>
  <c r="T257" i="11" s="1"/>
  <c r="U255" i="11" s="1"/>
  <c r="U257" i="11" s="1"/>
  <c r="V255" i="11" s="1"/>
  <c r="V257" i="11" s="1"/>
  <c r="W255" i="11" s="1"/>
  <c r="W257" i="11" s="1"/>
  <c r="X255" i="11" s="1"/>
  <c r="X257" i="11" s="1"/>
  <c r="Y255" i="11" s="1"/>
  <c r="Y257" i="11" s="1"/>
  <c r="Z255" i="11" s="1"/>
  <c r="Z257" i="11" s="1"/>
  <c r="S276" i="11"/>
  <c r="X276" i="11"/>
  <c r="Y276" i="11"/>
  <c r="V276" i="11"/>
  <c r="U276" i="11"/>
  <c r="W295" i="11"/>
  <c r="R295" i="11"/>
  <c r="L256" i="11"/>
  <c r="L295" i="11" s="1"/>
  <c r="Z267" i="11"/>
  <c r="L266" i="11"/>
  <c r="L296" i="11" s="1"/>
  <c r="M279" i="11"/>
  <c r="M286" i="11" s="1"/>
  <c r="N272" i="11"/>
  <c r="N274" i="11" s="1"/>
  <c r="C43" i="16"/>
  <c r="F53" i="4"/>
  <c r="F14" i="12"/>
  <c r="R277" i="11"/>
  <c r="S275" i="11" s="1"/>
  <c r="D48" i="15"/>
  <c r="E48" i="15" s="1"/>
  <c r="L324" i="11"/>
  <c r="O262" i="11"/>
  <c r="O264" i="11" s="1"/>
  <c r="N269" i="11"/>
  <c r="N319" i="11" s="1"/>
  <c r="N320" i="11" s="1"/>
  <c r="Z309" i="11"/>
  <c r="Z310" i="11" s="1"/>
  <c r="Z297" i="11"/>
  <c r="Z276" i="11"/>
  <c r="Z295" i="11"/>
  <c r="Y298" i="11"/>
  <c r="Q259" i="11"/>
  <c r="Q314" i="11" s="1"/>
  <c r="Q315" i="11" s="1"/>
  <c r="R252" i="11"/>
  <c r="R254" i="11" s="1"/>
  <c r="P53" i="4"/>
  <c r="Q5" i="4"/>
  <c r="Q39" i="4" s="1"/>
  <c r="Q4" i="19"/>
  <c r="P25" i="19"/>
  <c r="P24" i="19"/>
  <c r="P26" i="19"/>
  <c r="S86" i="17"/>
  <c r="T4" i="17"/>
  <c r="O226" i="5" l="1"/>
  <c r="O9" i="5" s="1"/>
  <c r="T39" i="5"/>
  <c r="T174" i="5" s="1"/>
  <c r="S21" i="5"/>
  <c r="S169" i="5"/>
  <c r="T162" i="5"/>
  <c r="U159" i="5"/>
  <c r="U161" i="5"/>
  <c r="U160" i="5"/>
  <c r="R263" i="5"/>
  <c r="Q266" i="5"/>
  <c r="O14" i="17" s="1"/>
  <c r="O34" i="17" s="1"/>
  <c r="Q265" i="5"/>
  <c r="N13" i="17"/>
  <c r="P267" i="5"/>
  <c r="P224" i="5" s="1"/>
  <c r="I16" i="3" s="1"/>
  <c r="R294" i="5"/>
  <c r="I16" i="4"/>
  <c r="H16" i="3"/>
  <c r="M33" i="17"/>
  <c r="M15" i="17"/>
  <c r="M36" i="17"/>
  <c r="U128" i="5"/>
  <c r="U127" i="5"/>
  <c r="S20" i="5"/>
  <c r="M12" i="4" s="1"/>
  <c r="S168" i="5"/>
  <c r="L10" i="3" s="1"/>
  <c r="S19" i="5"/>
  <c r="M11" i="4" s="1"/>
  <c r="S167" i="5"/>
  <c r="L9" i="3" s="1"/>
  <c r="K76" i="4"/>
  <c r="K58" i="17"/>
  <c r="K74" i="17"/>
  <c r="K75" i="17" s="1"/>
  <c r="K62" i="17"/>
  <c r="T249" i="5"/>
  <c r="T250" i="5"/>
  <c r="Q10" i="17"/>
  <c r="Q11" i="17" s="1"/>
  <c r="Q28" i="17" s="1"/>
  <c r="Q29" i="17" s="1"/>
  <c r="Q56" i="17" s="1"/>
  <c r="S319" i="5"/>
  <c r="S223" i="5" s="1"/>
  <c r="T129" i="5"/>
  <c r="T144" i="5"/>
  <c r="U37" i="5"/>
  <c r="U66" i="5"/>
  <c r="U38" i="5"/>
  <c r="U67" i="5"/>
  <c r="O19" i="4"/>
  <c r="U326" i="5"/>
  <c r="U10" i="5" s="1"/>
  <c r="S20" i="17"/>
  <c r="S51" i="17" s="1"/>
  <c r="N21" i="3"/>
  <c r="L41" i="3"/>
  <c r="Q94" i="17"/>
  <c r="Q104" i="17" s="1"/>
  <c r="M33" i="4" s="1"/>
  <c r="M79" i="4" s="1"/>
  <c r="L11" i="4"/>
  <c r="V231" i="5"/>
  <c r="U235" i="5"/>
  <c r="U233" i="5"/>
  <c r="U232" i="5"/>
  <c r="U251" i="5" s="1"/>
  <c r="U142" i="5"/>
  <c r="U143" i="5"/>
  <c r="U246" i="5"/>
  <c r="N41" i="17"/>
  <c r="N19" i="17"/>
  <c r="K9" i="3"/>
  <c r="V238" i="5"/>
  <c r="V271" i="5"/>
  <c r="V240" i="5"/>
  <c r="V330" i="5"/>
  <c r="V331" i="5" s="1"/>
  <c r="V335" i="5" s="1"/>
  <c r="V336" i="5" s="1"/>
  <c r="V324" i="5" s="1"/>
  <c r="W4" i="5"/>
  <c r="V340" i="5"/>
  <c r="V341" i="5" s="1"/>
  <c r="V345" i="5" s="1"/>
  <c r="V346" i="5" s="1"/>
  <c r="V325" i="5" s="1"/>
  <c r="V243" i="5"/>
  <c r="V245" i="5"/>
  <c r="V244" i="5"/>
  <c r="V239" i="5"/>
  <c r="J17" i="4"/>
  <c r="I17" i="3"/>
  <c r="M41" i="17"/>
  <c r="M19" i="17"/>
  <c r="P226" i="5"/>
  <c r="P9" i="5" s="1"/>
  <c r="J16" i="4"/>
  <c r="S263" i="5"/>
  <c r="Q296" i="5"/>
  <c r="Q297" i="5"/>
  <c r="H17" i="3"/>
  <c r="H18" i="3" s="1"/>
  <c r="I17" i="4"/>
  <c r="T255" i="5"/>
  <c r="T257" i="5"/>
  <c r="T256" i="5"/>
  <c r="N36" i="17"/>
  <c r="N33" i="17"/>
  <c r="N15" i="17"/>
  <c r="W209" i="5"/>
  <c r="T160" i="17"/>
  <c r="T141" i="17"/>
  <c r="W193" i="5"/>
  <c r="V54" i="5"/>
  <c r="V25" i="5"/>
  <c r="V83" i="5"/>
  <c r="W6" i="5"/>
  <c r="G18" i="3"/>
  <c r="N79" i="17"/>
  <c r="S292" i="5"/>
  <c r="S285" i="5"/>
  <c r="M23" i="3"/>
  <c r="T251" i="5"/>
  <c r="R266" i="5"/>
  <c r="P14" i="17" s="1"/>
  <c r="P34" i="17" s="1"/>
  <c r="R265" i="5"/>
  <c r="T288" i="5"/>
  <c r="T289" i="5"/>
  <c r="T293" i="5" s="1"/>
  <c r="T317" i="5"/>
  <c r="R8" i="17"/>
  <c r="T318" i="5"/>
  <c r="R10" i="17" s="1"/>
  <c r="L46" i="17"/>
  <c r="L47" i="17"/>
  <c r="L44" i="17"/>
  <c r="L45" i="17"/>
  <c r="L22" i="17"/>
  <c r="U275" i="5"/>
  <c r="U273" i="5"/>
  <c r="U279" i="5"/>
  <c r="U272" i="5"/>
  <c r="U278" i="5"/>
  <c r="T283" i="5"/>
  <c r="T280" i="5"/>
  <c r="V304" i="5"/>
  <c r="U313" i="5"/>
  <c r="U314" i="5" s="1"/>
  <c r="U316" i="5" s="1"/>
  <c r="L15" i="4"/>
  <c r="K15" i="3"/>
  <c r="L12" i="4"/>
  <c r="N22" i="3"/>
  <c r="S21" i="17"/>
  <c r="S52" i="17" s="1"/>
  <c r="S61" i="17" s="1"/>
  <c r="O20" i="4"/>
  <c r="R53" i="17"/>
  <c r="R78" i="17" s="1"/>
  <c r="R79" i="17" s="1"/>
  <c r="R60" i="17"/>
  <c r="P61" i="17"/>
  <c r="P53" i="17"/>
  <c r="E39" i="3"/>
  <c r="J92" i="17"/>
  <c r="M42" i="3"/>
  <c r="R95" i="17"/>
  <c r="R105" i="17" s="1"/>
  <c r="N34" i="4" s="1"/>
  <c r="N80" i="4" s="1"/>
  <c r="K10" i="3"/>
  <c r="Q267" i="5"/>
  <c r="Q224" i="5" s="1"/>
  <c r="O13" i="17"/>
  <c r="N105" i="17"/>
  <c r="J34" i="4" s="1"/>
  <c r="U122" i="17"/>
  <c r="X177" i="5"/>
  <c r="U99" i="5"/>
  <c r="U98" i="5"/>
  <c r="U97" i="5"/>
  <c r="T68" i="5"/>
  <c r="T100" i="5"/>
  <c r="O21" i="19"/>
  <c r="O32" i="19" s="1"/>
  <c r="Q18" i="19"/>
  <c r="Q19" i="19"/>
  <c r="Q20" i="19"/>
  <c r="L23" i="4"/>
  <c r="L24" i="4" s="1"/>
  <c r="N55" i="12"/>
  <c r="P18" i="19"/>
  <c r="P19" i="19"/>
  <c r="P20" i="19"/>
  <c r="M22" i="4"/>
  <c r="O54" i="12"/>
  <c r="N28" i="19"/>
  <c r="P90" i="17"/>
  <c r="K37" i="3"/>
  <c r="M34" i="19"/>
  <c r="Q99" i="4"/>
  <c r="J57" i="17"/>
  <c r="J62" i="17"/>
  <c r="J74" i="17"/>
  <c r="F38" i="3"/>
  <c r="K91" i="17"/>
  <c r="L91" i="17"/>
  <c r="G38" i="3"/>
  <c r="O27" i="19"/>
  <c r="O33" i="19" s="1"/>
  <c r="N33" i="19"/>
  <c r="R47" i="12"/>
  <c r="R141" i="12" s="1"/>
  <c r="P56" i="4" s="1"/>
  <c r="R65" i="12" s="1"/>
  <c r="R99" i="12"/>
  <c r="R123" i="12" s="1"/>
  <c r="S4" i="12"/>
  <c r="S84" i="12" s="1"/>
  <c r="R36" i="12"/>
  <c r="R105" i="12" s="1"/>
  <c r="P58" i="4" s="1"/>
  <c r="R66" i="12" s="1"/>
  <c r="Q169" i="12"/>
  <c r="Q170" i="12" s="1"/>
  <c r="O66" i="4"/>
  <c r="L110" i="12"/>
  <c r="L38" i="12"/>
  <c r="L120" i="12"/>
  <c r="L276" i="11"/>
  <c r="S277" i="11"/>
  <c r="T275" i="11" s="1"/>
  <c r="T277" i="11" s="1"/>
  <c r="U275" i="11" s="1"/>
  <c r="U277" i="11" s="1"/>
  <c r="V275" i="11" s="1"/>
  <c r="V277" i="11" s="1"/>
  <c r="W275" i="11" s="1"/>
  <c r="W277" i="11" s="1"/>
  <c r="X275" i="11" s="1"/>
  <c r="X277" i="11" s="1"/>
  <c r="Y275" i="11" s="1"/>
  <c r="Y277" i="11" s="1"/>
  <c r="Z275" i="11" s="1"/>
  <c r="Z277" i="11" s="1"/>
  <c r="Z298" i="11"/>
  <c r="S48" i="3" s="1"/>
  <c r="O269" i="11"/>
  <c r="O319" i="11" s="1"/>
  <c r="O320" i="11" s="1"/>
  <c r="P262" i="11"/>
  <c r="P264" i="11" s="1"/>
  <c r="Y304" i="11"/>
  <c r="Y305" i="11" s="1"/>
  <c r="R48" i="3"/>
  <c r="C47" i="16"/>
  <c r="H47" i="12"/>
  <c r="N279" i="11"/>
  <c r="N286" i="11" s="1"/>
  <c r="O272" i="11"/>
  <c r="O274" i="11" s="1"/>
  <c r="R259" i="11"/>
  <c r="R314" i="11" s="1"/>
  <c r="R315" i="11" s="1"/>
  <c r="S252" i="11"/>
  <c r="S254" i="11" s="1"/>
  <c r="R5" i="4"/>
  <c r="R39" i="4" s="1"/>
  <c r="Q53" i="4"/>
  <c r="R4" i="19"/>
  <c r="Q25" i="19"/>
  <c r="Q24" i="19"/>
  <c r="Q26" i="19"/>
  <c r="P27" i="19"/>
  <c r="U4" i="17"/>
  <c r="T86" i="17"/>
  <c r="M37" i="17" l="1"/>
  <c r="M22" i="17"/>
  <c r="R297" i="5"/>
  <c r="P18" i="17" s="1"/>
  <c r="P42" i="17" s="1"/>
  <c r="R296" i="5"/>
  <c r="T21" i="5"/>
  <c r="T169" i="5"/>
  <c r="U162" i="5"/>
  <c r="V160" i="5"/>
  <c r="V159" i="5"/>
  <c r="V161" i="5"/>
  <c r="V128" i="5"/>
  <c r="V127" i="5"/>
  <c r="N37" i="17"/>
  <c r="N57" i="17" s="1"/>
  <c r="U39" i="5"/>
  <c r="U174" i="5" s="1"/>
  <c r="L15" i="3"/>
  <c r="M15" i="4"/>
  <c r="T167" i="5"/>
  <c r="M9" i="3" s="1"/>
  <c r="T19" i="5"/>
  <c r="N11" i="4" s="1"/>
  <c r="T260" i="5"/>
  <c r="T261" i="5"/>
  <c r="F39" i="3"/>
  <c r="F43" i="3" s="1"/>
  <c r="K92" i="17"/>
  <c r="K63" i="17"/>
  <c r="K69" i="17"/>
  <c r="K70" i="17" s="1"/>
  <c r="I18" i="3"/>
  <c r="T262" i="5"/>
  <c r="U284" i="5"/>
  <c r="R9" i="17"/>
  <c r="R11" i="17" s="1"/>
  <c r="R28" i="17" s="1"/>
  <c r="R29" i="17" s="1"/>
  <c r="R56" i="17" s="1"/>
  <c r="T319" i="5"/>
  <c r="T223" i="5" s="1"/>
  <c r="N22" i="17"/>
  <c r="J102" i="17"/>
  <c r="F31" i="4" s="1"/>
  <c r="F78" i="4" s="1"/>
  <c r="M41" i="3"/>
  <c r="R94" i="17"/>
  <c r="R104" i="17" s="1"/>
  <c r="N33" i="4" s="1"/>
  <c r="N79" i="4" s="1"/>
  <c r="Q90" i="17"/>
  <c r="Q100" i="17" s="1"/>
  <c r="M29" i="4" s="1"/>
  <c r="L37" i="3"/>
  <c r="U68" i="5"/>
  <c r="U190" i="5" s="1"/>
  <c r="W231" i="5"/>
  <c r="V233" i="5"/>
  <c r="V232" i="5"/>
  <c r="V250" i="5" s="1"/>
  <c r="V235" i="5"/>
  <c r="T190" i="5"/>
  <c r="U288" i="5"/>
  <c r="U289" i="5"/>
  <c r="U250" i="5"/>
  <c r="K42" i="3"/>
  <c r="P95" i="17"/>
  <c r="Q105" i="17" s="1"/>
  <c r="M34" i="4" s="1"/>
  <c r="M80" i="4" s="1"/>
  <c r="V275" i="5"/>
  <c r="V273" i="5"/>
  <c r="V272" i="5"/>
  <c r="V279" i="5"/>
  <c r="V278" i="5"/>
  <c r="S294" i="5"/>
  <c r="N45" i="17"/>
  <c r="N46" i="17"/>
  <c r="N47" i="17"/>
  <c r="N44" i="17"/>
  <c r="Y177" i="5"/>
  <c r="V122" i="17"/>
  <c r="U317" i="5"/>
  <c r="S9" i="17" s="1"/>
  <c r="S8" i="17"/>
  <c r="U318" i="5"/>
  <c r="S10" i="17" s="1"/>
  <c r="X193" i="5"/>
  <c r="U141" i="17"/>
  <c r="U283" i="5"/>
  <c r="U280" i="5"/>
  <c r="O36" i="17"/>
  <c r="O15" i="17"/>
  <c r="O33" i="17"/>
  <c r="N42" i="3"/>
  <c r="S95" i="17"/>
  <c r="S105" i="17" s="1"/>
  <c r="O34" i="4" s="1"/>
  <c r="O80" i="4" s="1"/>
  <c r="W304" i="5"/>
  <c r="V313" i="5"/>
  <c r="V314" i="5" s="1"/>
  <c r="V316" i="5" s="1"/>
  <c r="W83" i="5"/>
  <c r="X6" i="5"/>
  <c r="W54" i="5"/>
  <c r="W25" i="5"/>
  <c r="M44" i="17"/>
  <c r="M47" i="17"/>
  <c r="M46" i="17"/>
  <c r="M45" i="17"/>
  <c r="U249" i="5"/>
  <c r="M57" i="17"/>
  <c r="N23" i="3"/>
  <c r="T20" i="5"/>
  <c r="T168" i="5"/>
  <c r="J16" i="3"/>
  <c r="K16" i="4"/>
  <c r="V97" i="5"/>
  <c r="V99" i="5"/>
  <c r="V98" i="5"/>
  <c r="O18" i="17"/>
  <c r="V246" i="5"/>
  <c r="S53" i="17"/>
  <c r="S78" i="17" s="1"/>
  <c r="S79" i="17" s="1"/>
  <c r="S60" i="17"/>
  <c r="P78" i="17"/>
  <c r="U160" i="17"/>
  <c r="X209" i="5"/>
  <c r="J80" i="4"/>
  <c r="P100" i="17"/>
  <c r="L29" i="4" s="1"/>
  <c r="L76" i="4" s="1"/>
  <c r="U100" i="5"/>
  <c r="T285" i="5"/>
  <c r="T292" i="5"/>
  <c r="T294" i="5" s="1"/>
  <c r="V38" i="5"/>
  <c r="V67" i="5"/>
  <c r="V66" i="5"/>
  <c r="V37" i="5"/>
  <c r="Q298" i="5"/>
  <c r="Q225" i="5" s="1"/>
  <c r="Q226" i="5" s="1"/>
  <c r="Q9" i="5" s="1"/>
  <c r="O17" i="17"/>
  <c r="T21" i="17"/>
  <c r="T52" i="17" s="1"/>
  <c r="T61" i="17" s="1"/>
  <c r="O22" i="3"/>
  <c r="P20" i="4"/>
  <c r="L48" i="17"/>
  <c r="U256" i="5"/>
  <c r="U255" i="5"/>
  <c r="U257" i="5"/>
  <c r="U262" i="5" s="1"/>
  <c r="V142" i="5"/>
  <c r="V143" i="5"/>
  <c r="S266" i="5"/>
  <c r="Q14" i="17" s="1"/>
  <c r="Q34" i="17" s="1"/>
  <c r="S265" i="5"/>
  <c r="W238" i="5"/>
  <c r="W243" i="5"/>
  <c r="W244" i="5"/>
  <c r="W250" i="5" s="1"/>
  <c r="W271" i="5"/>
  <c r="W330" i="5"/>
  <c r="W331" i="5" s="1"/>
  <c r="W335" i="5" s="1"/>
  <c r="W336" i="5" s="1"/>
  <c r="W324" i="5" s="1"/>
  <c r="X4" i="5"/>
  <c r="W239" i="5"/>
  <c r="W245" i="5"/>
  <c r="W251" i="5" s="1"/>
  <c r="W340" i="5"/>
  <c r="W341" i="5" s="1"/>
  <c r="W345" i="5" s="1"/>
  <c r="W346" i="5" s="1"/>
  <c r="W325" i="5" s="1"/>
  <c r="W240" i="5"/>
  <c r="T252" i="5"/>
  <c r="P13" i="17"/>
  <c r="R267" i="5"/>
  <c r="R224" i="5" s="1"/>
  <c r="P19" i="4"/>
  <c r="V326" i="5"/>
  <c r="V10" i="5" s="1"/>
  <c r="O21" i="3"/>
  <c r="T20" i="17"/>
  <c r="T51" i="17" s="1"/>
  <c r="U144" i="5"/>
  <c r="U129" i="5"/>
  <c r="Q21" i="19"/>
  <c r="Q32" i="19" s="1"/>
  <c r="P22" i="4" s="1"/>
  <c r="P21" i="19"/>
  <c r="P32" i="19" s="1"/>
  <c r="R18" i="19"/>
  <c r="R19" i="19"/>
  <c r="R20" i="19"/>
  <c r="M23" i="4"/>
  <c r="M24" i="4" s="1"/>
  <c r="O55" i="12"/>
  <c r="O34" i="19"/>
  <c r="P55" i="12"/>
  <c r="N22" i="4"/>
  <c r="P54" i="12"/>
  <c r="R99" i="4"/>
  <c r="L101" i="17"/>
  <c r="H30" i="4" s="1"/>
  <c r="N23" i="4"/>
  <c r="O28" i="19"/>
  <c r="J75" i="17"/>
  <c r="E38" i="3"/>
  <c r="J91" i="17"/>
  <c r="J69" i="17"/>
  <c r="J63" i="17"/>
  <c r="N34" i="19"/>
  <c r="S47" i="12"/>
  <c r="S141" i="12" s="1"/>
  <c r="Q56" i="4" s="1"/>
  <c r="S65" i="12" s="1"/>
  <c r="S99" i="12"/>
  <c r="S123" i="12" s="1"/>
  <c r="T4" i="12"/>
  <c r="T84" i="12" s="1"/>
  <c r="S36" i="12"/>
  <c r="S105" i="12" s="1"/>
  <c r="Q58" i="4" s="1"/>
  <c r="S66" i="12" s="1"/>
  <c r="R169" i="12"/>
  <c r="R170" i="12" s="1"/>
  <c r="P66" i="4"/>
  <c r="J61" i="4"/>
  <c r="L67" i="12" s="1"/>
  <c r="J63" i="4"/>
  <c r="M35" i="12"/>
  <c r="L115" i="12"/>
  <c r="Z304" i="11"/>
  <c r="Z305" i="11" s="1"/>
  <c r="P272" i="11"/>
  <c r="P274" i="11" s="1"/>
  <c r="O279" i="11"/>
  <c r="O286" i="11" s="1"/>
  <c r="H141" i="12"/>
  <c r="H48" i="12"/>
  <c r="I46" i="12" s="1"/>
  <c r="I48" i="12" s="1"/>
  <c r="J46" i="12" s="1"/>
  <c r="J48" i="12" s="1"/>
  <c r="K46" i="12" s="1"/>
  <c r="K48" i="12" s="1"/>
  <c r="L46" i="12" s="1"/>
  <c r="L48" i="12" s="1"/>
  <c r="M46" i="12" s="1"/>
  <c r="M48" i="12" s="1"/>
  <c r="N46" i="12" s="1"/>
  <c r="N48" i="12" s="1"/>
  <c r="O46" i="12" s="1"/>
  <c r="O48" i="12" s="1"/>
  <c r="P46" i="12" s="1"/>
  <c r="P48" i="12" s="1"/>
  <c r="Q46" i="12" s="1"/>
  <c r="Q48" i="12" s="1"/>
  <c r="R46" i="12" s="1"/>
  <c r="R48" i="12" s="1"/>
  <c r="S46" i="12" s="1"/>
  <c r="Q262" i="11"/>
  <c r="Q264" i="11" s="1"/>
  <c r="P269" i="11"/>
  <c r="P319" i="11" s="1"/>
  <c r="P320" i="11" s="1"/>
  <c r="S259" i="11"/>
  <c r="S314" i="11" s="1"/>
  <c r="S315" i="11" s="1"/>
  <c r="T252" i="11"/>
  <c r="T254" i="11" s="1"/>
  <c r="P33" i="19"/>
  <c r="Q55" i="12" s="1"/>
  <c r="R25" i="19"/>
  <c r="R24" i="19"/>
  <c r="S4" i="19"/>
  <c r="R26" i="19"/>
  <c r="Q27" i="19"/>
  <c r="S5" i="4"/>
  <c r="S39" i="4" s="1"/>
  <c r="R53" i="4"/>
  <c r="V4" i="17"/>
  <c r="U86" i="17"/>
  <c r="V284" i="5" l="1"/>
  <c r="R298" i="5"/>
  <c r="R225" i="5" s="1"/>
  <c r="P17" i="17"/>
  <c r="U21" i="5"/>
  <c r="U169" i="5"/>
  <c r="V162" i="5"/>
  <c r="W159" i="5"/>
  <c r="W161" i="5"/>
  <c r="W160" i="5"/>
  <c r="V68" i="5"/>
  <c r="V190" i="5" s="1"/>
  <c r="W128" i="5"/>
  <c r="W127" i="5"/>
  <c r="M76" i="4"/>
  <c r="K96" i="17"/>
  <c r="K102" i="17"/>
  <c r="G31" i="4" s="1"/>
  <c r="G78" i="4" s="1"/>
  <c r="T263" i="5"/>
  <c r="U293" i="5"/>
  <c r="M15" i="3"/>
  <c r="N15" i="4"/>
  <c r="N48" i="17"/>
  <c r="V129" i="5"/>
  <c r="V249" i="5"/>
  <c r="V251" i="5"/>
  <c r="M48" i="17"/>
  <c r="O22" i="4"/>
  <c r="Q54" i="12"/>
  <c r="P28" i="19"/>
  <c r="R54" i="12"/>
  <c r="M10" i="3"/>
  <c r="W37" i="5"/>
  <c r="W67" i="5"/>
  <c r="W38" i="5"/>
  <c r="W66" i="5"/>
  <c r="S11" i="17"/>
  <c r="S28" i="17" s="1"/>
  <c r="S29" i="17" s="1"/>
  <c r="S56" i="17" s="1"/>
  <c r="L16" i="4"/>
  <c r="K16" i="3"/>
  <c r="P15" i="17"/>
  <c r="P33" i="17"/>
  <c r="P36" i="17"/>
  <c r="Y209" i="5"/>
  <c r="V160" i="17"/>
  <c r="N12" i="4"/>
  <c r="W142" i="5"/>
  <c r="W143" i="5"/>
  <c r="V39" i="5"/>
  <c r="V174" i="5" s="1"/>
  <c r="V288" i="5"/>
  <c r="V289" i="5"/>
  <c r="W249" i="5"/>
  <c r="W252" i="5" s="1"/>
  <c r="W246" i="5"/>
  <c r="I38" i="3"/>
  <c r="N91" i="17"/>
  <c r="W97" i="5"/>
  <c r="W98" i="5"/>
  <c r="W99" i="5"/>
  <c r="U292" i="5"/>
  <c r="U285" i="5"/>
  <c r="S296" i="5"/>
  <c r="S297" i="5"/>
  <c r="W326" i="5"/>
  <c r="W10" i="5" s="1"/>
  <c r="Q19" i="4"/>
  <c r="P21" i="3"/>
  <c r="U20" i="17"/>
  <c r="U51" i="17" s="1"/>
  <c r="L58" i="17"/>
  <c r="L74" i="17"/>
  <c r="L75" i="17" s="1"/>
  <c r="L62" i="17"/>
  <c r="X54" i="5"/>
  <c r="X25" i="5"/>
  <c r="Y6" i="5"/>
  <c r="X83" i="5"/>
  <c r="Q13" i="17"/>
  <c r="S267" i="5"/>
  <c r="S224" i="5" s="1"/>
  <c r="O42" i="17"/>
  <c r="W273" i="5"/>
  <c r="W275" i="5"/>
  <c r="W278" i="5"/>
  <c r="W279" i="5"/>
  <c r="W284" i="5" s="1"/>
  <c r="U19" i="5"/>
  <c r="U167" i="5"/>
  <c r="O42" i="3"/>
  <c r="T95" i="17"/>
  <c r="T105" i="17" s="1"/>
  <c r="P34" i="4" s="1"/>
  <c r="P80" i="4" s="1"/>
  <c r="T297" i="5"/>
  <c r="R18" i="17" s="1"/>
  <c r="R42" i="17" s="1"/>
  <c r="T296" i="5"/>
  <c r="V100" i="5"/>
  <c r="H38" i="3"/>
  <c r="M91" i="17"/>
  <c r="V317" i="5"/>
  <c r="T8" i="17"/>
  <c r="V318" i="5"/>
  <c r="T10" i="17" s="1"/>
  <c r="Y193" i="5"/>
  <c r="V141" i="17"/>
  <c r="P105" i="17"/>
  <c r="L34" i="4" s="1"/>
  <c r="U260" i="5"/>
  <c r="U252" i="5"/>
  <c r="X304" i="5"/>
  <c r="W313" i="5"/>
  <c r="W314" i="5" s="1"/>
  <c r="W316" i="5" s="1"/>
  <c r="W122" i="17"/>
  <c r="Z177" i="5"/>
  <c r="X122" i="17" s="1"/>
  <c r="V257" i="5"/>
  <c r="V256" i="5"/>
  <c r="V261" i="5" s="1"/>
  <c r="V255" i="5"/>
  <c r="U168" i="5"/>
  <c r="N10" i="3" s="1"/>
  <c r="U20" i="5"/>
  <c r="O12" i="4" s="1"/>
  <c r="X231" i="5"/>
  <c r="W235" i="5"/>
  <c r="W233" i="5"/>
  <c r="T60" i="17"/>
  <c r="T53" i="17"/>
  <c r="V280" i="5"/>
  <c r="V283" i="5"/>
  <c r="P22" i="3"/>
  <c r="U21" i="17"/>
  <c r="U52" i="17" s="1"/>
  <c r="Q20" i="4"/>
  <c r="V144" i="5"/>
  <c r="P79" i="17"/>
  <c r="O41" i="17"/>
  <c r="O19" i="17"/>
  <c r="N41" i="3"/>
  <c r="S94" i="17"/>
  <c r="S104" i="17" s="1"/>
  <c r="O33" i="4" s="1"/>
  <c r="O79" i="4" s="1"/>
  <c r="O23" i="3"/>
  <c r="X340" i="5"/>
  <c r="X341" i="5" s="1"/>
  <c r="X345" i="5" s="1"/>
  <c r="X346" i="5" s="1"/>
  <c r="X325" i="5" s="1"/>
  <c r="X330" i="5"/>
  <c r="X331" i="5" s="1"/>
  <c r="X335" i="5" s="1"/>
  <c r="X336" i="5" s="1"/>
  <c r="X324" i="5" s="1"/>
  <c r="X238" i="5"/>
  <c r="X239" i="5"/>
  <c r="X244" i="5"/>
  <c r="X243" i="5"/>
  <c r="X245" i="5"/>
  <c r="Y4" i="5"/>
  <c r="X240" i="5"/>
  <c r="X271" i="5"/>
  <c r="J17" i="3"/>
  <c r="J18" i="3" s="1"/>
  <c r="K17" i="4"/>
  <c r="O37" i="17"/>
  <c r="U319" i="5"/>
  <c r="U223" i="5" s="1"/>
  <c r="U261" i="5"/>
  <c r="N24" i="4"/>
  <c r="R21" i="19"/>
  <c r="S20" i="19"/>
  <c r="S19" i="19"/>
  <c r="S18" i="19"/>
  <c r="R90" i="17"/>
  <c r="M37" i="3"/>
  <c r="L68" i="12"/>
  <c r="H77" i="4"/>
  <c r="S99" i="4"/>
  <c r="J70" i="17"/>
  <c r="J101" i="17"/>
  <c r="J96" i="17"/>
  <c r="K101" i="17"/>
  <c r="E43" i="3"/>
  <c r="S169" i="12"/>
  <c r="S170" i="12" s="1"/>
  <c r="Q66" i="4"/>
  <c r="T99" i="12"/>
  <c r="T123" i="12" s="1"/>
  <c r="U4" i="12"/>
  <c r="U84" i="12" s="1"/>
  <c r="T36" i="12"/>
  <c r="T105" i="12" s="1"/>
  <c r="R58" i="4" s="1"/>
  <c r="T66" i="12" s="1"/>
  <c r="T47" i="12"/>
  <c r="S48" i="12"/>
  <c r="T46" i="12" s="1"/>
  <c r="M37" i="12"/>
  <c r="M40" i="12"/>
  <c r="Q269" i="11"/>
  <c r="Q319" i="11" s="1"/>
  <c r="Q320" i="11" s="1"/>
  <c r="R262" i="11"/>
  <c r="R264" i="11" s="1"/>
  <c r="F56" i="4"/>
  <c r="H65" i="12" s="1"/>
  <c r="Q272" i="11"/>
  <c r="Q274" i="11" s="1"/>
  <c r="P279" i="11"/>
  <c r="P286" i="11" s="1"/>
  <c r="T259" i="11"/>
  <c r="T314" i="11" s="1"/>
  <c r="T315" i="11" s="1"/>
  <c r="U252" i="11"/>
  <c r="U254" i="11" s="1"/>
  <c r="R27" i="19"/>
  <c r="T5" i="4"/>
  <c r="S53" i="4"/>
  <c r="Q33" i="19"/>
  <c r="R55" i="12" s="1"/>
  <c r="Q28" i="19"/>
  <c r="S24" i="19"/>
  <c r="T4" i="19"/>
  <c r="S25" i="19"/>
  <c r="S26" i="19"/>
  <c r="O23" i="4"/>
  <c r="P34" i="19"/>
  <c r="W4" i="17"/>
  <c r="V86" i="17"/>
  <c r="V293" i="5" l="1"/>
  <c r="R226" i="5"/>
  <c r="R9" i="5" s="1"/>
  <c r="L17" i="4"/>
  <c r="K17" i="3"/>
  <c r="K18" i="3" s="1"/>
  <c r="P41" i="17"/>
  <c r="P19" i="17"/>
  <c r="V169" i="5"/>
  <c r="V21" i="5"/>
  <c r="W162" i="5"/>
  <c r="X161" i="5"/>
  <c r="X159" i="5"/>
  <c r="X160" i="5"/>
  <c r="X128" i="5"/>
  <c r="X127" i="5"/>
  <c r="X129" i="5" s="1"/>
  <c r="N74" i="17"/>
  <c r="N75" i="17" s="1"/>
  <c r="N58" i="17"/>
  <c r="N62" i="17"/>
  <c r="M58" i="17"/>
  <c r="M74" i="17"/>
  <c r="M75" i="17" s="1"/>
  <c r="M62" i="17"/>
  <c r="V252" i="5"/>
  <c r="T266" i="5"/>
  <c r="R14" i="17" s="1"/>
  <c r="R34" i="17" s="1"/>
  <c r="T265" i="5"/>
  <c r="U294" i="5"/>
  <c r="V262" i="5"/>
  <c r="V260" i="5"/>
  <c r="V263" i="5" s="1"/>
  <c r="V265" i="5" s="1"/>
  <c r="V19" i="5"/>
  <c r="P11" i="4" s="1"/>
  <c r="V167" i="5"/>
  <c r="O9" i="3" s="1"/>
  <c r="P23" i="3"/>
  <c r="P22" i="17"/>
  <c r="T9" i="17"/>
  <c r="T11" i="17" s="1"/>
  <c r="T28" i="17" s="1"/>
  <c r="T29" i="17" s="1"/>
  <c r="T56" i="17" s="1"/>
  <c r="V319" i="5"/>
  <c r="V223" i="5" s="1"/>
  <c r="W144" i="5"/>
  <c r="W68" i="5"/>
  <c r="W190" i="5" s="1"/>
  <c r="U263" i="5"/>
  <c r="U266" i="5" s="1"/>
  <c r="S14" i="17" s="1"/>
  <c r="S34" i="17" s="1"/>
  <c r="N101" i="17"/>
  <c r="J30" i="4" s="1"/>
  <c r="P37" i="17"/>
  <c r="P57" i="17" s="1"/>
  <c r="O47" i="17"/>
  <c r="O45" i="17"/>
  <c r="O44" i="17"/>
  <c r="O46" i="17"/>
  <c r="O22" i="17"/>
  <c r="L92" i="17"/>
  <c r="G39" i="3"/>
  <c r="R19" i="4"/>
  <c r="Q21" i="3"/>
  <c r="V20" i="17"/>
  <c r="V51" i="17" s="1"/>
  <c r="X326" i="5"/>
  <c r="X10" i="5" s="1"/>
  <c r="T78" i="17"/>
  <c r="L80" i="4"/>
  <c r="U53" i="17"/>
  <c r="U78" i="17" s="1"/>
  <c r="U79" i="17" s="1"/>
  <c r="U60" i="17"/>
  <c r="O57" i="17"/>
  <c r="W289" i="5"/>
  <c r="W293" i="5" s="1"/>
  <c r="W288" i="5"/>
  <c r="Q22" i="3"/>
  <c r="V21" i="17"/>
  <c r="V52" i="17" s="1"/>
  <c r="V61" i="17" s="1"/>
  <c r="R20" i="4"/>
  <c r="T94" i="17"/>
  <c r="T104" i="17" s="1"/>
  <c r="P33" i="4" s="1"/>
  <c r="P79" i="4" s="1"/>
  <c r="O41" i="3"/>
  <c r="W100" i="5"/>
  <c r="W257" i="5"/>
  <c r="W262" i="5" s="1"/>
  <c r="W256" i="5"/>
  <c r="W261" i="5" s="1"/>
  <c r="W255" i="5"/>
  <c r="W260" i="5" s="1"/>
  <c r="Z193" i="5"/>
  <c r="X141" i="17" s="1"/>
  <c r="W141" i="17"/>
  <c r="M16" i="4"/>
  <c r="L16" i="3"/>
  <c r="V20" i="5"/>
  <c r="P12" i="4" s="1"/>
  <c r="V168" i="5"/>
  <c r="P47" i="17"/>
  <c r="P46" i="17"/>
  <c r="P45" i="17"/>
  <c r="P44" i="17"/>
  <c r="Q36" i="17"/>
  <c r="Q15" i="17"/>
  <c r="Q33" i="17"/>
  <c r="S90" i="17"/>
  <c r="S100" i="17" s="1"/>
  <c r="O29" i="4" s="1"/>
  <c r="N37" i="3"/>
  <c r="S21" i="19"/>
  <c r="S32" i="19" s="1"/>
  <c r="R22" i="4" s="1"/>
  <c r="L63" i="17"/>
  <c r="L69" i="17"/>
  <c r="L70" i="17" s="1"/>
  <c r="X273" i="5"/>
  <c r="X279" i="5"/>
  <c r="X272" i="5"/>
  <c r="X278" i="5"/>
  <c r="X275" i="5"/>
  <c r="Y231" i="5"/>
  <c r="X232" i="5"/>
  <c r="X251" i="5" s="1"/>
  <c r="X233" i="5"/>
  <c r="X235" i="5"/>
  <c r="N9" i="3"/>
  <c r="X98" i="5"/>
  <c r="X97" i="5"/>
  <c r="X99" i="5"/>
  <c r="Q18" i="17"/>
  <c r="U61" i="17"/>
  <c r="O11" i="4"/>
  <c r="Y54" i="5"/>
  <c r="Y25" i="5"/>
  <c r="Y83" i="5"/>
  <c r="Z6" i="5"/>
  <c r="Q17" i="17"/>
  <c r="S298" i="5"/>
  <c r="S225" i="5" s="1"/>
  <c r="W39" i="5"/>
  <c r="W174" i="5" s="1"/>
  <c r="M69" i="17"/>
  <c r="M70" i="17" s="1"/>
  <c r="M63" i="17"/>
  <c r="Y243" i="5"/>
  <c r="Y271" i="5"/>
  <c r="Y240" i="5"/>
  <c r="Y330" i="5"/>
  <c r="Y331" i="5" s="1"/>
  <c r="Y335" i="5" s="1"/>
  <c r="Y336" i="5" s="1"/>
  <c r="Y324" i="5" s="1"/>
  <c r="Y239" i="5"/>
  <c r="Y244" i="5"/>
  <c r="Y245" i="5"/>
  <c r="Y340" i="5"/>
  <c r="Y341" i="5" s="1"/>
  <c r="Y345" i="5" s="1"/>
  <c r="Y346" i="5" s="1"/>
  <c r="Y325" i="5" s="1"/>
  <c r="Z4" i="5"/>
  <c r="Y238" i="5"/>
  <c r="Y49" i="5" a="1"/>
  <c r="Y49" i="5" s="1"/>
  <c r="Y78" i="5" a="1"/>
  <c r="Y78" i="5" s="1"/>
  <c r="Y50" i="5" a="1"/>
  <c r="Y50" i="5" s="1"/>
  <c r="Y111" i="5" a="1"/>
  <c r="Y111" i="5" s="1"/>
  <c r="Y77" i="5" a="1"/>
  <c r="Y77" i="5" s="1"/>
  <c r="W74" i="5" a="1"/>
  <c r="W74" i="5" s="1"/>
  <c r="X67" i="5"/>
  <c r="X37" i="5"/>
  <c r="X38" i="5"/>
  <c r="X66" i="5"/>
  <c r="Z209" i="5"/>
  <c r="X160" i="17" s="1"/>
  <c r="W160" i="17"/>
  <c r="X246" i="5"/>
  <c r="V285" i="5"/>
  <c r="V292" i="5"/>
  <c r="V294" i="5" s="1"/>
  <c r="W317" i="5"/>
  <c r="U9" i="17" s="1"/>
  <c r="U8" i="17"/>
  <c r="W318" i="5"/>
  <c r="U10" i="17" s="1"/>
  <c r="M101" i="17"/>
  <c r="W280" i="5"/>
  <c r="W283" i="5"/>
  <c r="X142" i="5"/>
  <c r="X143" i="5"/>
  <c r="T298" i="5"/>
  <c r="T225" i="5" s="1"/>
  <c r="R17" i="17"/>
  <c r="O15" i="4"/>
  <c r="N15" i="3"/>
  <c r="Y304" i="5"/>
  <c r="X313" i="5"/>
  <c r="X314" i="5" s="1"/>
  <c r="X316" i="5" s="1"/>
  <c r="W129" i="5"/>
  <c r="T19" i="19"/>
  <c r="T20" i="19"/>
  <c r="T18" i="19"/>
  <c r="R32" i="19"/>
  <c r="R100" i="17"/>
  <c r="N29" i="4" s="1"/>
  <c r="T99" i="4"/>
  <c r="E99" i="4" s="1"/>
  <c r="T53" i="4"/>
  <c r="F30" i="4"/>
  <c r="F77" i="4" s="1"/>
  <c r="F81" i="4" s="1"/>
  <c r="J106" i="17"/>
  <c r="G30" i="4"/>
  <c r="K106" i="17"/>
  <c r="K110" i="17" s="1"/>
  <c r="K111" i="17" s="1"/>
  <c r="T48" i="12"/>
  <c r="U46" i="12" s="1"/>
  <c r="T141" i="12"/>
  <c r="U99" i="12"/>
  <c r="U123" i="12" s="1"/>
  <c r="V4" i="12"/>
  <c r="V84" i="12" s="1"/>
  <c r="U36" i="12"/>
  <c r="U47" i="12"/>
  <c r="U141" i="12" s="1"/>
  <c r="S56" i="4" s="1"/>
  <c r="U65" i="12" s="1"/>
  <c r="T169" i="12"/>
  <c r="T170" i="12" s="1"/>
  <c r="R66" i="4"/>
  <c r="M120" i="12"/>
  <c r="M110" i="12"/>
  <c r="M38" i="12"/>
  <c r="Q279" i="11"/>
  <c r="Q286" i="11" s="1"/>
  <c r="R272" i="11"/>
  <c r="R274" i="11" s="1"/>
  <c r="S262" i="11"/>
  <c r="S264" i="11" s="1"/>
  <c r="R269" i="11"/>
  <c r="R319" i="11" s="1"/>
  <c r="R320" i="11" s="1"/>
  <c r="U259" i="11"/>
  <c r="U314" i="11" s="1"/>
  <c r="U315" i="11" s="1"/>
  <c r="V252" i="11"/>
  <c r="V254" i="11" s="1"/>
  <c r="T24" i="19"/>
  <c r="U4" i="19"/>
  <c r="T25" i="19"/>
  <c r="T26" i="19"/>
  <c r="S27" i="19"/>
  <c r="R33" i="19"/>
  <c r="S55" i="12" s="1"/>
  <c r="R28" i="19"/>
  <c r="O24" i="4"/>
  <c r="P23" i="4"/>
  <c r="P24" i="4" s="1"/>
  <c r="Q34" i="19"/>
  <c r="X4" i="17"/>
  <c r="W86" i="17"/>
  <c r="N92" i="17" l="1"/>
  <c r="N96" i="17" s="1"/>
  <c r="I39" i="3"/>
  <c r="I43" i="3" s="1"/>
  <c r="W21" i="5"/>
  <c r="W169" i="5"/>
  <c r="X162" i="5"/>
  <c r="Y160" i="5"/>
  <c r="Y161" i="5"/>
  <c r="Y159" i="5"/>
  <c r="Y162" i="5" s="1"/>
  <c r="H39" i="3"/>
  <c r="H43" i="3" s="1"/>
  <c r="M92" i="17"/>
  <c r="Y128" i="5"/>
  <c r="Y127" i="5"/>
  <c r="O48" i="17"/>
  <c r="N69" i="17"/>
  <c r="N70" i="17" s="1"/>
  <c r="N63" i="17"/>
  <c r="Y79" i="5" a="1"/>
  <c r="Y79" i="5" s="1"/>
  <c r="Y48" i="5" a="1"/>
  <c r="Y48" i="5" s="1"/>
  <c r="M102" i="17"/>
  <c r="U297" i="5"/>
  <c r="S18" i="17" s="1"/>
  <c r="S42" i="17" s="1"/>
  <c r="U296" i="5"/>
  <c r="X249" i="5"/>
  <c r="X250" i="5"/>
  <c r="R13" i="17"/>
  <c r="T267" i="5"/>
  <c r="T224" i="5" s="1"/>
  <c r="P91" i="17"/>
  <c r="K38" i="3"/>
  <c r="W197" i="5" a="1"/>
  <c r="W197" i="5" s="1"/>
  <c r="W45" i="5" a="1"/>
  <c r="W45" i="5" s="1"/>
  <c r="W75" i="5" a="1"/>
  <c r="W75" i="5" s="1"/>
  <c r="W106" i="5" a="1"/>
  <c r="W106" i="5" s="1"/>
  <c r="W50" i="5" a="1"/>
  <c r="W50" i="5" s="1"/>
  <c r="X46" i="5" a="1"/>
  <c r="X46" i="5" s="1"/>
  <c r="P48" i="17"/>
  <c r="P15" i="4"/>
  <c r="O15" i="3"/>
  <c r="W20" i="5"/>
  <c r="Q12" i="4" s="1"/>
  <c r="W168" i="5"/>
  <c r="P10" i="3" s="1"/>
  <c r="W109" i="5" a="1"/>
  <c r="W109" i="5" s="1"/>
  <c r="W111" i="5" a="1"/>
  <c r="W111" i="5" s="1"/>
  <c r="U198" i="5" a="1"/>
  <c r="U198" i="5" s="1"/>
  <c r="O76" i="4"/>
  <c r="L96" i="17"/>
  <c r="L102" i="17"/>
  <c r="Y76" i="5" a="1"/>
  <c r="Y76" i="5" s="1"/>
  <c r="U183" i="5" a="1"/>
  <c r="U183" i="5" s="1"/>
  <c r="X144" i="5"/>
  <c r="X39" i="5"/>
  <c r="X174" i="5" s="1"/>
  <c r="V266" i="5"/>
  <c r="U265" i="5"/>
  <c r="Q37" i="17"/>
  <c r="Q57" i="17" s="1"/>
  <c r="T54" i="12"/>
  <c r="P58" i="17"/>
  <c r="P74" i="17"/>
  <c r="P75" i="17" s="1"/>
  <c r="P62" i="17"/>
  <c r="O58" i="17"/>
  <c r="O62" i="17"/>
  <c r="O74" i="17"/>
  <c r="O75" i="17" s="1"/>
  <c r="T79" i="17"/>
  <c r="X280" i="5"/>
  <c r="X283" i="5"/>
  <c r="P42" i="3"/>
  <c r="U95" i="17"/>
  <c r="U105" i="17" s="1"/>
  <c r="Q34" i="4" s="1"/>
  <c r="Y200" i="5" a="1"/>
  <c r="Y200" i="5" s="1"/>
  <c r="X284" i="5"/>
  <c r="U185" i="5" a="1"/>
  <c r="U185" i="5" s="1"/>
  <c r="V297" i="5"/>
  <c r="T18" i="17" s="1"/>
  <c r="T42" i="17" s="1"/>
  <c r="V296" i="5"/>
  <c r="W47" i="5" a="1"/>
  <c r="W47" i="5" s="1"/>
  <c r="W198" i="5" a="1"/>
  <c r="W198" i="5" s="1"/>
  <c r="S181" i="5" a="1"/>
  <c r="S181" i="5" s="1"/>
  <c r="Y196" i="5" a="1"/>
  <c r="Y196" i="5" s="1"/>
  <c r="Y106" i="5" a="1"/>
  <c r="Y106" i="5" s="1"/>
  <c r="X288" i="5"/>
  <c r="X289" i="5"/>
  <c r="V60" i="17"/>
  <c r="V53" i="17"/>
  <c r="V78" i="17" s="1"/>
  <c r="V79" i="17" s="1"/>
  <c r="U77" i="5" a="1"/>
  <c r="U77" i="5" s="1"/>
  <c r="W199" i="5" a="1"/>
  <c r="W199" i="5" s="1"/>
  <c r="Q111" i="5" a="1"/>
  <c r="Q111" i="5" s="1"/>
  <c r="U74" i="5" a="1"/>
  <c r="U74" i="5" s="1"/>
  <c r="U78" i="5" a="1"/>
  <c r="U78" i="5" s="1"/>
  <c r="U76" i="5" a="1"/>
  <c r="U76" i="5" s="1"/>
  <c r="V184" i="5" a="1"/>
  <c r="V184" i="5" s="1"/>
  <c r="Y201" i="5" a="1"/>
  <c r="Y201" i="5" s="1"/>
  <c r="Y108" i="5" a="1"/>
  <c r="Y108" i="5" s="1"/>
  <c r="L17" i="3"/>
  <c r="M17" i="4"/>
  <c r="S226" i="5"/>
  <c r="S9" i="5" s="1"/>
  <c r="Q23" i="3"/>
  <c r="X181" i="5" a="1"/>
  <c r="X181" i="5" s="1"/>
  <c r="Y182" i="5" a="1"/>
  <c r="Y182" i="5" s="1"/>
  <c r="P184" i="5" a="1"/>
  <c r="P184" i="5" s="1"/>
  <c r="W185" i="5" a="1"/>
  <c r="W185" i="5" s="1"/>
  <c r="Q201" i="5" a="1"/>
  <c r="Q201" i="5" s="1"/>
  <c r="W196" i="5" a="1"/>
  <c r="W196" i="5" s="1"/>
  <c r="U75" i="5" a="1"/>
  <c r="U75" i="5" s="1"/>
  <c r="Y199" i="5" a="1"/>
  <c r="Y199" i="5" s="1"/>
  <c r="Y184" i="5" a="1"/>
  <c r="Y184" i="5" s="1"/>
  <c r="Y109" i="5" a="1"/>
  <c r="Y109" i="5" s="1"/>
  <c r="Q41" i="17"/>
  <c r="Q19" i="17"/>
  <c r="Q22" i="17" s="1"/>
  <c r="X257" i="5"/>
  <c r="X262" i="5" s="1"/>
  <c r="X255" i="5"/>
  <c r="X256" i="5"/>
  <c r="L18" i="3"/>
  <c r="O91" i="17"/>
  <c r="J38" i="3"/>
  <c r="V111" i="5" a="1"/>
  <c r="V111" i="5" s="1"/>
  <c r="W285" i="5"/>
  <c r="W292" i="5"/>
  <c r="W294" i="5" s="1"/>
  <c r="W107" i="5" a="1"/>
  <c r="W107" i="5" s="1"/>
  <c r="W201" i="5" a="1"/>
  <c r="W201" i="5" s="1"/>
  <c r="W46" i="5" a="1"/>
  <c r="W46" i="5" s="1"/>
  <c r="W181" i="5" a="1"/>
  <c r="W181" i="5" s="1"/>
  <c r="Y180" i="5" a="1"/>
  <c r="Y180" i="5" s="1"/>
  <c r="Y198" i="5" a="1"/>
  <c r="Y198" i="5" s="1"/>
  <c r="Y46" i="5" a="1"/>
  <c r="Y46" i="5" s="1"/>
  <c r="R21" i="3"/>
  <c r="W20" i="17"/>
  <c r="W51" i="17" s="1"/>
  <c r="S19" i="4"/>
  <c r="Y326" i="5"/>
  <c r="Y10" i="5" s="1"/>
  <c r="Z54" i="5"/>
  <c r="Z25" i="5"/>
  <c r="Z83" i="5"/>
  <c r="U11" i="17"/>
  <c r="U28" i="17" s="1"/>
  <c r="U29" i="17" s="1"/>
  <c r="U56" i="17" s="1"/>
  <c r="W19" i="5"/>
  <c r="Q11" i="4" s="1"/>
  <c r="W167" i="5"/>
  <c r="W183" i="5" a="1"/>
  <c r="W183" i="5" s="1"/>
  <c r="W108" i="5" a="1"/>
  <c r="W108" i="5" s="1"/>
  <c r="V74" i="5" a="1"/>
  <c r="V74" i="5" s="1"/>
  <c r="W78" i="5" a="1"/>
  <c r="W78" i="5" s="1"/>
  <c r="Y185" i="5" a="1"/>
  <c r="Y185" i="5" s="1"/>
  <c r="Y197" i="5" a="1"/>
  <c r="Y197" i="5" s="1"/>
  <c r="Y98" i="5"/>
  <c r="Y99" i="5"/>
  <c r="Y97" i="5"/>
  <c r="Z231" i="5"/>
  <c r="Y233" i="5"/>
  <c r="Y232" i="5"/>
  <c r="Y235" i="5"/>
  <c r="Z243" i="5"/>
  <c r="Z340" i="5"/>
  <c r="Z341" i="5" s="1"/>
  <c r="Z345" i="5" s="1"/>
  <c r="Z346" i="5" s="1"/>
  <c r="Z244" i="5"/>
  <c r="Z245" i="5"/>
  <c r="Z239" i="5"/>
  <c r="Z240" i="5"/>
  <c r="Z330" i="5"/>
  <c r="Z331" i="5" s="1"/>
  <c r="Z335" i="5" s="1"/>
  <c r="Z336" i="5" s="1"/>
  <c r="Z271" i="5"/>
  <c r="Z238" i="5"/>
  <c r="Z110" i="5" a="1"/>
  <c r="Z110" i="5" s="1"/>
  <c r="Z47" i="5" a="1"/>
  <c r="Z47" i="5" s="1"/>
  <c r="Z75" i="5" a="1"/>
  <c r="Z75" i="5" s="1"/>
  <c r="Z48" i="5" a="1"/>
  <c r="Z48" i="5" s="1"/>
  <c r="Z109" i="5" a="1"/>
  <c r="Z109" i="5" s="1"/>
  <c r="Z197" i="5" a="1"/>
  <c r="Z197" i="5" s="1"/>
  <c r="Z108" i="5" a="1"/>
  <c r="Z108" i="5" s="1"/>
  <c r="Z46" i="5" a="1"/>
  <c r="Z46" i="5" s="1"/>
  <c r="Z49" i="5" a="1"/>
  <c r="Z49" i="5" s="1"/>
  <c r="Z182" i="5" a="1"/>
  <c r="Z182" i="5" s="1"/>
  <c r="Z79" i="5" a="1"/>
  <c r="Z79" i="5" s="1"/>
  <c r="Z74" i="5" a="1"/>
  <c r="Z74" i="5" s="1"/>
  <c r="Z183" i="5" a="1"/>
  <c r="Z183" i="5" s="1"/>
  <c r="Z107" i="5" a="1"/>
  <c r="Z107" i="5" s="1"/>
  <c r="Z106" i="5" a="1"/>
  <c r="Z106" i="5" s="1"/>
  <c r="Z76" i="5" a="1"/>
  <c r="Z76" i="5" s="1"/>
  <c r="Z78" i="5" a="1"/>
  <c r="Z78" i="5" s="1"/>
  <c r="Z200" i="5" a="1"/>
  <c r="Z200" i="5" s="1"/>
  <c r="Z77" i="5" a="1"/>
  <c r="Z77" i="5" s="1"/>
  <c r="Z181" i="5" a="1"/>
  <c r="Z181" i="5" s="1"/>
  <c r="Z184" i="5" a="1"/>
  <c r="Z184" i="5" s="1"/>
  <c r="Z50" i="5" a="1"/>
  <c r="Z50" i="5" s="1"/>
  <c r="Z198" i="5" a="1"/>
  <c r="Z198" i="5" s="1"/>
  <c r="Z196" i="5" a="1"/>
  <c r="Z196" i="5" s="1"/>
  <c r="Z45" i="5" a="1"/>
  <c r="Z45" i="5" s="1"/>
  <c r="Z111" i="5" a="1"/>
  <c r="Z111" i="5" s="1"/>
  <c r="Z201" i="5" a="1"/>
  <c r="Z201" i="5" s="1"/>
  <c r="Z185" i="5" a="1"/>
  <c r="Z185" i="5" s="1"/>
  <c r="Z199" i="5" a="1"/>
  <c r="Z199" i="5" s="1"/>
  <c r="Z180" i="5" a="1"/>
  <c r="Z180" i="5" s="1"/>
  <c r="Q48" i="5" a="1"/>
  <c r="Q48" i="5" s="1"/>
  <c r="O47" i="5" a="1"/>
  <c r="O47" i="5" s="1"/>
  <c r="O107" i="5" a="1"/>
  <c r="O107" i="5" s="1"/>
  <c r="P108" i="5" a="1"/>
  <c r="P108" i="5" s="1"/>
  <c r="O74" i="5" a="1"/>
  <c r="O74" i="5" s="1"/>
  <c r="G110" i="5"/>
  <c r="G45" i="5"/>
  <c r="G198" i="5"/>
  <c r="G74" i="5"/>
  <c r="O48" i="5" a="1"/>
  <c r="O48" i="5" s="1"/>
  <c r="G46" i="5"/>
  <c r="M46" i="5" a="1"/>
  <c r="M46" i="5" s="1"/>
  <c r="G79" i="5"/>
  <c r="O75" i="5" a="1"/>
  <c r="O75" i="5" s="1"/>
  <c r="L74" i="5" a="1"/>
  <c r="L74" i="5" s="1"/>
  <c r="R106" i="5" a="1"/>
  <c r="R106" i="5" s="1"/>
  <c r="L45" i="5" a="1"/>
  <c r="L45" i="5" s="1"/>
  <c r="P182" i="5" a="1"/>
  <c r="P182" i="5" s="1"/>
  <c r="M107" i="5" a="1"/>
  <c r="M107" i="5" s="1"/>
  <c r="P107" i="5" a="1"/>
  <c r="P107" i="5" s="1"/>
  <c r="R77" i="5" a="1"/>
  <c r="R77" i="5" s="1"/>
  <c r="M75" i="5" a="1"/>
  <c r="M75" i="5" s="1"/>
  <c r="G196" i="5"/>
  <c r="Q110" i="5" a="1"/>
  <c r="Q110" i="5" s="1"/>
  <c r="G108" i="5"/>
  <c r="O106" i="5" a="1"/>
  <c r="O106" i="5" s="1"/>
  <c r="N106" i="5" a="1"/>
  <c r="N106" i="5" s="1"/>
  <c r="N75" i="5" a="1"/>
  <c r="N75" i="5" s="1"/>
  <c r="P45" i="5" a="1"/>
  <c r="P45" i="5" s="1"/>
  <c r="M106" i="5" a="1"/>
  <c r="M106" i="5" s="1"/>
  <c r="G47" i="5"/>
  <c r="O197" i="5" a="1"/>
  <c r="O197" i="5" s="1"/>
  <c r="M181" i="5" a="1"/>
  <c r="M181" i="5" s="1"/>
  <c r="G106" i="5"/>
  <c r="P46" i="5" a="1"/>
  <c r="P46" i="5" s="1"/>
  <c r="P197" i="5" a="1"/>
  <c r="P197" i="5" s="1"/>
  <c r="G49" i="5"/>
  <c r="N197" i="5" a="1"/>
  <c r="N197" i="5" s="1"/>
  <c r="M45" i="5" a="1"/>
  <c r="M45" i="5" s="1"/>
  <c r="N74" i="5" a="1"/>
  <c r="N74" i="5" s="1"/>
  <c r="P76" i="5" a="1"/>
  <c r="P76" i="5" s="1"/>
  <c r="O183" i="5" a="1"/>
  <c r="O183" i="5" s="1"/>
  <c r="Q77" i="5" a="1"/>
  <c r="Q77" i="5" s="1"/>
  <c r="O46" i="5" a="1"/>
  <c r="O46" i="5" s="1"/>
  <c r="L106" i="5" a="1"/>
  <c r="L106" i="5" s="1"/>
  <c r="R49" i="5" a="1"/>
  <c r="R49" i="5" s="1"/>
  <c r="G75" i="5"/>
  <c r="Q49" i="5" a="1"/>
  <c r="Q49" i="5" s="1"/>
  <c r="O108" i="5" a="1"/>
  <c r="O108" i="5" s="1"/>
  <c r="G50" i="5"/>
  <c r="P109" i="5" a="1"/>
  <c r="P109" i="5" s="1"/>
  <c r="G77" i="5"/>
  <c r="O45" i="5" a="1"/>
  <c r="O45" i="5" s="1"/>
  <c r="P47" i="5" a="1"/>
  <c r="P47" i="5" s="1"/>
  <c r="P75" i="5" a="1"/>
  <c r="P75" i="5" s="1"/>
  <c r="G78" i="5"/>
  <c r="G76" i="5"/>
  <c r="S200" i="5" a="1"/>
  <c r="S200" i="5" s="1"/>
  <c r="S196" i="5" a="1"/>
  <c r="S196" i="5" s="1"/>
  <c r="P196" i="5" a="1"/>
  <c r="P196" i="5" s="1"/>
  <c r="N181" i="5" a="1"/>
  <c r="N181" i="5" s="1"/>
  <c r="O77" i="5" a="1"/>
  <c r="O77" i="5" s="1"/>
  <c r="O198" i="5" a="1"/>
  <c r="O198" i="5" s="1"/>
  <c r="U182" i="5" a="1"/>
  <c r="U182" i="5" s="1"/>
  <c r="R47" i="5" a="1"/>
  <c r="R47" i="5" s="1"/>
  <c r="U107" i="5" a="1"/>
  <c r="U107" i="5" s="1"/>
  <c r="N46" i="5" a="1"/>
  <c r="N46" i="5" s="1"/>
  <c r="T197" i="5" a="1"/>
  <c r="T197" i="5" s="1"/>
  <c r="N45" i="5" a="1"/>
  <c r="N45" i="5" s="1"/>
  <c r="V79" i="5" a="1"/>
  <c r="V79" i="5" s="1"/>
  <c r="S184" i="5" a="1"/>
  <c r="S184" i="5" s="1"/>
  <c r="T79" i="5" a="1"/>
  <c r="T79" i="5" s="1"/>
  <c r="G184" i="5"/>
  <c r="N108" i="5" a="1"/>
  <c r="N108" i="5" s="1"/>
  <c r="R79" i="5" a="1"/>
  <c r="R79" i="5" s="1"/>
  <c r="R108" i="5" a="1"/>
  <c r="R108" i="5" s="1"/>
  <c r="T47" i="5" a="1"/>
  <c r="T47" i="5" s="1"/>
  <c r="P74" i="5" a="1"/>
  <c r="P74" i="5" s="1"/>
  <c r="V196" i="5" a="1"/>
  <c r="V196" i="5" s="1"/>
  <c r="X109" i="5" a="1"/>
  <c r="X109" i="5" s="1"/>
  <c r="X196" i="5" a="1"/>
  <c r="X196" i="5" s="1"/>
  <c r="Q45" i="5" a="1"/>
  <c r="Q45" i="5" s="1"/>
  <c r="S109" i="5" a="1"/>
  <c r="S109" i="5" s="1"/>
  <c r="S45" i="5" a="1"/>
  <c r="S45" i="5" s="1"/>
  <c r="R181" i="5" a="1"/>
  <c r="R181" i="5" s="1"/>
  <c r="P49" i="5" a="1"/>
  <c r="P49" i="5" s="1"/>
  <c r="Q181" i="5" a="1"/>
  <c r="Q181" i="5" s="1"/>
  <c r="M197" i="5" a="1"/>
  <c r="M197" i="5" s="1"/>
  <c r="T108" i="5" a="1"/>
  <c r="T108" i="5" s="1"/>
  <c r="U45" i="5" a="1"/>
  <c r="U45" i="5" s="1"/>
  <c r="R46" i="5" a="1"/>
  <c r="R46" i="5" s="1"/>
  <c r="U197" i="5" a="1"/>
  <c r="U197" i="5" s="1"/>
  <c r="O180" i="5" a="1"/>
  <c r="O180" i="5" s="1"/>
  <c r="R201" i="5" a="1"/>
  <c r="R201" i="5" s="1"/>
  <c r="R183" i="5" a="1"/>
  <c r="R183" i="5" s="1"/>
  <c r="Q198" i="5" a="1"/>
  <c r="Q198" i="5" s="1"/>
  <c r="N182" i="5" a="1"/>
  <c r="N182" i="5" s="1"/>
  <c r="N107" i="5" a="1"/>
  <c r="N107" i="5" s="1"/>
  <c r="T200" i="5" a="1"/>
  <c r="T200" i="5" s="1"/>
  <c r="S183" i="5" a="1"/>
  <c r="S183" i="5" s="1"/>
  <c r="T49" i="5" a="1"/>
  <c r="T49" i="5" s="1"/>
  <c r="S182" i="5" a="1"/>
  <c r="S182" i="5" s="1"/>
  <c r="T76" i="5" a="1"/>
  <c r="T76" i="5" s="1"/>
  <c r="S50" i="5" a="1"/>
  <c r="S50" i="5" s="1"/>
  <c r="U184" i="5" a="1"/>
  <c r="U184" i="5" s="1"/>
  <c r="T109" i="5" a="1"/>
  <c r="T109" i="5" s="1"/>
  <c r="X108" i="5" a="1"/>
  <c r="X108" i="5" s="1"/>
  <c r="X45" i="5" a="1"/>
  <c r="X45" i="5" s="1"/>
  <c r="G185" i="5"/>
  <c r="V107" i="5" a="1"/>
  <c r="V107" i="5" s="1"/>
  <c r="Q185" i="5" a="1"/>
  <c r="Q185" i="5" s="1"/>
  <c r="Q74" i="5" a="1"/>
  <c r="Q74" i="5" s="1"/>
  <c r="T45" i="5" a="1"/>
  <c r="T45" i="5" s="1"/>
  <c r="R74" i="5" a="1"/>
  <c r="R74" i="5" s="1"/>
  <c r="U50" i="5" a="1"/>
  <c r="U50" i="5" s="1"/>
  <c r="P181" i="5" a="1"/>
  <c r="P181" i="5" s="1"/>
  <c r="G216" i="5"/>
  <c r="Q75" i="5" a="1"/>
  <c r="Q75" i="5" s="1"/>
  <c r="P200" i="5" a="1"/>
  <c r="P200" i="5" s="1"/>
  <c r="M74" i="5" a="1"/>
  <c r="M74" i="5" s="1"/>
  <c r="V182" i="5" a="1"/>
  <c r="V182" i="5" s="1"/>
  <c r="N47" i="5" a="1"/>
  <c r="N47" i="5" s="1"/>
  <c r="U46" i="5" a="1"/>
  <c r="U46" i="5" s="1"/>
  <c r="O109" i="5" a="1"/>
  <c r="O109" i="5" s="1"/>
  <c r="O181" i="5" a="1"/>
  <c r="O181" i="5" s="1"/>
  <c r="P183" i="5" a="1"/>
  <c r="P183" i="5" s="1"/>
  <c r="R107" i="5" a="1"/>
  <c r="R107" i="5" s="1"/>
  <c r="N198" i="5" a="1"/>
  <c r="N198" i="5" s="1"/>
  <c r="G199" i="5"/>
  <c r="R110" i="5" a="1"/>
  <c r="R110" i="5" s="1"/>
  <c r="X50" i="5" a="1"/>
  <c r="X50" i="5" s="1"/>
  <c r="V76" i="5" a="1"/>
  <c r="V76" i="5" s="1"/>
  <c r="P106" i="5" a="1"/>
  <c r="P106" i="5" s="1"/>
  <c r="X106" i="5" a="1"/>
  <c r="X106" i="5" s="1"/>
  <c r="X201" i="5" a="1"/>
  <c r="X201" i="5" s="1"/>
  <c r="Q184" i="5" a="1"/>
  <c r="Q184" i="5" s="1"/>
  <c r="V45" i="5" a="1"/>
  <c r="V45" i="5" s="1"/>
  <c r="Q200" i="5" a="1"/>
  <c r="Q200" i="5" s="1"/>
  <c r="R198" i="5" a="1"/>
  <c r="R198" i="5" s="1"/>
  <c r="U180" i="5" a="1"/>
  <c r="U180" i="5" s="1"/>
  <c r="T111" i="5" a="1"/>
  <c r="T111" i="5" s="1"/>
  <c r="U199" i="5" a="1"/>
  <c r="U199" i="5" s="1"/>
  <c r="P180" i="5" a="1"/>
  <c r="P180" i="5" s="1"/>
  <c r="V110" i="5" a="1"/>
  <c r="V110" i="5" s="1"/>
  <c r="Q183" i="5" a="1"/>
  <c r="Q183" i="5" s="1"/>
  <c r="G181" i="5"/>
  <c r="Q47" i="5" a="1"/>
  <c r="Q47" i="5" s="1"/>
  <c r="P48" i="5" a="1"/>
  <c r="P48" i="5" s="1"/>
  <c r="V75" i="5" a="1"/>
  <c r="V75" i="5" s="1"/>
  <c r="P77" i="5" a="1"/>
  <c r="P77" i="5" s="1"/>
  <c r="S79" i="5" a="1"/>
  <c r="S79" i="5" s="1"/>
  <c r="Q180" i="5" a="1"/>
  <c r="Q180" i="5" s="1"/>
  <c r="X78" i="5" a="1"/>
  <c r="X78" i="5" s="1"/>
  <c r="X111" i="5" a="1"/>
  <c r="X111" i="5" s="1"/>
  <c r="N76" i="5" a="1"/>
  <c r="N76" i="5" s="1"/>
  <c r="V180" i="5" a="1"/>
  <c r="V180" i="5" s="1"/>
  <c r="O182" i="5" a="1"/>
  <c r="O182" i="5" s="1"/>
  <c r="R180" i="5" a="1"/>
  <c r="R180" i="5" s="1"/>
  <c r="S198" i="5" a="1"/>
  <c r="S198" i="5" s="1"/>
  <c r="Q46" i="5" a="1"/>
  <c r="Q46" i="5" s="1"/>
  <c r="U110" i="5" a="1"/>
  <c r="U110" i="5" s="1"/>
  <c r="T180" i="5" a="1"/>
  <c r="T180" i="5" s="1"/>
  <c r="G215" i="5"/>
  <c r="R109" i="5" a="1"/>
  <c r="R109" i="5" s="1"/>
  <c r="V199" i="5" a="1"/>
  <c r="V199" i="5" s="1"/>
  <c r="R185" i="5" a="1"/>
  <c r="R185" i="5" s="1"/>
  <c r="G212" i="5"/>
  <c r="Q182" i="5" a="1"/>
  <c r="Q182" i="5" s="1"/>
  <c r="V49" i="5" a="1"/>
  <c r="V49" i="5" s="1"/>
  <c r="R111" i="5" a="1"/>
  <c r="R111" i="5" s="1"/>
  <c r="T198" i="5" a="1"/>
  <c r="T198" i="5" s="1"/>
  <c r="G213" i="5"/>
  <c r="V48" i="5" a="1"/>
  <c r="V48" i="5" s="1"/>
  <c r="X180" i="5" a="1"/>
  <c r="X180" i="5" s="1"/>
  <c r="G48" i="5"/>
  <c r="T201" i="5" a="1"/>
  <c r="T201" i="5" s="1"/>
  <c r="R78" i="5" a="1"/>
  <c r="R78" i="5" s="1"/>
  <c r="X48" i="5" a="1"/>
  <c r="X48" i="5" s="1"/>
  <c r="X79" i="5" a="1"/>
  <c r="X79" i="5" s="1"/>
  <c r="V197" i="5" a="1"/>
  <c r="V197" i="5" s="1"/>
  <c r="G107" i="5"/>
  <c r="O76" i="5" a="1"/>
  <c r="O76" i="5" s="1"/>
  <c r="S108" i="5" a="1"/>
  <c r="S108" i="5" s="1"/>
  <c r="T74" i="5" a="1"/>
  <c r="T74" i="5" s="1"/>
  <c r="U109" i="5" a="1"/>
  <c r="U109" i="5" s="1"/>
  <c r="S111" i="5" a="1"/>
  <c r="S111" i="5" s="1"/>
  <c r="R76" i="5" a="1"/>
  <c r="R76" i="5" s="1"/>
  <c r="T181" i="5" a="1"/>
  <c r="T181" i="5" s="1"/>
  <c r="Q199" i="5" a="1"/>
  <c r="Q199" i="5" s="1"/>
  <c r="G182" i="5"/>
  <c r="O199" i="5" a="1"/>
  <c r="O199" i="5" s="1"/>
  <c r="R48" i="5" a="1"/>
  <c r="R48" i="5" s="1"/>
  <c r="R196" i="5" a="1"/>
  <c r="R196" i="5" s="1"/>
  <c r="S46" i="5" a="1"/>
  <c r="S46" i="5" s="1"/>
  <c r="S197" i="5" a="1"/>
  <c r="S197" i="5" s="1"/>
  <c r="S47" i="5" a="1"/>
  <c r="S47" i="5" s="1"/>
  <c r="X110" i="5" a="1"/>
  <c r="X110" i="5" s="1"/>
  <c r="X182" i="5" a="1"/>
  <c r="X182" i="5" s="1"/>
  <c r="X200" i="5" a="1"/>
  <c r="X200" i="5" s="1"/>
  <c r="V201" i="5" a="1"/>
  <c r="V201" i="5" s="1"/>
  <c r="S110" i="5" a="1"/>
  <c r="S110" i="5" s="1"/>
  <c r="N180" i="5" a="1"/>
  <c r="N180" i="5" s="1"/>
  <c r="T183" i="5" a="1"/>
  <c r="T183" i="5" s="1"/>
  <c r="G214" i="5"/>
  <c r="U79" i="5" a="1"/>
  <c r="U79" i="5" s="1"/>
  <c r="G111" i="5"/>
  <c r="U181" i="5" a="1"/>
  <c r="U181" i="5" s="1"/>
  <c r="P78" i="5" a="1"/>
  <c r="P78" i="5" s="1"/>
  <c r="R197" i="5" a="1"/>
  <c r="R197" i="5" s="1"/>
  <c r="P110" i="5" a="1"/>
  <c r="P110" i="5" s="1"/>
  <c r="V106" i="5" a="1"/>
  <c r="V106" i="5" s="1"/>
  <c r="M180" i="5" a="1"/>
  <c r="M180" i="5" s="1"/>
  <c r="V78" i="5" a="1"/>
  <c r="V78" i="5" s="1"/>
  <c r="S74" i="5" a="1"/>
  <c r="S74" i="5" s="1"/>
  <c r="T184" i="5" a="1"/>
  <c r="T184" i="5" s="1"/>
  <c r="P199" i="5" a="1"/>
  <c r="P199" i="5" s="1"/>
  <c r="T185" i="5" a="1"/>
  <c r="T185" i="5" s="1"/>
  <c r="U201" i="5" a="1"/>
  <c r="U201" i="5" s="1"/>
  <c r="Q196" i="5" a="1"/>
  <c r="Q196" i="5" s="1"/>
  <c r="X77" i="5" a="1"/>
  <c r="X77" i="5" s="1"/>
  <c r="U106" i="5" a="1"/>
  <c r="U106" i="5" s="1"/>
  <c r="T110" i="5" a="1"/>
  <c r="T110" i="5" s="1"/>
  <c r="V50" i="5" a="1"/>
  <c r="V50" i="5" s="1"/>
  <c r="R45" i="5" a="1"/>
  <c r="R45" i="5" s="1"/>
  <c r="X197" i="5" a="1"/>
  <c r="X197" i="5" s="1"/>
  <c r="G201" i="5"/>
  <c r="X47" i="5" a="1"/>
  <c r="X47" i="5" s="1"/>
  <c r="X74" i="5" a="1"/>
  <c r="X74" i="5" s="1"/>
  <c r="X184" i="5" a="1"/>
  <c r="X184" i="5" s="1"/>
  <c r="V185" i="5" a="1"/>
  <c r="V185" i="5" s="1"/>
  <c r="T48" i="5" a="1"/>
  <c r="T48" i="5" s="1"/>
  <c r="S49" i="5" a="1"/>
  <c r="S49" i="5" s="1"/>
  <c r="U108" i="5" a="1"/>
  <c r="U108" i="5" s="1"/>
  <c r="Q50" i="5" a="1"/>
  <c r="Q50" i="5" s="1"/>
  <c r="V108" i="5" a="1"/>
  <c r="V108" i="5" s="1"/>
  <c r="T196" i="5" a="1"/>
  <c r="T196" i="5" s="1"/>
  <c r="V109" i="5" a="1"/>
  <c r="V109" i="5" s="1"/>
  <c r="S185" i="5" a="1"/>
  <c r="S185" i="5" s="1"/>
  <c r="S106" i="5" a="1"/>
  <c r="S106" i="5" s="1"/>
  <c r="N196" i="5" a="1"/>
  <c r="N196" i="5" s="1"/>
  <c r="V200" i="5" a="1"/>
  <c r="V200" i="5" s="1"/>
  <c r="T78" i="5" a="1"/>
  <c r="T78" i="5" s="1"/>
  <c r="V181" i="5" a="1"/>
  <c r="V181" i="5" s="1"/>
  <c r="R75" i="5" a="1"/>
  <c r="R75" i="5" s="1"/>
  <c r="G197" i="5"/>
  <c r="V47" i="5" a="1"/>
  <c r="V47" i="5" s="1"/>
  <c r="T75" i="5" a="1"/>
  <c r="T75" i="5" s="1"/>
  <c r="Q108" i="5" a="1"/>
  <c r="Q108" i="5" s="1"/>
  <c r="P198" i="5" a="1"/>
  <c r="P198" i="5" s="1"/>
  <c r="S201" i="5" a="1"/>
  <c r="S201" i="5" s="1"/>
  <c r="T106" i="5" a="1"/>
  <c r="T106" i="5" s="1"/>
  <c r="S180" i="5" a="1"/>
  <c r="S180" i="5" s="1"/>
  <c r="X75" i="5" a="1"/>
  <c r="X75" i="5" s="1"/>
  <c r="X183" i="5" a="1"/>
  <c r="X183" i="5" s="1"/>
  <c r="X198" i="5" a="1"/>
  <c r="X198" i="5" s="1"/>
  <c r="Q76" i="5" a="1"/>
  <c r="Q76" i="5" s="1"/>
  <c r="S75" i="5" a="1"/>
  <c r="S75" i="5" s="1"/>
  <c r="T50" i="5" a="1"/>
  <c r="T50" i="5" s="1"/>
  <c r="U111" i="5" a="1"/>
  <c r="U111" i="5" s="1"/>
  <c r="G217" i="5"/>
  <c r="R199" i="5" a="1"/>
  <c r="R199" i="5" s="1"/>
  <c r="G183" i="5"/>
  <c r="V198" i="5" a="1"/>
  <c r="V198" i="5" s="1"/>
  <c r="S77" i="5" a="1"/>
  <c r="S77" i="5" s="1"/>
  <c r="S107" i="5" a="1"/>
  <c r="S107" i="5" s="1"/>
  <c r="R184" i="5" a="1"/>
  <c r="R184" i="5" s="1"/>
  <c r="R200" i="5" a="1"/>
  <c r="R200" i="5" s="1"/>
  <c r="U49" i="5" a="1"/>
  <c r="U49" i="5" s="1"/>
  <c r="R182" i="5" a="1"/>
  <c r="R182" i="5" s="1"/>
  <c r="G200" i="5"/>
  <c r="Q109" i="5" a="1"/>
  <c r="Q109" i="5" s="1"/>
  <c r="V183" i="5" a="1"/>
  <c r="V183" i="5" s="1"/>
  <c r="S78" i="5" a="1"/>
  <c r="S78" i="5" s="1"/>
  <c r="O196" i="5" a="1"/>
  <c r="O196" i="5" s="1"/>
  <c r="X76" i="5" a="1"/>
  <c r="X76" i="5" s="1"/>
  <c r="X107" i="5" a="1"/>
  <c r="X107" i="5" s="1"/>
  <c r="X199" i="5" a="1"/>
  <c r="X199" i="5" s="1"/>
  <c r="T77" i="5" a="1"/>
  <c r="T77" i="5" s="1"/>
  <c r="Q107" i="5" a="1"/>
  <c r="Q107" i="5" s="1"/>
  <c r="L180" i="5" a="1"/>
  <c r="L180" i="5" s="1"/>
  <c r="U47" i="5" a="1"/>
  <c r="U47" i="5" s="1"/>
  <c r="T107" i="5" a="1"/>
  <c r="T107" i="5" s="1"/>
  <c r="Q197" i="5" a="1"/>
  <c r="Q197" i="5" s="1"/>
  <c r="T182" i="5" a="1"/>
  <c r="T182" i="5" s="1"/>
  <c r="Q79" i="5" a="1"/>
  <c r="Q79" i="5" s="1"/>
  <c r="T199" i="5" a="1"/>
  <c r="T199" i="5" s="1"/>
  <c r="V46" i="5" a="1"/>
  <c r="V46" i="5" s="1"/>
  <c r="G180" i="5"/>
  <c r="R50" i="5" a="1"/>
  <c r="R50" i="5" s="1"/>
  <c r="U48" i="5" a="1"/>
  <c r="U48" i="5" s="1"/>
  <c r="M196" i="5" a="1"/>
  <c r="M196" i="5" s="1"/>
  <c r="S48" i="5" a="1"/>
  <c r="S48" i="5" s="1"/>
  <c r="Q78" i="5" a="1"/>
  <c r="Q78" i="5" s="1"/>
  <c r="V77" i="5" a="1"/>
  <c r="V77" i="5" s="1"/>
  <c r="X49" i="5" a="1"/>
  <c r="X49" i="5" s="1"/>
  <c r="S199" i="5" a="1"/>
  <c r="S199" i="5" s="1"/>
  <c r="G109" i="5"/>
  <c r="T46" i="5" a="1"/>
  <c r="T46" i="5" s="1"/>
  <c r="S76" i="5" a="1"/>
  <c r="S76" i="5" s="1"/>
  <c r="X185" i="5" a="1"/>
  <c r="X185" i="5" s="1"/>
  <c r="L196" i="5" a="1"/>
  <c r="L196" i="5" s="1"/>
  <c r="R22" i="3"/>
  <c r="W21" i="17"/>
  <c r="W52" i="17" s="1"/>
  <c r="W61" i="17" s="1"/>
  <c r="S20" i="4"/>
  <c r="I30" i="4"/>
  <c r="W79" i="5" a="1"/>
  <c r="W79" i="5" s="1"/>
  <c r="W110" i="5" a="1"/>
  <c r="W110" i="5" s="1"/>
  <c r="W76" i="5" a="1"/>
  <c r="W76" i="5" s="1"/>
  <c r="U196" i="5" a="1"/>
  <c r="U196" i="5" s="1"/>
  <c r="Y181" i="5" a="1"/>
  <c r="Y181" i="5" s="1"/>
  <c r="Y183" i="5" a="1"/>
  <c r="Y183" i="5" s="1"/>
  <c r="Y75" i="5" a="1"/>
  <c r="Y75" i="5" s="1"/>
  <c r="Y273" i="5"/>
  <c r="Y278" i="5"/>
  <c r="Y272" i="5"/>
  <c r="Y275" i="5"/>
  <c r="Y279" i="5"/>
  <c r="Y284" i="5" s="1"/>
  <c r="Y66" i="5"/>
  <c r="Y38" i="5"/>
  <c r="Y67" i="5"/>
  <c r="Y37" i="5"/>
  <c r="Y39" i="5" s="1"/>
  <c r="Y174" i="5" s="1"/>
  <c r="Q42" i="17"/>
  <c r="P41" i="3"/>
  <c r="U94" i="17"/>
  <c r="X167" i="5"/>
  <c r="Q9" i="3" s="1"/>
  <c r="X19" i="5"/>
  <c r="R11" i="4" s="1"/>
  <c r="W48" i="5" a="1"/>
  <c r="W48" i="5" s="1"/>
  <c r="X317" i="5"/>
  <c r="X318" i="5"/>
  <c r="V10" i="17" s="1"/>
  <c r="V8" i="17"/>
  <c r="R41" i="17"/>
  <c r="R19" i="17"/>
  <c r="X68" i="5"/>
  <c r="W184" i="5" a="1"/>
  <c r="W184" i="5" s="1"/>
  <c r="W182" i="5" a="1"/>
  <c r="W182" i="5" s="1"/>
  <c r="W49" i="5" a="1"/>
  <c r="W49" i="5" s="1"/>
  <c r="W77" i="5" a="1"/>
  <c r="W77" i="5" s="1"/>
  <c r="Y45" i="5" a="1"/>
  <c r="Y45" i="5" s="1"/>
  <c r="Y107" i="5" a="1"/>
  <c r="Y107" i="5" s="1"/>
  <c r="Y47" i="5" a="1"/>
  <c r="Y47" i="5" s="1"/>
  <c r="Y246" i="5"/>
  <c r="Y142" i="5"/>
  <c r="Y143" i="5"/>
  <c r="W263" i="5"/>
  <c r="V95" i="17"/>
  <c r="Q42" i="3"/>
  <c r="J77" i="4"/>
  <c r="T13" i="17"/>
  <c r="O10" i="3"/>
  <c r="G43" i="3"/>
  <c r="Z304" i="5"/>
  <c r="Z313" i="5" s="1"/>
  <c r="Z314" i="5" s="1"/>
  <c r="Z316" i="5" s="1"/>
  <c r="Y313" i="5"/>
  <c r="Y314" i="5" s="1"/>
  <c r="Y316" i="5" s="1"/>
  <c r="M17" i="3"/>
  <c r="N17" i="4"/>
  <c r="W319" i="5"/>
  <c r="W223" i="5" s="1"/>
  <c r="Q106" i="5" a="1"/>
  <c r="Q106" i="5" s="1"/>
  <c r="W180" i="5" a="1"/>
  <c r="W180" i="5" s="1"/>
  <c r="U200" i="5" a="1"/>
  <c r="U200" i="5" s="1"/>
  <c r="W200" i="5" a="1"/>
  <c r="W200" i="5" s="1"/>
  <c r="Y74" i="5" a="1"/>
  <c r="Y74" i="5" s="1"/>
  <c r="Y110" i="5" a="1"/>
  <c r="Y110" i="5" s="1"/>
  <c r="X100" i="5"/>
  <c r="T21" i="19"/>
  <c r="T32" i="19" s="1"/>
  <c r="S22" i="4" s="1"/>
  <c r="Q22" i="4"/>
  <c r="S54" i="12"/>
  <c r="U18" i="19"/>
  <c r="U20" i="19"/>
  <c r="U19" i="19"/>
  <c r="N76" i="4"/>
  <c r="T90" i="17"/>
  <c r="O37" i="3"/>
  <c r="G35" i="4"/>
  <c r="G77" i="4"/>
  <c r="G81" i="4" s="1"/>
  <c r="E53" i="4"/>
  <c r="F35" i="4"/>
  <c r="J110" i="17"/>
  <c r="U48" i="12"/>
  <c r="V46" i="12" s="1"/>
  <c r="R56" i="4"/>
  <c r="T65" i="12" s="1"/>
  <c r="U105" i="12"/>
  <c r="S58" i="4" s="1"/>
  <c r="U66" i="12" s="1"/>
  <c r="F36" i="12"/>
  <c r="G5" i="24" s="1"/>
  <c r="V99" i="12"/>
  <c r="V123" i="12" s="1"/>
  <c r="V36" i="12"/>
  <c r="V105" i="12" s="1"/>
  <c r="V47" i="12"/>
  <c r="S66" i="4"/>
  <c r="U169" i="12"/>
  <c r="U170" i="12" s="1"/>
  <c r="K61" i="4"/>
  <c r="M67" i="12" s="1"/>
  <c r="M115" i="12"/>
  <c r="N35" i="12"/>
  <c r="K63" i="4"/>
  <c r="S269" i="11"/>
  <c r="S319" i="11" s="1"/>
  <c r="S320" i="11" s="1"/>
  <c r="T262" i="11"/>
  <c r="T264" i="11" s="1"/>
  <c r="S272" i="11"/>
  <c r="S274" i="11" s="1"/>
  <c r="R279" i="11"/>
  <c r="R286" i="11" s="1"/>
  <c r="V259" i="11"/>
  <c r="V314" i="11" s="1"/>
  <c r="V315" i="11" s="1"/>
  <c r="W252" i="11"/>
  <c r="W254" i="11" s="1"/>
  <c r="T27" i="19"/>
  <c r="Q23" i="4"/>
  <c r="R34" i="19"/>
  <c r="U24" i="19"/>
  <c r="U26" i="19"/>
  <c r="U25" i="19"/>
  <c r="S33" i="19"/>
  <c r="T55" i="12" s="1"/>
  <c r="S28" i="19"/>
  <c r="X86" i="17"/>
  <c r="X169" i="5" l="1"/>
  <c r="X21" i="5"/>
  <c r="Y169" i="5"/>
  <c r="Y21" i="5"/>
  <c r="Z159" i="5"/>
  <c r="Z161" i="5"/>
  <c r="Z160" i="5"/>
  <c r="Z162" i="5" s="1"/>
  <c r="N102" i="17"/>
  <c r="M96" i="17"/>
  <c r="J159" i="5"/>
  <c r="G156" i="5"/>
  <c r="Z128" i="5"/>
  <c r="J128" i="5" s="1"/>
  <c r="Z127" i="5"/>
  <c r="X260" i="5"/>
  <c r="X261" i="5"/>
  <c r="S17" i="17"/>
  <c r="U298" i="5"/>
  <c r="U225" i="5" s="1"/>
  <c r="M16" i="3"/>
  <c r="M18" i="3" s="1"/>
  <c r="T226" i="5"/>
  <c r="T9" i="5" s="1"/>
  <c r="N16" i="4"/>
  <c r="X252" i="5"/>
  <c r="I31" i="4"/>
  <c r="M106" i="17"/>
  <c r="M110" i="17" s="1"/>
  <c r="M111" i="17" s="1"/>
  <c r="Z80" i="5"/>
  <c r="Z17" i="5" s="1"/>
  <c r="T9" i="4" s="1"/>
  <c r="M80" i="5"/>
  <c r="M17" i="5" s="1"/>
  <c r="G9" i="4" s="1"/>
  <c r="R15" i="17"/>
  <c r="R22" i="17" s="1"/>
  <c r="R33" i="17"/>
  <c r="R36" i="17"/>
  <c r="U267" i="5"/>
  <c r="U224" i="5" s="1"/>
  <c r="S13" i="17"/>
  <c r="S186" i="5"/>
  <c r="S164" i="5" s="1"/>
  <c r="L6" i="3" s="1"/>
  <c r="V105" i="17"/>
  <c r="R34" i="4" s="1"/>
  <c r="R80" i="4" s="1"/>
  <c r="Y250" i="5"/>
  <c r="Y249" i="5"/>
  <c r="H31" i="4"/>
  <c r="L106" i="17"/>
  <c r="L110" i="17" s="1"/>
  <c r="L111" i="17" s="1"/>
  <c r="X20" i="5"/>
  <c r="R12" i="4" s="1"/>
  <c r="X168" i="5"/>
  <c r="Q10" i="3" s="1"/>
  <c r="T14" i="17"/>
  <c r="V267" i="5"/>
  <c r="V224" i="5" s="1"/>
  <c r="T186" i="5"/>
  <c r="T164" i="5" s="1"/>
  <c r="M6" i="3" s="1"/>
  <c r="M12" i="3" s="1"/>
  <c r="Z202" i="5"/>
  <c r="Z165" i="5" s="1"/>
  <c r="S7" i="3" s="1"/>
  <c r="P80" i="5"/>
  <c r="P17" i="5" s="1"/>
  <c r="J9" i="4" s="1"/>
  <c r="S80" i="5"/>
  <c r="S17" i="5" s="1"/>
  <c r="M9" i="4" s="1"/>
  <c r="N51" i="5"/>
  <c r="N16" i="5" s="1"/>
  <c r="H8" i="4" s="1"/>
  <c r="W51" i="5"/>
  <c r="W16" i="5" s="1"/>
  <c r="Q8" i="4" s="1"/>
  <c r="S51" i="5"/>
  <c r="S16" i="5" s="1"/>
  <c r="M8" i="4" s="1"/>
  <c r="X51" i="5"/>
  <c r="X16" i="5" s="1"/>
  <c r="R8" i="4" s="1"/>
  <c r="J46" i="5"/>
  <c r="J181" i="5"/>
  <c r="O51" i="5"/>
  <c r="O16" i="5" s="1"/>
  <c r="I8" i="4" s="1"/>
  <c r="X80" i="5"/>
  <c r="X17" i="5" s="1"/>
  <c r="R9" i="4" s="1"/>
  <c r="N202" i="5"/>
  <c r="N165" i="5" s="1"/>
  <c r="G7" i="3" s="1"/>
  <c r="G186" i="5"/>
  <c r="M202" i="5"/>
  <c r="M165" i="5" s="1"/>
  <c r="F7" i="3" s="1"/>
  <c r="W80" i="5"/>
  <c r="W17" i="5" s="1"/>
  <c r="Q9" i="4" s="1"/>
  <c r="Y51" i="5"/>
  <c r="Y16" i="5" s="1"/>
  <c r="S8" i="4" s="1"/>
  <c r="O186" i="5"/>
  <c r="O164" i="5" s="1"/>
  <c r="H6" i="3" s="1"/>
  <c r="H12" i="3" s="1"/>
  <c r="V186" i="5"/>
  <c r="V164" i="5" s="1"/>
  <c r="O6" i="3" s="1"/>
  <c r="R112" i="5"/>
  <c r="N112" i="5"/>
  <c r="Y112" i="5"/>
  <c r="Y206" i="5" s="1"/>
  <c r="T112" i="5"/>
  <c r="M112" i="5"/>
  <c r="M206" i="5" s="1"/>
  <c r="W112" i="5"/>
  <c r="W18" i="5" s="1"/>
  <c r="X202" i="5"/>
  <c r="X165" i="5" s="1"/>
  <c r="Q7" i="3" s="1"/>
  <c r="Q24" i="4"/>
  <c r="U54" i="12"/>
  <c r="Y80" i="5"/>
  <c r="Y17" i="5" s="1"/>
  <c r="S9" i="4" s="1"/>
  <c r="Y129" i="5"/>
  <c r="S202" i="5"/>
  <c r="S165" i="5" s="1"/>
  <c r="L7" i="3" s="1"/>
  <c r="R51" i="5"/>
  <c r="R16" i="5" s="1"/>
  <c r="M186" i="5"/>
  <c r="M164" i="5" s="1"/>
  <c r="Q186" i="5"/>
  <c r="Q164" i="5" s="1"/>
  <c r="U186" i="5"/>
  <c r="U164" i="5" s="1"/>
  <c r="J198" i="5"/>
  <c r="Q41" i="3"/>
  <c r="V94" i="17"/>
  <c r="V104" i="17" s="1"/>
  <c r="R33" i="4" s="1"/>
  <c r="R79" i="4" s="1"/>
  <c r="P202" i="5"/>
  <c r="P165" i="5" s="1"/>
  <c r="I7" i="3" s="1"/>
  <c r="J79" i="5"/>
  <c r="V202" i="5"/>
  <c r="V165" i="5" s="1"/>
  <c r="O7" i="3" s="1"/>
  <c r="L112" i="5"/>
  <c r="J106" i="5"/>
  <c r="X190" i="5"/>
  <c r="U112" i="5"/>
  <c r="J107" i="5"/>
  <c r="G51" i="5"/>
  <c r="Z186" i="5"/>
  <c r="Z164" i="5" s="1"/>
  <c r="Z98" i="5"/>
  <c r="J98" i="5" s="1"/>
  <c r="Z99" i="5"/>
  <c r="J99" i="5" s="1"/>
  <c r="Z97" i="5"/>
  <c r="P101" i="17"/>
  <c r="W202" i="5"/>
  <c r="W165" i="5" s="1"/>
  <c r="P7" i="3" s="1"/>
  <c r="J50" i="5"/>
  <c r="J110" i="5"/>
  <c r="S112" i="5"/>
  <c r="X186" i="5"/>
  <c r="X164" i="5" s="1"/>
  <c r="U51" i="5"/>
  <c r="U16" i="5" s="1"/>
  <c r="J183" i="5"/>
  <c r="Z38" i="5"/>
  <c r="J38" i="5" s="1"/>
  <c r="Z37" i="5"/>
  <c r="Z66" i="5"/>
  <c r="Z67" i="5"/>
  <c r="J67" i="5" s="1"/>
  <c r="J201" i="5"/>
  <c r="J111" i="5"/>
  <c r="W186" i="5"/>
  <c r="W164" i="5" s="1"/>
  <c r="T36" i="17"/>
  <c r="T33" i="17"/>
  <c r="Y144" i="5"/>
  <c r="R47" i="17"/>
  <c r="R46" i="17"/>
  <c r="R45" i="17"/>
  <c r="R44" i="17"/>
  <c r="V51" i="5"/>
  <c r="V16" i="5" s="1"/>
  <c r="T51" i="5"/>
  <c r="T16" i="5" s="1"/>
  <c r="P51" i="5"/>
  <c r="P16" i="5" s="1"/>
  <c r="L51" i="5"/>
  <c r="L16" i="5" s="1"/>
  <c r="J45" i="5"/>
  <c r="Z325" i="5"/>
  <c r="J346" i="5"/>
  <c r="Z143" i="5"/>
  <c r="J143" i="5" s="1"/>
  <c r="Z142" i="5"/>
  <c r="W297" i="5"/>
  <c r="U18" i="17" s="1"/>
  <c r="W296" i="5"/>
  <c r="J31" i="4"/>
  <c r="N106" i="17"/>
  <c r="N110" i="17" s="1"/>
  <c r="N111" i="17" s="1"/>
  <c r="L38" i="3"/>
  <c r="Q91" i="17"/>
  <c r="Y317" i="5"/>
  <c r="W9" i="17" s="1"/>
  <c r="Y318" i="5"/>
  <c r="W10" i="17" s="1"/>
  <c r="W8" i="17"/>
  <c r="I77" i="4"/>
  <c r="Q112" i="5"/>
  <c r="U104" i="17"/>
  <c r="Q33" i="4" s="1"/>
  <c r="Q79" i="4" s="1"/>
  <c r="L186" i="5"/>
  <c r="L164" i="5" s="1"/>
  <c r="J180" i="5"/>
  <c r="J78" i="5"/>
  <c r="T80" i="5"/>
  <c r="T17" i="5" s="1"/>
  <c r="N9" i="4" s="1"/>
  <c r="J109" i="5"/>
  <c r="Q80" i="5"/>
  <c r="Q17" i="5" s="1"/>
  <c r="K9" i="4" s="1"/>
  <c r="J197" i="5"/>
  <c r="N80" i="5"/>
  <c r="N17" i="5" s="1"/>
  <c r="H9" i="4" s="1"/>
  <c r="Z246" i="5"/>
  <c r="V80" i="5"/>
  <c r="V17" i="5" s="1"/>
  <c r="P9" i="4" s="1"/>
  <c r="U80" i="5"/>
  <c r="U17" i="5" s="1"/>
  <c r="O9" i="4" s="1"/>
  <c r="Y251" i="5"/>
  <c r="R42" i="3"/>
  <c r="W95" i="17"/>
  <c r="W105" i="17" s="1"/>
  <c r="S34" i="4" s="1"/>
  <c r="J185" i="5"/>
  <c r="M51" i="5"/>
  <c r="M16" i="5" s="1"/>
  <c r="J74" i="5"/>
  <c r="L80" i="5"/>
  <c r="L17" i="5" s="1"/>
  <c r="Z112" i="5"/>
  <c r="V112" i="5"/>
  <c r="Y283" i="5"/>
  <c r="Y280" i="5"/>
  <c r="Q202" i="5"/>
  <c r="Q165" i="5" s="1"/>
  <c r="J7" i="3" s="1"/>
  <c r="X319" i="5"/>
  <c r="X223" i="5" s="1"/>
  <c r="Y288" i="5"/>
  <c r="Y289" i="5"/>
  <c r="Y293" i="5" s="1"/>
  <c r="G112" i="5"/>
  <c r="R186" i="5"/>
  <c r="R164" i="5" s="1"/>
  <c r="J47" i="5"/>
  <c r="J49" i="5"/>
  <c r="J108" i="5"/>
  <c r="O80" i="5"/>
  <c r="O17" i="5" s="1"/>
  <c r="I9" i="4" s="1"/>
  <c r="J77" i="5"/>
  <c r="O112" i="5"/>
  <c r="Z51" i="5"/>
  <c r="Z16" i="5" s="1"/>
  <c r="W60" i="17"/>
  <c r="W53" i="17"/>
  <c r="W78" i="17" s="1"/>
  <c r="W79" i="17" s="1"/>
  <c r="X293" i="5"/>
  <c r="O69" i="17"/>
  <c r="O70" i="17" s="1"/>
  <c r="O63" i="17"/>
  <c r="Q15" i="4"/>
  <c r="P15" i="3"/>
  <c r="J316" i="5"/>
  <c r="J196" i="5"/>
  <c r="L202" i="5"/>
  <c r="L165" i="5" s="1"/>
  <c r="R202" i="5"/>
  <c r="R165" i="5" s="1"/>
  <c r="K7" i="3" s="1"/>
  <c r="P112" i="5"/>
  <c r="J182" i="5"/>
  <c r="Y255" i="5"/>
  <c r="Y257" i="5"/>
  <c r="Y256" i="5"/>
  <c r="R23" i="3"/>
  <c r="Q47" i="17"/>
  <c r="Q46" i="17"/>
  <c r="Q45" i="17"/>
  <c r="Q44" i="17"/>
  <c r="J184" i="5"/>
  <c r="Z232" i="5"/>
  <c r="Z249" i="5" s="1"/>
  <c r="Z233" i="5"/>
  <c r="Z235" i="5"/>
  <c r="P9" i="3"/>
  <c r="Q80" i="4"/>
  <c r="O92" i="17"/>
  <c r="O96" i="17" s="1"/>
  <c r="J39" i="3"/>
  <c r="J43" i="3" s="1"/>
  <c r="Z317" i="5"/>
  <c r="Z318" i="5"/>
  <c r="X8" i="17"/>
  <c r="V9" i="17"/>
  <c r="V11" i="17" s="1"/>
  <c r="V28" i="17" s="1"/>
  <c r="V29" i="17" s="1"/>
  <c r="V56" i="17" s="1"/>
  <c r="Y68" i="5"/>
  <c r="Y190" i="5" s="1"/>
  <c r="J199" i="5"/>
  <c r="G218" i="5"/>
  <c r="J76" i="5"/>
  <c r="P186" i="5"/>
  <c r="P164" i="5" s="1"/>
  <c r="I6" i="3" s="1"/>
  <c r="I12" i="3" s="1"/>
  <c r="J200" i="5"/>
  <c r="G202" i="5"/>
  <c r="Z279" i="5"/>
  <c r="Z272" i="5"/>
  <c r="Z278" i="5"/>
  <c r="Z275" i="5"/>
  <c r="Z273" i="5"/>
  <c r="P63" i="17"/>
  <c r="P69" i="17"/>
  <c r="P70" i="17" s="1"/>
  <c r="T100" i="17"/>
  <c r="P29" i="4" s="1"/>
  <c r="P76" i="4" s="1"/>
  <c r="W266" i="5"/>
  <c r="U14" i="17" s="1"/>
  <c r="U34" i="17" s="1"/>
  <c r="W265" i="5"/>
  <c r="U202" i="5"/>
  <c r="U165" i="5" s="1"/>
  <c r="N7" i="3" s="1"/>
  <c r="T202" i="5"/>
  <c r="T165" i="5" s="1"/>
  <c r="M7" i="3" s="1"/>
  <c r="O202" i="5"/>
  <c r="O165" i="5" s="1"/>
  <c r="H7" i="3" s="1"/>
  <c r="N186" i="5"/>
  <c r="N164" i="5" s="1"/>
  <c r="X112" i="5"/>
  <c r="Q51" i="5"/>
  <c r="Q16" i="5" s="1"/>
  <c r="J75" i="5"/>
  <c r="J48" i="5"/>
  <c r="Z324" i="5"/>
  <c r="J336" i="5"/>
  <c r="Y100" i="5"/>
  <c r="P37" i="3"/>
  <c r="U90" i="17"/>
  <c r="U100" i="17" s="1"/>
  <c r="Q29" i="4" s="1"/>
  <c r="Y186" i="5"/>
  <c r="Y164" i="5" s="1"/>
  <c r="T17" i="17"/>
  <c r="V298" i="5"/>
  <c r="V225" i="5" s="1"/>
  <c r="R80" i="5"/>
  <c r="R17" i="5" s="1"/>
  <c r="L9" i="4" s="1"/>
  <c r="G80" i="5"/>
  <c r="O101" i="17"/>
  <c r="Y202" i="5"/>
  <c r="Y165" i="5" s="1"/>
  <c r="R7" i="3" s="1"/>
  <c r="X285" i="5"/>
  <c r="X292" i="5"/>
  <c r="P92" i="17"/>
  <c r="P96" i="17" s="1"/>
  <c r="K39" i="3"/>
  <c r="K43" i="3" s="1"/>
  <c r="U21" i="19"/>
  <c r="M68" i="12"/>
  <c r="J111" i="17"/>
  <c r="V48" i="12"/>
  <c r="T66" i="4"/>
  <c r="V169" i="12"/>
  <c r="V170" i="12" s="1"/>
  <c r="T58" i="4"/>
  <c r="F105" i="12"/>
  <c r="V141" i="12"/>
  <c r="F47" i="12"/>
  <c r="N37" i="12"/>
  <c r="N40" i="12"/>
  <c r="U262" i="11"/>
  <c r="U264" i="11" s="1"/>
  <c r="T269" i="11"/>
  <c r="T319" i="11" s="1"/>
  <c r="T320" i="11" s="1"/>
  <c r="T272" i="11"/>
  <c r="T274" i="11" s="1"/>
  <c r="S279" i="11"/>
  <c r="S286" i="11" s="1"/>
  <c r="X252" i="11"/>
  <c r="X254" i="11" s="1"/>
  <c r="W259" i="11"/>
  <c r="W314" i="11" s="1"/>
  <c r="W315" i="11" s="1"/>
  <c r="T33" i="19"/>
  <c r="U55" i="12" s="1"/>
  <c r="T28" i="19"/>
  <c r="R23" i="4"/>
  <c r="R24" i="4" s="1"/>
  <c r="S34" i="19"/>
  <c r="U27" i="19"/>
  <c r="L12" i="3" l="1"/>
  <c r="O12" i="3"/>
  <c r="W22" i="5"/>
  <c r="W8" i="5" s="1"/>
  <c r="Z21" i="5"/>
  <c r="Z169" i="5"/>
  <c r="J169" i="5"/>
  <c r="N17" i="3"/>
  <c r="O17" i="4"/>
  <c r="J155" i="5"/>
  <c r="J156" i="5" s="1"/>
  <c r="L156" i="5"/>
  <c r="M156" i="5"/>
  <c r="O156" i="5"/>
  <c r="P156" i="5"/>
  <c r="Q156" i="5"/>
  <c r="R156" i="5"/>
  <c r="S156" i="5"/>
  <c r="T156" i="5"/>
  <c r="U156" i="5"/>
  <c r="V156" i="5"/>
  <c r="W156" i="5"/>
  <c r="X156" i="5"/>
  <c r="Y156" i="5"/>
  <c r="Z156" i="5"/>
  <c r="N156" i="5"/>
  <c r="X263" i="5"/>
  <c r="X9" i="17"/>
  <c r="H9" i="17" s="1"/>
  <c r="Z319" i="5"/>
  <c r="Z223" i="5" s="1"/>
  <c r="S41" i="17"/>
  <c r="S19" i="17"/>
  <c r="I78" i="4"/>
  <c r="I81" i="4" s="1"/>
  <c r="I35" i="4"/>
  <c r="U12" i="19"/>
  <c r="T87" i="4"/>
  <c r="G87" i="4"/>
  <c r="H12" i="19"/>
  <c r="H19" i="19" s="1"/>
  <c r="R37" i="17"/>
  <c r="R57" i="17" s="1"/>
  <c r="O16" i="4"/>
  <c r="N16" i="3"/>
  <c r="U226" i="5"/>
  <c r="U9" i="5" s="1"/>
  <c r="S36" i="17"/>
  <c r="S33" i="17"/>
  <c r="S37" i="17" s="1"/>
  <c r="S57" i="17" s="1"/>
  <c r="S15" i="17"/>
  <c r="T34" i="17"/>
  <c r="T37" i="17" s="1"/>
  <c r="T57" i="17" s="1"/>
  <c r="T15" i="17"/>
  <c r="Y252" i="5"/>
  <c r="Y261" i="5"/>
  <c r="R12" i="19"/>
  <c r="Q87" i="4"/>
  <c r="W11" i="17"/>
  <c r="W28" i="17" s="1"/>
  <c r="W29" i="17" s="1"/>
  <c r="W56" i="17" s="1"/>
  <c r="Y260" i="5"/>
  <c r="Q76" i="4"/>
  <c r="X294" i="5"/>
  <c r="R48" i="17"/>
  <c r="V226" i="5"/>
  <c r="V9" i="5" s="1"/>
  <c r="H78" i="4"/>
  <c r="H81" i="4" s="1"/>
  <c r="H35" i="4"/>
  <c r="O16" i="3"/>
  <c r="P16" i="4"/>
  <c r="K12" i="19"/>
  <c r="K19" i="19" s="1"/>
  <c r="J87" i="4"/>
  <c r="M87" i="4"/>
  <c r="N12" i="19"/>
  <c r="R87" i="4"/>
  <c r="S12" i="19"/>
  <c r="N18" i="5"/>
  <c r="N22" i="5" s="1"/>
  <c r="N206" i="5"/>
  <c r="T206" i="5"/>
  <c r="T18" i="5"/>
  <c r="T22" i="5" s="1"/>
  <c r="Q48" i="17"/>
  <c r="R206" i="5"/>
  <c r="R18" i="5"/>
  <c r="R22" i="5" s="1"/>
  <c r="R8" i="5" s="1"/>
  <c r="R11" i="5" s="1"/>
  <c r="X10" i="17"/>
  <c r="J318" i="5"/>
  <c r="J51" i="5"/>
  <c r="M18" i="5"/>
  <c r="M22" i="5" s="1"/>
  <c r="Y18" i="5"/>
  <c r="Q10" i="4"/>
  <c r="Q88" i="4" s="1"/>
  <c r="S53" i="12"/>
  <c r="S56" i="12" s="1"/>
  <c r="W206" i="5"/>
  <c r="G249" i="5"/>
  <c r="Q37" i="3"/>
  <c r="V90" i="17"/>
  <c r="V100" i="17" s="1"/>
  <c r="R29" i="4" s="1"/>
  <c r="Z39" i="5"/>
  <c r="J37" i="5"/>
  <c r="Z251" i="5"/>
  <c r="M86" i="4"/>
  <c r="N11" i="19"/>
  <c r="L12" i="19"/>
  <c r="L19" i="19" s="1"/>
  <c r="K87" i="4"/>
  <c r="Z284" i="5"/>
  <c r="P17" i="4"/>
  <c r="O17" i="3"/>
  <c r="I87" i="4"/>
  <c r="J12" i="19"/>
  <c r="J19" i="19" s="1"/>
  <c r="Q6" i="3"/>
  <c r="Q12" i="3" s="1"/>
  <c r="S6" i="3"/>
  <c r="R11" i="19"/>
  <c r="Q86" i="4"/>
  <c r="Z100" i="5"/>
  <c r="J100" i="5" s="1"/>
  <c r="J97" i="5"/>
  <c r="R15" i="4"/>
  <c r="Q15" i="3"/>
  <c r="J16" i="5"/>
  <c r="F8" i="4"/>
  <c r="O12" i="19"/>
  <c r="N87" i="4"/>
  <c r="T19" i="17"/>
  <c r="T41" i="17"/>
  <c r="K8" i="4"/>
  <c r="Z206" i="5"/>
  <c r="Z18" i="5"/>
  <c r="T10" i="4" s="1"/>
  <c r="S86" i="4"/>
  <c r="T11" i="19"/>
  <c r="J186" i="5"/>
  <c r="S206" i="5"/>
  <c r="S18" i="5"/>
  <c r="S22" i="5" s="1"/>
  <c r="T8" i="4"/>
  <c r="Y20" i="5"/>
  <c r="S12" i="4" s="1"/>
  <c r="Y168" i="5"/>
  <c r="R10" i="3" s="1"/>
  <c r="Q206" i="5"/>
  <c r="Q18" i="5"/>
  <c r="X18" i="5"/>
  <c r="X22" i="5" s="1"/>
  <c r="X206" i="5"/>
  <c r="J17" i="5"/>
  <c r="F9" i="4"/>
  <c r="Y262" i="5"/>
  <c r="E6" i="3"/>
  <c r="J164" i="5"/>
  <c r="J78" i="4"/>
  <c r="J81" i="4" s="1"/>
  <c r="J35" i="4"/>
  <c r="I86" i="4"/>
  <c r="J11" i="19"/>
  <c r="P6" i="3"/>
  <c r="P12" i="3" s="1"/>
  <c r="Z250" i="5"/>
  <c r="N6" i="3"/>
  <c r="N12" i="3" s="1"/>
  <c r="H86" i="4"/>
  <c r="I11" i="19"/>
  <c r="Z257" i="5"/>
  <c r="Z255" i="5"/>
  <c r="Z260" i="5" s="1"/>
  <c r="Z256" i="5"/>
  <c r="Q101" i="17"/>
  <c r="P102" i="17"/>
  <c r="L31" i="4" s="1"/>
  <c r="L78" i="4" s="1"/>
  <c r="G6" i="3"/>
  <c r="G12" i="3" s="1"/>
  <c r="O102" i="17"/>
  <c r="P206" i="5"/>
  <c r="P18" i="5"/>
  <c r="Y292" i="5"/>
  <c r="Y294" i="5" s="1"/>
  <c r="Y285" i="5"/>
  <c r="J80" i="5"/>
  <c r="P12" i="19"/>
  <c r="O87" i="4"/>
  <c r="S80" i="4"/>
  <c r="U17" i="17"/>
  <c r="W298" i="5"/>
  <c r="W225" i="5" s="1"/>
  <c r="N8" i="4"/>
  <c r="U206" i="5"/>
  <c r="U18" i="5"/>
  <c r="J6" i="3"/>
  <c r="J12" i="3" s="1"/>
  <c r="X21" i="17"/>
  <c r="S22" i="3"/>
  <c r="D22" i="3" s="1"/>
  <c r="T20" i="4"/>
  <c r="J325" i="5"/>
  <c r="T12" i="19"/>
  <c r="S87" i="4"/>
  <c r="S21" i="3"/>
  <c r="Z326" i="5"/>
  <c r="Z10" i="5" s="1"/>
  <c r="J10" i="5" s="1"/>
  <c r="T19" i="4"/>
  <c r="X20" i="17"/>
  <c r="J324" i="5"/>
  <c r="K6" i="3"/>
  <c r="K12" i="3" s="1"/>
  <c r="Q12" i="19"/>
  <c r="P87" i="4"/>
  <c r="R86" i="4"/>
  <c r="S11" i="19"/>
  <c r="U42" i="17"/>
  <c r="P8" i="4"/>
  <c r="J112" i="5"/>
  <c r="Q213" i="5" a="1"/>
  <c r="Q213" i="5" s="1"/>
  <c r="N213" i="5" a="1"/>
  <c r="N213" i="5" s="1"/>
  <c r="O213" i="5" a="1"/>
  <c r="O213" i="5" s="1"/>
  <c r="M213" i="5" a="1"/>
  <c r="M213" i="5" s="1"/>
  <c r="P213" i="5" a="1"/>
  <c r="P213" i="5" s="1"/>
  <c r="R213" i="5" a="1"/>
  <c r="R213" i="5" s="1"/>
  <c r="S213" i="5" a="1"/>
  <c r="S213" i="5" s="1"/>
  <c r="T213" i="5" a="1"/>
  <c r="T213" i="5" s="1"/>
  <c r="U213" i="5" a="1"/>
  <c r="U213" i="5" s="1"/>
  <c r="V213" i="5" a="1"/>
  <c r="V213" i="5" s="1"/>
  <c r="W213" i="5" a="1"/>
  <c r="W213" i="5" s="1"/>
  <c r="X213" i="5" a="1"/>
  <c r="X213" i="5" s="1"/>
  <c r="Y213" i="5" a="1"/>
  <c r="Y213" i="5" s="1"/>
  <c r="Z213" i="5" a="1"/>
  <c r="Z213" i="5" s="1"/>
  <c r="F6" i="3"/>
  <c r="F12" i="3" s="1"/>
  <c r="K30" i="4"/>
  <c r="Z283" i="5"/>
  <c r="Z280" i="5"/>
  <c r="V206" i="5"/>
  <c r="V18" i="5"/>
  <c r="J8" i="4"/>
  <c r="R6" i="3"/>
  <c r="R12" i="3" s="1"/>
  <c r="E7" i="3"/>
  <c r="D7" i="3" s="1"/>
  <c r="J165" i="5"/>
  <c r="Z144" i="5"/>
  <c r="J142" i="5"/>
  <c r="L8" i="4"/>
  <c r="R41" i="3"/>
  <c r="W94" i="17"/>
  <c r="W104" i="17" s="1"/>
  <c r="S33" i="4" s="1"/>
  <c r="S79" i="4" s="1"/>
  <c r="Z129" i="5"/>
  <c r="J127" i="5"/>
  <c r="Z68" i="5"/>
  <c r="J66" i="5"/>
  <c r="M12" i="19"/>
  <c r="L87" i="4"/>
  <c r="J202" i="5"/>
  <c r="G8" i="4"/>
  <c r="O8" i="4"/>
  <c r="L30" i="4"/>
  <c r="O206" i="5"/>
  <c r="O18" i="5"/>
  <c r="U13" i="17"/>
  <c r="W267" i="5"/>
  <c r="W224" i="5" s="1"/>
  <c r="Z289" i="5"/>
  <c r="Z288" i="5"/>
  <c r="J317" i="5"/>
  <c r="I12" i="19"/>
  <c r="I19" i="19" s="1"/>
  <c r="H87" i="4"/>
  <c r="Y319" i="5"/>
  <c r="Y223" i="5" s="1"/>
  <c r="L206" i="5"/>
  <c r="L18" i="5"/>
  <c r="L22" i="5" s="1"/>
  <c r="Y19" i="5"/>
  <c r="S11" i="4" s="1"/>
  <c r="Y167" i="5"/>
  <c r="R9" i="3" s="1"/>
  <c r="H8" i="17"/>
  <c r="U32" i="19"/>
  <c r="E58" i="4"/>
  <c r="V66" i="12"/>
  <c r="T56" i="4"/>
  <c r="F141" i="12"/>
  <c r="N120" i="12"/>
  <c r="N110" i="12"/>
  <c r="L61" i="4" s="1"/>
  <c r="N67" i="12" s="1"/>
  <c r="N38" i="12"/>
  <c r="U272" i="11"/>
  <c r="U274" i="11" s="1"/>
  <c r="T279" i="11"/>
  <c r="T286" i="11" s="1"/>
  <c r="U269" i="11"/>
  <c r="U319" i="11" s="1"/>
  <c r="U320" i="11" s="1"/>
  <c r="V262" i="11"/>
  <c r="V264" i="11" s="1"/>
  <c r="X259" i="11"/>
  <c r="X314" i="11" s="1"/>
  <c r="X315" i="11" s="1"/>
  <c r="Y252" i="11"/>
  <c r="Y254" i="11" s="1"/>
  <c r="S23" i="4"/>
  <c r="S24" i="4" s="1"/>
  <c r="T34" i="19"/>
  <c r="U33" i="19"/>
  <c r="V55" i="12" s="1"/>
  <c r="U28" i="19"/>
  <c r="E12" i="3" l="1"/>
  <c r="N18" i="3"/>
  <c r="X266" i="5"/>
  <c r="V14" i="17" s="1"/>
  <c r="V34" i="17" s="1"/>
  <c r="X265" i="5"/>
  <c r="J21" i="5"/>
  <c r="S10" i="4"/>
  <c r="Y22" i="5"/>
  <c r="Y8" i="5" s="1"/>
  <c r="K10" i="4"/>
  <c r="Q22" i="5"/>
  <c r="Q8" i="5" s="1"/>
  <c r="Q11" i="5" s="1"/>
  <c r="J10" i="4"/>
  <c r="P22" i="5"/>
  <c r="P8" i="5" s="1"/>
  <c r="P11" i="5" s="1"/>
  <c r="O10" i="4"/>
  <c r="U22" i="5"/>
  <c r="U8" i="5" s="1"/>
  <c r="U11" i="5" s="1"/>
  <c r="P10" i="4"/>
  <c r="V22" i="5"/>
  <c r="V8" i="5" s="1"/>
  <c r="V11" i="5" s="1"/>
  <c r="I10" i="4"/>
  <c r="O22" i="5"/>
  <c r="O8" i="5" s="1"/>
  <c r="O11" i="5" s="1"/>
  <c r="J161" i="5"/>
  <c r="J160" i="5"/>
  <c r="J162" i="5" s="1"/>
  <c r="S15" i="3"/>
  <c r="T15" i="4"/>
  <c r="S22" i="17"/>
  <c r="X267" i="5"/>
  <c r="X224" i="5" s="1"/>
  <c r="V13" i="17"/>
  <c r="S47" i="17"/>
  <c r="S44" i="17"/>
  <c r="S46" i="17"/>
  <c r="S45" i="17"/>
  <c r="R91" i="17"/>
  <c r="R101" i="17" s="1"/>
  <c r="N30" i="4" s="1"/>
  <c r="N77" i="4" s="1"/>
  <c r="M38" i="3"/>
  <c r="T22" i="17"/>
  <c r="X11" i="17"/>
  <c r="H10" i="17"/>
  <c r="K31" i="4"/>
  <c r="O106" i="17"/>
  <c r="O110" i="17" s="1"/>
  <c r="O111" i="17" s="1"/>
  <c r="Y263" i="5"/>
  <c r="X214" i="5" a="1"/>
  <c r="X214" i="5" s="1"/>
  <c r="U214" i="5" a="1"/>
  <c r="U214" i="5" s="1"/>
  <c r="V214" i="5" a="1"/>
  <c r="V214" i="5" s="1"/>
  <c r="W214" i="5" a="1"/>
  <c r="W214" i="5" s="1"/>
  <c r="Y214" i="5" a="1"/>
  <c r="Y214" i="5" s="1"/>
  <c r="Z214" i="5" a="1"/>
  <c r="Z214" i="5" s="1"/>
  <c r="O18" i="3"/>
  <c r="R58" i="17"/>
  <c r="R62" i="17"/>
  <c r="R74" i="17"/>
  <c r="R75" i="17" s="1"/>
  <c r="H10" i="4"/>
  <c r="J53" i="12"/>
  <c r="N8" i="5"/>
  <c r="N11" i="5" s="1"/>
  <c r="Q58" i="17"/>
  <c r="Q62" i="17"/>
  <c r="Q74" i="17"/>
  <c r="Q75" i="17" s="1"/>
  <c r="J319" i="5"/>
  <c r="R37" i="3"/>
  <c r="W90" i="17"/>
  <c r="W100" i="17" s="1"/>
  <c r="S29" i="4" s="1"/>
  <c r="X296" i="5"/>
  <c r="X297" i="5"/>
  <c r="V18" i="17" s="1"/>
  <c r="V42" i="17" s="1"/>
  <c r="Q214" i="5" a="1"/>
  <c r="Q214" i="5" s="1"/>
  <c r="O214" i="5" a="1"/>
  <c r="O214" i="5" s="1"/>
  <c r="R214" i="5" a="1"/>
  <c r="R214" i="5" s="1"/>
  <c r="N214" i="5" a="1"/>
  <c r="N214" i="5" s="1"/>
  <c r="P214" i="5" a="1"/>
  <c r="P214" i="5" s="1"/>
  <c r="S214" i="5" a="1"/>
  <c r="S214" i="5" s="1"/>
  <c r="T214" i="5" a="1"/>
  <c r="T214" i="5" s="1"/>
  <c r="N10" i="4"/>
  <c r="N21" i="4" s="1"/>
  <c r="T8" i="5"/>
  <c r="T11" i="5" s="1"/>
  <c r="P53" i="12"/>
  <c r="P56" i="12" s="1"/>
  <c r="J326" i="5"/>
  <c r="Z262" i="5"/>
  <c r="J262" i="5" s="1"/>
  <c r="L10" i="4"/>
  <c r="L21" i="4" s="1"/>
  <c r="N53" i="12"/>
  <c r="N56" i="12" s="1"/>
  <c r="G10" i="4"/>
  <c r="I53" i="12"/>
  <c r="M8" i="5"/>
  <c r="M11" i="5" s="1"/>
  <c r="Q89" i="4"/>
  <c r="Z252" i="5"/>
  <c r="V53" i="12"/>
  <c r="R13" i="19"/>
  <c r="R14" i="19" s="1"/>
  <c r="U53" i="12"/>
  <c r="U56" i="12" s="1"/>
  <c r="O38" i="3"/>
  <c r="T91" i="17"/>
  <c r="Q53" i="12"/>
  <c r="Q56" i="12" s="1"/>
  <c r="M53" i="12"/>
  <c r="R53" i="12"/>
  <c r="R56" i="12" s="1"/>
  <c r="L53" i="12"/>
  <c r="J260" i="5"/>
  <c r="N38" i="3"/>
  <c r="S91" i="17"/>
  <c r="Y296" i="5"/>
  <c r="Y297" i="5"/>
  <c r="W18" i="17" s="1"/>
  <c r="W42" i="17" s="1"/>
  <c r="Q217" i="5" a="1"/>
  <c r="Q217" i="5" s="1"/>
  <c r="S217" i="5" a="1"/>
  <c r="S217" i="5" s="1"/>
  <c r="R217" i="5" a="1"/>
  <c r="R217" i="5" s="1"/>
  <c r="T217" i="5" a="1"/>
  <c r="T217" i="5" s="1"/>
  <c r="U217" i="5" a="1"/>
  <c r="U217" i="5" s="1"/>
  <c r="V217" i="5" a="1"/>
  <c r="V217" i="5" s="1"/>
  <c r="W217" i="5" a="1"/>
  <c r="W217" i="5" s="1"/>
  <c r="X217" i="5" a="1"/>
  <c r="X217" i="5" s="1"/>
  <c r="Y217" i="5" a="1"/>
  <c r="Y217" i="5" s="1"/>
  <c r="Z217" i="5" a="1"/>
  <c r="Z217" i="5" s="1"/>
  <c r="M10" i="4"/>
  <c r="O53" i="12"/>
  <c r="O56" i="12" s="1"/>
  <c r="S8" i="5"/>
  <c r="S11" i="5" s="1"/>
  <c r="Z174" i="5"/>
  <c r="J174" i="5" s="1"/>
  <c r="J39" i="5"/>
  <c r="I18" i="19"/>
  <c r="P86" i="4"/>
  <c r="Q11" i="19"/>
  <c r="M30" i="4"/>
  <c r="L11" i="19"/>
  <c r="K86" i="4"/>
  <c r="R76" i="4"/>
  <c r="H11" i="19"/>
  <c r="G86" i="4"/>
  <c r="T47" i="17"/>
  <c r="T46" i="17"/>
  <c r="T45" i="17"/>
  <c r="T44" i="17"/>
  <c r="Z293" i="5"/>
  <c r="J293" i="5" s="1"/>
  <c r="G284" i="5"/>
  <c r="W216" i="5" a="1"/>
  <c r="W216" i="5" s="1"/>
  <c r="P216" i="5" a="1"/>
  <c r="P216" i="5" s="1"/>
  <c r="Q216" i="5" a="1"/>
  <c r="Q216" i="5" s="1"/>
  <c r="R216" i="5" a="1"/>
  <c r="R216" i="5" s="1"/>
  <c r="S216" i="5" a="1"/>
  <c r="S216" i="5" s="1"/>
  <c r="T216" i="5" a="1"/>
  <c r="T216" i="5" s="1"/>
  <c r="U216" i="5" a="1"/>
  <c r="U216" i="5" s="1"/>
  <c r="V216" i="5" a="1"/>
  <c r="V216" i="5" s="1"/>
  <c r="X216" i="5" a="1"/>
  <c r="X216" i="5" s="1"/>
  <c r="Y216" i="5" a="1"/>
  <c r="Y216" i="5" s="1"/>
  <c r="Z216" i="5" a="1"/>
  <c r="Z216" i="5" s="1"/>
  <c r="D6" i="3"/>
  <c r="K53" i="12"/>
  <c r="R10" i="4"/>
  <c r="X8" i="5"/>
  <c r="T53" i="12"/>
  <c r="T56" i="12" s="1"/>
  <c r="L86" i="4"/>
  <c r="M11" i="19"/>
  <c r="J213" i="5"/>
  <c r="E20" i="4"/>
  <c r="O11" i="19"/>
  <c r="N86" i="4"/>
  <c r="Z261" i="5"/>
  <c r="J261" i="5" s="1"/>
  <c r="G250" i="5"/>
  <c r="G251" i="5"/>
  <c r="Q17" i="4"/>
  <c r="P17" i="3"/>
  <c r="R215" i="5" a="1"/>
  <c r="R215" i="5" s="1"/>
  <c r="P215" i="5" a="1"/>
  <c r="P215" i="5" s="1"/>
  <c r="O215" i="5" a="1"/>
  <c r="O215" i="5" s="1"/>
  <c r="Q215" i="5" a="1"/>
  <c r="Q215" i="5" s="1"/>
  <c r="S215" i="5" a="1"/>
  <c r="S215" i="5" s="1"/>
  <c r="T215" i="5" a="1"/>
  <c r="T215" i="5" s="1"/>
  <c r="U215" i="5" a="1"/>
  <c r="U215" i="5" s="1"/>
  <c r="V215" i="5" a="1"/>
  <c r="V215" i="5" s="1"/>
  <c r="W215" i="5" a="1"/>
  <c r="W215" i="5" s="1"/>
  <c r="X215" i="5" a="1"/>
  <c r="X215" i="5" s="1"/>
  <c r="Y215" i="5" a="1"/>
  <c r="Y215" i="5" s="1"/>
  <c r="Z215" i="5" a="1"/>
  <c r="Z215" i="5" s="1"/>
  <c r="S23" i="3"/>
  <c r="D23" i="3" s="1"/>
  <c r="D21" i="3"/>
  <c r="U15" i="17"/>
  <c r="U36" i="17"/>
  <c r="U33" i="17"/>
  <c r="P212" i="5" a="1"/>
  <c r="P212" i="5" s="1"/>
  <c r="O212" i="5" a="1"/>
  <c r="O212" i="5" s="1"/>
  <c r="R212" i="5" a="1"/>
  <c r="R212" i="5" s="1"/>
  <c r="Q212" i="5" a="1"/>
  <c r="Q212" i="5" s="1"/>
  <c r="L212" i="5" a="1"/>
  <c r="L212" i="5" s="1"/>
  <c r="N212" i="5" a="1"/>
  <c r="N212" i="5" s="1"/>
  <c r="M212" i="5" a="1"/>
  <c r="M212" i="5" s="1"/>
  <c r="M218" i="5" s="1"/>
  <c r="M166" i="5" s="1"/>
  <c r="M170" i="5" s="1"/>
  <c r="J206" i="5"/>
  <c r="S212" i="5" a="1"/>
  <c r="S212" i="5" s="1"/>
  <c r="T212" i="5" a="1"/>
  <c r="T212" i="5" s="1"/>
  <c r="U212" i="5" a="1"/>
  <c r="U212" i="5" s="1"/>
  <c r="V212" i="5" a="1"/>
  <c r="V212" i="5" s="1"/>
  <c r="W212" i="5" a="1"/>
  <c r="W212" i="5" s="1"/>
  <c r="X212" i="5" a="1"/>
  <c r="X212" i="5" s="1"/>
  <c r="Y212" i="5" a="1"/>
  <c r="Y212" i="5" s="1"/>
  <c r="Z212" i="5" a="1"/>
  <c r="Z212" i="5" s="1"/>
  <c r="X52" i="17"/>
  <c r="H21" i="17"/>
  <c r="U19" i="17"/>
  <c r="U41" i="17"/>
  <c r="E9" i="4"/>
  <c r="F87" i="4"/>
  <c r="E87" i="4" s="1"/>
  <c r="G12" i="19"/>
  <c r="T86" i="4"/>
  <c r="U11" i="19"/>
  <c r="G11" i="19"/>
  <c r="E8" i="4"/>
  <c r="F86" i="4"/>
  <c r="Z167" i="5"/>
  <c r="Z19" i="5"/>
  <c r="J129" i="5"/>
  <c r="F10" i="4"/>
  <c r="J18" i="5"/>
  <c r="P106" i="17"/>
  <c r="P110" i="17" s="1"/>
  <c r="P111" i="17" s="1"/>
  <c r="Z168" i="5"/>
  <c r="Z20" i="5"/>
  <c r="J144" i="5"/>
  <c r="K77" i="4"/>
  <c r="X51" i="17"/>
  <c r="H20" i="17"/>
  <c r="L8" i="5"/>
  <c r="O86" i="4"/>
  <c r="P11" i="19"/>
  <c r="J86" i="4"/>
  <c r="K11" i="19"/>
  <c r="P16" i="3"/>
  <c r="Q16" i="4"/>
  <c r="W226" i="5"/>
  <c r="W9" i="5" s="1"/>
  <c r="W11" i="5" s="1"/>
  <c r="Z292" i="5"/>
  <c r="Z285" i="5"/>
  <c r="G283" i="5"/>
  <c r="S15" i="4"/>
  <c r="R15" i="3"/>
  <c r="L35" i="4"/>
  <c r="L77" i="4"/>
  <c r="L81" i="4" s="1"/>
  <c r="Z190" i="5"/>
  <c r="J190" i="5" s="1"/>
  <c r="J68" i="5"/>
  <c r="E19" i="4"/>
  <c r="J18" i="19"/>
  <c r="T88" i="4"/>
  <c r="U13" i="19"/>
  <c r="H53" i="12"/>
  <c r="J223" i="5"/>
  <c r="T22" i="4"/>
  <c r="V54" i="12"/>
  <c r="E56" i="4"/>
  <c r="V65" i="12"/>
  <c r="D34" i="15"/>
  <c r="E34" i="15" s="1"/>
  <c r="G9" i="24"/>
  <c r="O35" i="12"/>
  <c r="N115" i="12"/>
  <c r="L63" i="4"/>
  <c r="V269" i="11"/>
  <c r="V319" i="11" s="1"/>
  <c r="V320" i="11" s="1"/>
  <c r="W262" i="11"/>
  <c r="W264" i="11" s="1"/>
  <c r="U279" i="11"/>
  <c r="U286" i="11" s="1"/>
  <c r="V272" i="11"/>
  <c r="V274" i="11" s="1"/>
  <c r="Y259" i="11"/>
  <c r="Y314" i="11" s="1"/>
  <c r="Y315" i="11" s="1"/>
  <c r="Z252" i="11"/>
  <c r="Z254" i="11" s="1"/>
  <c r="Z259" i="11" s="1"/>
  <c r="Z314" i="11" s="1"/>
  <c r="T23" i="4"/>
  <c r="U34" i="19"/>
  <c r="S88" i="4" l="1"/>
  <c r="S89" i="4" s="1"/>
  <c r="T13" i="19"/>
  <c r="T14" i="19" s="1"/>
  <c r="L13" i="19"/>
  <c r="L20" i="19" s="1"/>
  <c r="K88" i="4"/>
  <c r="K89" i="4" s="1"/>
  <c r="K21" i="4"/>
  <c r="J21" i="4"/>
  <c r="J88" i="4"/>
  <c r="J89" i="4" s="1"/>
  <c r="K13" i="19"/>
  <c r="Z22" i="5"/>
  <c r="Z8" i="5" s="1"/>
  <c r="J8" i="5" s="1"/>
  <c r="T48" i="17"/>
  <c r="O21" i="4"/>
  <c r="O88" i="4"/>
  <c r="O89" i="4" s="1"/>
  <c r="P13" i="19"/>
  <c r="P14" i="19" s="1"/>
  <c r="I21" i="4"/>
  <c r="I88" i="4"/>
  <c r="I89" i="4" s="1"/>
  <c r="J13" i="19"/>
  <c r="P21" i="4"/>
  <c r="P88" i="4"/>
  <c r="P89" i="4" s="1"/>
  <c r="Q13" i="19"/>
  <c r="Q14" i="19" s="1"/>
  <c r="S48" i="17"/>
  <c r="S74" i="17" s="1"/>
  <c r="S75" i="17" s="1"/>
  <c r="D15" i="3"/>
  <c r="Q16" i="3"/>
  <c r="R16" i="4"/>
  <c r="V36" i="17"/>
  <c r="V33" i="17"/>
  <c r="V15" i="17"/>
  <c r="K78" i="4"/>
  <c r="K81" i="4" s="1"/>
  <c r="K35" i="4"/>
  <c r="Y265" i="5"/>
  <c r="Y266" i="5"/>
  <c r="W14" i="17" s="1"/>
  <c r="W34" i="17" s="1"/>
  <c r="X28" i="17"/>
  <c r="H11" i="17"/>
  <c r="H21" i="4"/>
  <c r="H88" i="4"/>
  <c r="H89" i="4" s="1"/>
  <c r="I13" i="19"/>
  <c r="J214" i="5"/>
  <c r="R92" i="17"/>
  <c r="M39" i="3"/>
  <c r="M43" i="3" s="1"/>
  <c r="L39" i="3"/>
  <c r="L43" i="3" s="1"/>
  <c r="Q92" i="17"/>
  <c r="Q63" i="17"/>
  <c r="Q69" i="17"/>
  <c r="Q70" i="17" s="1"/>
  <c r="V37" i="17"/>
  <c r="V57" i="17" s="1"/>
  <c r="N218" i="5"/>
  <c r="N166" i="5" s="1"/>
  <c r="N170" i="5" s="1"/>
  <c r="R69" i="17"/>
  <c r="R70" i="17" s="1"/>
  <c r="R63" i="17"/>
  <c r="X298" i="5"/>
  <c r="X225" i="5" s="1"/>
  <c r="V17" i="17"/>
  <c r="O13" i="19"/>
  <c r="O14" i="19" s="1"/>
  <c r="N88" i="4"/>
  <c r="N89" i="4" s="1"/>
  <c r="G285" i="5"/>
  <c r="L88" i="4"/>
  <c r="L89" i="4" s="1"/>
  <c r="M13" i="19"/>
  <c r="M14" i="19" s="1"/>
  <c r="E15" i="4"/>
  <c r="S76" i="4"/>
  <c r="G252" i="5"/>
  <c r="P18" i="3"/>
  <c r="Q21" i="4"/>
  <c r="C9" i="15"/>
  <c r="H13" i="19"/>
  <c r="G21" i="4"/>
  <c r="G88" i="4"/>
  <c r="G89" i="4" s="1"/>
  <c r="V56" i="12"/>
  <c r="V57" i="12" s="1"/>
  <c r="U14" i="19"/>
  <c r="V218" i="5"/>
  <c r="V166" i="5" s="1"/>
  <c r="V170" i="5" s="1"/>
  <c r="W218" i="5"/>
  <c r="W166" i="5" s="1"/>
  <c r="W170" i="5" s="1"/>
  <c r="Q218" i="5"/>
  <c r="Q166" i="5" s="1"/>
  <c r="O218" i="5"/>
  <c r="O166" i="5" s="1"/>
  <c r="P218" i="5"/>
  <c r="P166" i="5" s="1"/>
  <c r="P170" i="5" s="1"/>
  <c r="F53" i="12"/>
  <c r="S13" i="19"/>
  <c r="S14" i="19" s="1"/>
  <c r="R88" i="4"/>
  <c r="R89" i="4" s="1"/>
  <c r="U218" i="5"/>
  <c r="U166" i="5" s="1"/>
  <c r="U170" i="5" s="1"/>
  <c r="U37" i="17"/>
  <c r="L18" i="19"/>
  <c r="L21" i="19" s="1"/>
  <c r="L14" i="19"/>
  <c r="T218" i="5"/>
  <c r="T166" i="5" s="1"/>
  <c r="T170" i="5" s="1"/>
  <c r="F88" i="4"/>
  <c r="F89" i="4" s="1"/>
  <c r="G13" i="19"/>
  <c r="G14" i="19" s="1"/>
  <c r="E10" i="4"/>
  <c r="R218" i="5"/>
  <c r="R166" i="5" s="1"/>
  <c r="R170" i="5" s="1"/>
  <c r="Z294" i="5"/>
  <c r="J292" i="5"/>
  <c r="J294" i="5" s="1"/>
  <c r="T11" i="4"/>
  <c r="E11" i="4" s="1"/>
  <c r="J19" i="5"/>
  <c r="F21" i="4"/>
  <c r="U22" i="17"/>
  <c r="J216" i="5"/>
  <c r="S218" i="5"/>
  <c r="S166" i="5" s="1"/>
  <c r="S170" i="5" s="1"/>
  <c r="H18" i="19"/>
  <c r="J217" i="5"/>
  <c r="X60" i="17"/>
  <c r="X53" i="17"/>
  <c r="H51" i="17"/>
  <c r="S9" i="3"/>
  <c r="J167" i="5"/>
  <c r="G86" i="11" s="1"/>
  <c r="K86" i="11" s="1"/>
  <c r="G19" i="19"/>
  <c r="F19" i="19" s="1"/>
  <c r="L25" i="19" s="1"/>
  <c r="F25" i="19" s="1"/>
  <c r="F12" i="19"/>
  <c r="E86" i="4"/>
  <c r="U46" i="17"/>
  <c r="U47" i="17"/>
  <c r="U44" i="17"/>
  <c r="U45" i="17"/>
  <c r="F8" i="3"/>
  <c r="F25" i="3" s="1"/>
  <c r="T12" i="4"/>
  <c r="E12" i="4" s="1"/>
  <c r="J20" i="5"/>
  <c r="M88" i="4"/>
  <c r="M89" i="4" s="1"/>
  <c r="N13" i="19"/>
  <c r="N14" i="19" s="1"/>
  <c r="M21" i="4"/>
  <c r="Y298" i="5"/>
  <c r="Y225" i="5" s="1"/>
  <c r="W17" i="17"/>
  <c r="J212" i="5"/>
  <c r="L218" i="5"/>
  <c r="L166" i="5" s="1"/>
  <c r="L170" i="5" s="1"/>
  <c r="M77" i="4"/>
  <c r="Z218" i="5"/>
  <c r="Z166" i="5" s="1"/>
  <c r="Z170" i="5" s="1"/>
  <c r="S101" i="17"/>
  <c r="T101" i="17"/>
  <c r="J263" i="5"/>
  <c r="S10" i="3"/>
  <c r="D10" i="3" s="1"/>
  <c r="J168" i="5"/>
  <c r="G104" i="11" s="1"/>
  <c r="K104" i="11" s="1"/>
  <c r="F11" i="19"/>
  <c r="G18" i="19"/>
  <c r="X61" i="17"/>
  <c r="H52" i="17"/>
  <c r="T89" i="4"/>
  <c r="K18" i="19"/>
  <c r="J215" i="5"/>
  <c r="Y218" i="5"/>
  <c r="Y166" i="5" s="1"/>
  <c r="Y170" i="5" s="1"/>
  <c r="Z263" i="5"/>
  <c r="L11" i="5"/>
  <c r="X218" i="5"/>
  <c r="X166" i="5" s="1"/>
  <c r="X170" i="5" s="1"/>
  <c r="N68" i="12"/>
  <c r="O37" i="12"/>
  <c r="O110" i="12" s="1"/>
  <c r="M61" i="4" s="1"/>
  <c r="O67" i="12" s="1"/>
  <c r="O40" i="12"/>
  <c r="O120" i="12" s="1"/>
  <c r="M63" i="4" s="1"/>
  <c r="V279" i="11"/>
  <c r="V286" i="11" s="1"/>
  <c r="W272" i="11"/>
  <c r="W274" i="11" s="1"/>
  <c r="W269" i="11"/>
  <c r="W319" i="11" s="1"/>
  <c r="W320" i="11" s="1"/>
  <c r="X262" i="11"/>
  <c r="X264" i="11" s="1"/>
  <c r="Z315" i="11"/>
  <c r="L314" i="11"/>
  <c r="T24" i="4"/>
  <c r="D9" i="3" l="1"/>
  <c r="D12" i="3" s="1"/>
  <c r="S12" i="3"/>
  <c r="K20" i="19"/>
  <c r="K21" i="19" s="1"/>
  <c r="K14" i="19"/>
  <c r="J22" i="5"/>
  <c r="T58" i="17"/>
  <c r="T62" i="17"/>
  <c r="T74" i="17"/>
  <c r="T75" i="17" s="1"/>
  <c r="J20" i="19"/>
  <c r="J21" i="19" s="1"/>
  <c r="J14" i="19"/>
  <c r="J8" i="3"/>
  <c r="J25" i="3" s="1"/>
  <c r="Q170" i="5"/>
  <c r="H8" i="3"/>
  <c r="H25" i="3" s="1"/>
  <c r="O170" i="5"/>
  <c r="S58" i="17"/>
  <c r="S62" i="17"/>
  <c r="W13" i="17"/>
  <c r="Y267" i="5"/>
  <c r="Y224" i="5" s="1"/>
  <c r="I14" i="19"/>
  <c r="I20" i="19"/>
  <c r="I21" i="19" s="1"/>
  <c r="X29" i="17"/>
  <c r="H28" i="17"/>
  <c r="X226" i="5"/>
  <c r="X9" i="5" s="1"/>
  <c r="X11" i="5" s="1"/>
  <c r="Q17" i="3"/>
  <c r="Q18" i="3" s="1"/>
  <c r="R17" i="4"/>
  <c r="R21" i="4" s="1"/>
  <c r="H20" i="19"/>
  <c r="H21" i="19" s="1"/>
  <c r="H14" i="19"/>
  <c r="R96" i="17"/>
  <c r="R102" i="17"/>
  <c r="Q96" i="17"/>
  <c r="Q102" i="17"/>
  <c r="G8" i="3"/>
  <c r="G25" i="3" s="1"/>
  <c r="V19" i="17"/>
  <c r="V41" i="17"/>
  <c r="S69" i="17"/>
  <c r="S70" i="17" s="1"/>
  <c r="S63" i="17"/>
  <c r="U48" i="17"/>
  <c r="C7" i="15"/>
  <c r="O8" i="3"/>
  <c r="O25" i="3" s="1"/>
  <c r="P8" i="3"/>
  <c r="P25" i="3" s="1"/>
  <c r="I8" i="3"/>
  <c r="I25" i="3" s="1"/>
  <c r="S41" i="3"/>
  <c r="D41" i="3" s="1"/>
  <c r="X94" i="17"/>
  <c r="X104" i="17" s="1"/>
  <c r="T33" i="4" s="1"/>
  <c r="H60" i="17"/>
  <c r="S17" i="4"/>
  <c r="R17" i="3"/>
  <c r="M8" i="3"/>
  <c r="M25" i="3" s="1"/>
  <c r="W41" i="17"/>
  <c r="W19" i="17"/>
  <c r="Z296" i="5"/>
  <c r="Z297" i="5"/>
  <c r="K8" i="3"/>
  <c r="K25" i="3" s="1"/>
  <c r="E89" i="4"/>
  <c r="Z266" i="5"/>
  <c r="Z265" i="5"/>
  <c r="L32" i="19"/>
  <c r="S8" i="3"/>
  <c r="E8" i="3"/>
  <c r="J166" i="5"/>
  <c r="L8" i="3"/>
  <c r="L25" i="3" s="1"/>
  <c r="T63" i="17"/>
  <c r="T69" i="17"/>
  <c r="T70" i="17" s="1"/>
  <c r="X78" i="17"/>
  <c r="H53" i="17"/>
  <c r="U57" i="17"/>
  <c r="F18" i="19"/>
  <c r="L24" i="19" s="1"/>
  <c r="O39" i="3"/>
  <c r="O43" i="3" s="1"/>
  <c r="T92" i="17"/>
  <c r="X95" i="17"/>
  <c r="X105" i="17" s="1"/>
  <c r="T34" i="4" s="1"/>
  <c r="S42" i="3"/>
  <c r="D42" i="3" s="1"/>
  <c r="H61" i="17"/>
  <c r="R8" i="3"/>
  <c r="G20" i="19"/>
  <c r="F13" i="19"/>
  <c r="Q8" i="3"/>
  <c r="P30" i="4"/>
  <c r="X86" i="11"/>
  <c r="X88" i="11" s="1"/>
  <c r="U86" i="11"/>
  <c r="U88" i="11" s="1"/>
  <c r="Z86" i="11"/>
  <c r="Z88" i="11" s="1"/>
  <c r="L86" i="11"/>
  <c r="L88" i="11" s="1"/>
  <c r="N86" i="11"/>
  <c r="N88" i="11" s="1"/>
  <c r="S86" i="11"/>
  <c r="S88" i="11" s="1"/>
  <c r="O86" i="11"/>
  <c r="O88" i="11" s="1"/>
  <c r="W86" i="11"/>
  <c r="W88" i="11" s="1"/>
  <c r="T86" i="11"/>
  <c r="T88" i="11" s="1"/>
  <c r="M86" i="11"/>
  <c r="M88" i="11" s="1"/>
  <c r="Q86" i="11"/>
  <c r="Q88" i="11" s="1"/>
  <c r="K88" i="11"/>
  <c r="R86" i="11"/>
  <c r="R88" i="11" s="1"/>
  <c r="V86" i="11"/>
  <c r="V88" i="11" s="1"/>
  <c r="P86" i="11"/>
  <c r="P88" i="11" s="1"/>
  <c r="Y86" i="11"/>
  <c r="Y88" i="11" s="1"/>
  <c r="J218" i="5"/>
  <c r="N8" i="3"/>
  <c r="N25" i="3" s="1"/>
  <c r="L104" i="11"/>
  <c r="L106" i="11" s="1"/>
  <c r="R104" i="11"/>
  <c r="R106" i="11" s="1"/>
  <c r="T104" i="11"/>
  <c r="T106" i="11" s="1"/>
  <c r="X104" i="11"/>
  <c r="X106" i="11" s="1"/>
  <c r="K106" i="11"/>
  <c r="K108" i="11" s="1"/>
  <c r="M104" i="11"/>
  <c r="M106" i="11" s="1"/>
  <c r="N104" i="11"/>
  <c r="N106" i="11" s="1"/>
  <c r="P104" i="11"/>
  <c r="P106" i="11" s="1"/>
  <c r="S104" i="11"/>
  <c r="S106" i="11" s="1"/>
  <c r="Q104" i="11"/>
  <c r="Q106" i="11" s="1"/>
  <c r="O104" i="11"/>
  <c r="O106" i="11" s="1"/>
  <c r="Y104" i="11"/>
  <c r="Y106" i="11" s="1"/>
  <c r="Z104" i="11"/>
  <c r="Z106" i="11" s="1"/>
  <c r="U104" i="11"/>
  <c r="U106" i="11" s="1"/>
  <c r="V104" i="11"/>
  <c r="V106" i="11" s="1"/>
  <c r="W104" i="11"/>
  <c r="W106" i="11" s="1"/>
  <c r="O30" i="4"/>
  <c r="E88" i="4"/>
  <c r="O68" i="12"/>
  <c r="V91" i="17"/>
  <c r="Q38" i="3"/>
  <c r="O38" i="12"/>
  <c r="O115" i="12" s="1"/>
  <c r="X269" i="11"/>
  <c r="X319" i="11" s="1"/>
  <c r="X320" i="11" s="1"/>
  <c r="Y262" i="11"/>
  <c r="Y264" i="11" s="1"/>
  <c r="W279" i="11"/>
  <c r="W286" i="11" s="1"/>
  <c r="X272" i="11"/>
  <c r="X274" i="11" s="1"/>
  <c r="D46" i="15"/>
  <c r="E46" i="15" s="1"/>
  <c r="L315" i="11"/>
  <c r="K28" i="19" l="1"/>
  <c r="K32" i="19"/>
  <c r="J170" i="5"/>
  <c r="G123" i="11"/>
  <c r="J32" i="19"/>
  <c r="J34" i="19" s="1"/>
  <c r="J28" i="19"/>
  <c r="S92" i="17"/>
  <c r="T102" i="17" s="1"/>
  <c r="N39" i="3"/>
  <c r="N43" i="3" s="1"/>
  <c r="F14" i="19"/>
  <c r="I28" i="19"/>
  <c r="I32" i="19"/>
  <c r="W15" i="17"/>
  <c r="W22" i="17" s="1"/>
  <c r="W36" i="17"/>
  <c r="W33" i="17"/>
  <c r="S16" i="4"/>
  <c r="S21" i="4" s="1"/>
  <c r="R16" i="3"/>
  <c r="R18" i="3" s="1"/>
  <c r="R25" i="3" s="1"/>
  <c r="Y226" i="5"/>
  <c r="Y9" i="5" s="1"/>
  <c r="Y11" i="5" s="1"/>
  <c r="S96" i="17"/>
  <c r="S102" i="17"/>
  <c r="X56" i="17"/>
  <c r="H29" i="17"/>
  <c r="F20" i="19"/>
  <c r="L26" i="19" s="1"/>
  <c r="H28" i="19"/>
  <c r="H32" i="19"/>
  <c r="V45" i="17"/>
  <c r="V46" i="17"/>
  <c r="V47" i="17"/>
  <c r="V44" i="17"/>
  <c r="V22" i="17"/>
  <c r="Q25" i="3"/>
  <c r="N31" i="4"/>
  <c r="R106" i="17"/>
  <c r="R110" i="17" s="1"/>
  <c r="R111" i="17" s="1"/>
  <c r="M31" i="4"/>
  <c r="Q106" i="17"/>
  <c r="Q110" i="17" s="1"/>
  <c r="Q111" i="17" s="1"/>
  <c r="U58" i="17"/>
  <c r="U74" i="17"/>
  <c r="U75" i="17" s="1"/>
  <c r="U62" i="17"/>
  <c r="U91" i="17"/>
  <c r="V101" i="17" s="1"/>
  <c r="P38" i="3"/>
  <c r="T190" i="11"/>
  <c r="T108" i="11"/>
  <c r="S189" i="11"/>
  <c r="S90" i="11"/>
  <c r="Z298" i="5"/>
  <c r="Z225" i="5" s="1"/>
  <c r="X17" i="17"/>
  <c r="J296" i="5"/>
  <c r="O77" i="4"/>
  <c r="V190" i="11"/>
  <c r="V108" i="11"/>
  <c r="R190" i="11"/>
  <c r="R108" i="11"/>
  <c r="E33" i="4"/>
  <c r="T79" i="4"/>
  <c r="E79" i="4" s="1"/>
  <c r="W189" i="11"/>
  <c r="W90" i="11"/>
  <c r="K123" i="11"/>
  <c r="W190" i="11"/>
  <c r="W108" i="11"/>
  <c r="D8" i="3"/>
  <c r="E25" i="3"/>
  <c r="L108" i="11"/>
  <c r="L190" i="11"/>
  <c r="X79" i="17"/>
  <c r="H79" i="17" s="1"/>
  <c r="H78" i="17"/>
  <c r="U190" i="11"/>
  <c r="U108" i="11"/>
  <c r="W44" i="17"/>
  <c r="W45" i="17"/>
  <c r="W46" i="17"/>
  <c r="W47" i="17"/>
  <c r="Y189" i="11"/>
  <c r="Y90" i="11"/>
  <c r="M90" i="11"/>
  <c r="M189" i="11"/>
  <c r="M190" i="11"/>
  <c r="M108" i="11"/>
  <c r="Y108" i="11"/>
  <c r="Y190" i="11"/>
  <c r="P189" i="11"/>
  <c r="P90" i="11"/>
  <c r="O190" i="11"/>
  <c r="O108" i="11"/>
  <c r="V90" i="11"/>
  <c r="V189" i="11"/>
  <c r="U90" i="11"/>
  <c r="U189" i="11"/>
  <c r="M54" i="12"/>
  <c r="K22" i="4"/>
  <c r="Q108" i="11"/>
  <c r="Q190" i="11"/>
  <c r="R189" i="11"/>
  <c r="R90" i="11"/>
  <c r="X189" i="11"/>
  <c r="X90" i="11"/>
  <c r="T96" i="17"/>
  <c r="X18" i="17"/>
  <c r="J297" i="5"/>
  <c r="K34" i="19"/>
  <c r="J22" i="4"/>
  <c r="J24" i="4" s="1"/>
  <c r="L54" i="12"/>
  <c r="L56" i="12" s="1"/>
  <c r="K90" i="11"/>
  <c r="F24" i="19"/>
  <c r="X13" i="17"/>
  <c r="Z267" i="5"/>
  <c r="Z224" i="5" s="1"/>
  <c r="J265" i="5"/>
  <c r="N190" i="11"/>
  <c r="N108" i="11"/>
  <c r="T189" i="11"/>
  <c r="T90" i="11"/>
  <c r="E34" i="4"/>
  <c r="T80" i="4"/>
  <c r="E80" i="4" s="1"/>
  <c r="X190" i="11"/>
  <c r="X108" i="11"/>
  <c r="O90" i="11"/>
  <c r="O189" i="11"/>
  <c r="N189" i="11"/>
  <c r="N90" i="11"/>
  <c r="Z190" i="11"/>
  <c r="Z108" i="11"/>
  <c r="L189" i="11"/>
  <c r="L90" i="11"/>
  <c r="Z189" i="11"/>
  <c r="Z90" i="11"/>
  <c r="S190" i="11"/>
  <c r="S108" i="11"/>
  <c r="P190" i="11"/>
  <c r="P108" i="11"/>
  <c r="Q90" i="11"/>
  <c r="Q189" i="11"/>
  <c r="P77" i="4"/>
  <c r="G21" i="19"/>
  <c r="X14" i="17"/>
  <c r="J266" i="5"/>
  <c r="P35" i="12"/>
  <c r="P37" i="12" s="1"/>
  <c r="P110" i="12" s="1"/>
  <c r="N61" i="4" s="1"/>
  <c r="P67" i="12" s="1"/>
  <c r="X279" i="11"/>
  <c r="X286" i="11" s="1"/>
  <c r="Y272" i="11"/>
  <c r="Y274" i="11" s="1"/>
  <c r="Y269" i="11"/>
  <c r="Y319" i="11" s="1"/>
  <c r="Y320" i="11" s="1"/>
  <c r="Z262" i="11"/>
  <c r="Z264" i="11" s="1"/>
  <c r="Z269" i="11" s="1"/>
  <c r="Z319" i="11" s="1"/>
  <c r="K54" i="12" l="1"/>
  <c r="K56" i="12" s="1"/>
  <c r="I22" i="4"/>
  <c r="I24" i="4" s="1"/>
  <c r="V48" i="17"/>
  <c r="I34" i="19"/>
  <c r="H22" i="4"/>
  <c r="H24" i="4" s="1"/>
  <c r="J54" i="12"/>
  <c r="J56" i="12" s="1"/>
  <c r="W37" i="17"/>
  <c r="W57" i="17" s="1"/>
  <c r="O31" i="4"/>
  <c r="S106" i="17"/>
  <c r="S110" i="17" s="1"/>
  <c r="S111" i="17" s="1"/>
  <c r="S37" i="3"/>
  <c r="D37" i="3" s="1"/>
  <c r="X90" i="17"/>
  <c r="X100" i="17" s="1"/>
  <c r="T29" i="4" s="1"/>
  <c r="H56" i="17"/>
  <c r="F26" i="19"/>
  <c r="L27" i="19"/>
  <c r="I54" i="12"/>
  <c r="I56" i="12" s="1"/>
  <c r="G22" i="4"/>
  <c r="G24" i="4" s="1"/>
  <c r="H34" i="19"/>
  <c r="N78" i="4"/>
  <c r="N81" i="4" s="1"/>
  <c r="N35" i="4"/>
  <c r="P31" i="4"/>
  <c r="T106" i="17"/>
  <c r="T110" i="17" s="1"/>
  <c r="T111" i="17" s="1"/>
  <c r="M78" i="4"/>
  <c r="M81" i="4" s="1"/>
  <c r="M35" i="4"/>
  <c r="U69" i="17"/>
  <c r="U70" i="17" s="1"/>
  <c r="U63" i="17"/>
  <c r="U92" i="17"/>
  <c r="P39" i="3"/>
  <c r="P43" i="3" s="1"/>
  <c r="W48" i="17"/>
  <c r="U101" i="17"/>
  <c r="Q30" i="4" s="1"/>
  <c r="N243" i="11"/>
  <c r="H45" i="4"/>
  <c r="N216" i="11"/>
  <c r="L136" i="17" s="1"/>
  <c r="K190" i="11"/>
  <c r="C19" i="15" s="1"/>
  <c r="E19" i="15" s="1"/>
  <c r="L216" i="11"/>
  <c r="F45" i="4"/>
  <c r="M44" i="4"/>
  <c r="S215" i="11"/>
  <c r="S242" i="11"/>
  <c r="O215" i="11"/>
  <c r="O242" i="11"/>
  <c r="I44" i="4"/>
  <c r="X34" i="17"/>
  <c r="H34" i="17" s="1"/>
  <c r="H14" i="17"/>
  <c r="S243" i="11"/>
  <c r="M45" i="4"/>
  <c r="S216" i="11"/>
  <c r="Q136" i="17" s="1"/>
  <c r="Z243" i="11"/>
  <c r="T45" i="4"/>
  <c r="Z216" i="11"/>
  <c r="X136" i="17" s="1"/>
  <c r="V243" i="11"/>
  <c r="V216" i="11"/>
  <c r="T136" i="17" s="1"/>
  <c r="P45" i="4"/>
  <c r="J267" i="5"/>
  <c r="M242" i="11"/>
  <c r="G44" i="4"/>
  <c r="M215" i="11"/>
  <c r="Y216" i="11"/>
  <c r="W136" i="17" s="1"/>
  <c r="S45" i="4"/>
  <c r="Y243" i="11"/>
  <c r="G28" i="19"/>
  <c r="G32" i="19"/>
  <c r="F21" i="19"/>
  <c r="S16" i="3"/>
  <c r="J224" i="5"/>
  <c r="Z226" i="5"/>
  <c r="Z9" i="5" s="1"/>
  <c r="T16" i="4"/>
  <c r="O45" i="4"/>
  <c r="U243" i="11"/>
  <c r="U216" i="11"/>
  <c r="S136" i="17" s="1"/>
  <c r="Z242" i="11"/>
  <c r="Z215" i="11"/>
  <c r="T44" i="4"/>
  <c r="K44" i="4"/>
  <c r="Q215" i="11"/>
  <c r="Q242" i="11"/>
  <c r="U215" i="11"/>
  <c r="U242" i="11"/>
  <c r="O44" i="4"/>
  <c r="T243" i="11"/>
  <c r="T216" i="11"/>
  <c r="R136" i="17" s="1"/>
  <c r="N45" i="4"/>
  <c r="Q44" i="4"/>
  <c r="W242" i="11"/>
  <c r="W215" i="11"/>
  <c r="X243" i="11"/>
  <c r="X216" i="11"/>
  <c r="V136" i="17" s="1"/>
  <c r="R45" i="4"/>
  <c r="X33" i="17"/>
  <c r="H13" i="17"/>
  <c r="X36" i="17"/>
  <c r="H36" i="17" s="1"/>
  <c r="X15" i="17"/>
  <c r="N44" i="4"/>
  <c r="T215" i="11"/>
  <c r="T242" i="11"/>
  <c r="X242" i="11"/>
  <c r="R44" i="4"/>
  <c r="X215" i="11"/>
  <c r="J298" i="5"/>
  <c r="X42" i="17"/>
  <c r="H42" i="17" s="1"/>
  <c r="H18" i="17"/>
  <c r="V215" i="11"/>
  <c r="P44" i="4"/>
  <c r="V242" i="11"/>
  <c r="S44" i="4"/>
  <c r="Y242" i="11"/>
  <c r="Y215" i="11"/>
  <c r="Q45" i="4"/>
  <c r="W243" i="11"/>
  <c r="W216" i="11"/>
  <c r="U136" i="17" s="1"/>
  <c r="X19" i="17"/>
  <c r="X41" i="17"/>
  <c r="H17" i="17"/>
  <c r="H44" i="4"/>
  <c r="N215" i="11"/>
  <c r="N242" i="11"/>
  <c r="S17" i="3"/>
  <c r="D17" i="3" s="1"/>
  <c r="T17" i="4"/>
  <c r="J225" i="5"/>
  <c r="P215" i="11"/>
  <c r="J44" i="4"/>
  <c r="P242" i="11"/>
  <c r="P216" i="11"/>
  <c r="N136" i="17" s="1"/>
  <c r="J45" i="4"/>
  <c r="P243" i="11"/>
  <c r="L215" i="11"/>
  <c r="F44" i="4"/>
  <c r="K189" i="11"/>
  <c r="R215" i="11"/>
  <c r="L44" i="4"/>
  <c r="R242" i="11"/>
  <c r="M243" i="11"/>
  <c r="M216" i="11"/>
  <c r="K136" i="17" s="1"/>
  <c r="G45" i="4"/>
  <c r="U123" i="11"/>
  <c r="U125" i="11" s="1"/>
  <c r="Y123" i="11"/>
  <c r="Y125" i="11" s="1"/>
  <c r="M123" i="11"/>
  <c r="M125" i="11" s="1"/>
  <c r="W123" i="11"/>
  <c r="W125" i="11" s="1"/>
  <c r="V123" i="11"/>
  <c r="V125" i="11" s="1"/>
  <c r="Z123" i="11"/>
  <c r="Z125" i="11" s="1"/>
  <c r="X123" i="11"/>
  <c r="X125" i="11" s="1"/>
  <c r="N123" i="11"/>
  <c r="N125" i="11" s="1"/>
  <c r="K125" i="11"/>
  <c r="P123" i="11"/>
  <c r="P125" i="11" s="1"/>
  <c r="O123" i="11"/>
  <c r="O125" i="11" s="1"/>
  <c r="L123" i="11"/>
  <c r="L125" i="11" s="1"/>
  <c r="S123" i="11"/>
  <c r="S125" i="11" s="1"/>
  <c r="R123" i="11"/>
  <c r="R125" i="11" s="1"/>
  <c r="T123" i="11"/>
  <c r="T125" i="11" s="1"/>
  <c r="Q123" i="11"/>
  <c r="Q125" i="11" s="1"/>
  <c r="R216" i="11"/>
  <c r="P136" i="17" s="1"/>
  <c r="L45" i="4"/>
  <c r="R243" i="11"/>
  <c r="Q243" i="11"/>
  <c r="K45" i="4"/>
  <c r="Q216" i="11"/>
  <c r="O136" i="17" s="1"/>
  <c r="O243" i="11"/>
  <c r="I45" i="4"/>
  <c r="O216" i="11"/>
  <c r="M136" i="17" s="1"/>
  <c r="R30" i="4"/>
  <c r="R77" i="4" s="1"/>
  <c r="P40" i="12"/>
  <c r="P120" i="12" s="1"/>
  <c r="N63" i="4" s="1"/>
  <c r="P38" i="12"/>
  <c r="Y279" i="11"/>
  <c r="Y286" i="11" s="1"/>
  <c r="Z272" i="11"/>
  <c r="Z274" i="11" s="1"/>
  <c r="Z279" i="11" s="1"/>
  <c r="Z286" i="11" s="1"/>
  <c r="Z320" i="11"/>
  <c r="L319" i="11"/>
  <c r="V58" i="17" l="1"/>
  <c r="Q39" i="3" s="1"/>
  <c r="Q43" i="3" s="1"/>
  <c r="V62" i="17"/>
  <c r="V74" i="17"/>
  <c r="V75" i="17" s="1"/>
  <c r="O78" i="4"/>
  <c r="O81" i="4" s="1"/>
  <c r="O35" i="4"/>
  <c r="E29" i="4"/>
  <c r="T76" i="4"/>
  <c r="E76" i="4" s="1"/>
  <c r="F27" i="19"/>
  <c r="L33" i="19"/>
  <c r="L28" i="19"/>
  <c r="F28" i="19" s="1"/>
  <c r="V92" i="17"/>
  <c r="P35" i="4"/>
  <c r="P78" i="4"/>
  <c r="P81" i="4" s="1"/>
  <c r="W58" i="17"/>
  <c r="W74" i="17"/>
  <c r="W75" i="17" s="1"/>
  <c r="W62" i="17"/>
  <c r="U96" i="17"/>
  <c r="U102" i="17"/>
  <c r="K216" i="11"/>
  <c r="J136" i="17"/>
  <c r="H41" i="17"/>
  <c r="S117" i="17"/>
  <c r="N147" i="17"/>
  <c r="O147" i="17" s="1"/>
  <c r="G147" i="17"/>
  <c r="H54" i="12"/>
  <c r="F22" i="4"/>
  <c r="G34" i="19"/>
  <c r="F32" i="19"/>
  <c r="S127" i="11"/>
  <c r="S191" i="11"/>
  <c r="S179" i="11"/>
  <c r="S183" i="11" s="1"/>
  <c r="N117" i="17"/>
  <c r="E45" i="4"/>
  <c r="X191" i="11"/>
  <c r="X127" i="11"/>
  <c r="X179" i="11"/>
  <c r="X183" i="11" s="1"/>
  <c r="X22" i="17"/>
  <c r="H22" i="17" s="1"/>
  <c r="H15" i="17"/>
  <c r="O117" i="17"/>
  <c r="G29" i="19"/>
  <c r="H29" i="19" s="1"/>
  <c r="I29" i="19" s="1"/>
  <c r="J29" i="19" s="1"/>
  <c r="K29" i="19" s="1"/>
  <c r="G145" i="17"/>
  <c r="L145" i="17"/>
  <c r="M145" i="17" s="1"/>
  <c r="N145" i="17" s="1"/>
  <c r="O145" i="17" s="1"/>
  <c r="P145" i="17" s="1"/>
  <c r="O191" i="11"/>
  <c r="O127" i="11"/>
  <c r="O179" i="11"/>
  <c r="O183" i="11" s="1"/>
  <c r="X45" i="17"/>
  <c r="H45" i="17" s="1"/>
  <c r="X47" i="17"/>
  <c r="H47" i="17" s="1"/>
  <c r="X44" i="17"/>
  <c r="H44" i="17" s="1"/>
  <c r="X46" i="17"/>
  <c r="H46" i="17" s="1"/>
  <c r="H19" i="17"/>
  <c r="L243" i="11"/>
  <c r="C48" i="16"/>
  <c r="D44" i="15"/>
  <c r="E44" i="15" s="1"/>
  <c r="N191" i="11"/>
  <c r="N127" i="11"/>
  <c r="N179" i="11"/>
  <c r="N183" i="11" s="1"/>
  <c r="Z191" i="11"/>
  <c r="Z127" i="11"/>
  <c r="Z179" i="11"/>
  <c r="Z183" i="11" s="1"/>
  <c r="R38" i="3"/>
  <c r="W91" i="17"/>
  <c r="V117" i="17"/>
  <c r="L117" i="17"/>
  <c r="U191" i="11"/>
  <c r="U127" i="11"/>
  <c r="U179" i="11"/>
  <c r="U183" i="11" s="1"/>
  <c r="L127" i="11"/>
  <c r="L191" i="11"/>
  <c r="L179" i="11"/>
  <c r="L183" i="11" s="1"/>
  <c r="U117" i="17"/>
  <c r="S18" i="3"/>
  <c r="D16" i="3"/>
  <c r="E17" i="4"/>
  <c r="G149" i="17"/>
  <c r="P149" i="17"/>
  <c r="Q149" i="17" s="1"/>
  <c r="R149" i="17" s="1"/>
  <c r="S149" i="17" s="1"/>
  <c r="T149" i="17" s="1"/>
  <c r="Q191" i="11"/>
  <c r="Q127" i="11"/>
  <c r="Q179" i="11"/>
  <c r="Q183" i="11" s="1"/>
  <c r="W191" i="11"/>
  <c r="W127" i="11"/>
  <c r="W179" i="11"/>
  <c r="W183" i="11" s="1"/>
  <c r="C18" i="15"/>
  <c r="X37" i="17"/>
  <c r="H33" i="17"/>
  <c r="M117" i="17"/>
  <c r="M146" i="17"/>
  <c r="G146" i="17"/>
  <c r="G144" i="17"/>
  <c r="K144" i="17"/>
  <c r="L144" i="17" s="1"/>
  <c r="R117" i="17"/>
  <c r="J226" i="5"/>
  <c r="K117" i="17"/>
  <c r="P191" i="11"/>
  <c r="P127" i="11"/>
  <c r="P179" i="11"/>
  <c r="P183" i="11" s="1"/>
  <c r="K127" i="11"/>
  <c r="K179" i="11"/>
  <c r="K183" i="11" s="1"/>
  <c r="P117" i="17"/>
  <c r="W117" i="17"/>
  <c r="V127" i="11"/>
  <c r="V191" i="11"/>
  <c r="V179" i="11"/>
  <c r="V183" i="11" s="1"/>
  <c r="T191" i="11"/>
  <c r="T127" i="11"/>
  <c r="T179" i="11"/>
  <c r="T183" i="11" s="1"/>
  <c r="M127" i="11"/>
  <c r="M191" i="11"/>
  <c r="M179" i="11"/>
  <c r="M183" i="11" s="1"/>
  <c r="E44" i="4"/>
  <c r="X117" i="17"/>
  <c r="Q77" i="4"/>
  <c r="T117" i="17"/>
  <c r="Z11" i="5"/>
  <c r="J9" i="5"/>
  <c r="J11" i="5" s="1"/>
  <c r="O148" i="17"/>
  <c r="P148" i="17" s="1"/>
  <c r="Q148" i="17" s="1"/>
  <c r="G148" i="17"/>
  <c r="L242" i="11"/>
  <c r="R127" i="11"/>
  <c r="R191" i="11"/>
  <c r="R179" i="11"/>
  <c r="R183" i="11" s="1"/>
  <c r="Y127" i="11"/>
  <c r="Y191" i="11"/>
  <c r="Y179" i="11"/>
  <c r="Y183" i="11" s="1"/>
  <c r="K215" i="11"/>
  <c r="J117" i="17"/>
  <c r="T21" i="4"/>
  <c r="E21" i="4" s="1"/>
  <c r="E16" i="4"/>
  <c r="Q117" i="17"/>
  <c r="P68" i="12"/>
  <c r="P115" i="12"/>
  <c r="Q35" i="12"/>
  <c r="D47" i="15"/>
  <c r="E47" i="15" s="1"/>
  <c r="L320" i="11"/>
  <c r="V63" i="17" l="1"/>
  <c r="V69" i="17"/>
  <c r="V70" i="17" s="1"/>
  <c r="L29" i="19"/>
  <c r="M29" i="19" s="1"/>
  <c r="N29" i="19" s="1"/>
  <c r="O29" i="19" s="1"/>
  <c r="P29" i="19" s="1"/>
  <c r="Q29" i="19" s="1"/>
  <c r="R29" i="19" s="1"/>
  <c r="S29" i="19" s="1"/>
  <c r="T29" i="19" s="1"/>
  <c r="U29" i="19" s="1"/>
  <c r="F33" i="19"/>
  <c r="K23" i="4"/>
  <c r="M55" i="12"/>
  <c r="L34" i="19"/>
  <c r="F34" i="19" s="1"/>
  <c r="W63" i="17"/>
  <c r="W69" i="17"/>
  <c r="W70" i="17" s="1"/>
  <c r="V96" i="17"/>
  <c r="V102" i="17"/>
  <c r="W92" i="17"/>
  <c r="R39" i="3"/>
  <c r="R43" i="3" s="1"/>
  <c r="U106" i="17"/>
  <c r="U110" i="17" s="1"/>
  <c r="U111" i="17" s="1"/>
  <c r="Q31" i="4"/>
  <c r="P147" i="17"/>
  <c r="Q147" i="17" s="1"/>
  <c r="R147" i="17" s="1"/>
  <c r="Q145" i="17"/>
  <c r="R145" i="17" s="1"/>
  <c r="S145" i="17" s="1"/>
  <c r="T145" i="17" s="1"/>
  <c r="U145" i="17" s="1"/>
  <c r="V145" i="17" s="1"/>
  <c r="W145" i="17" s="1"/>
  <c r="X145" i="17" s="1"/>
  <c r="H145" i="17" s="1"/>
  <c r="M144" i="17"/>
  <c r="R148" i="17"/>
  <c r="X217" i="11"/>
  <c r="R46" i="4"/>
  <c r="R52" i="4" s="1"/>
  <c r="R54" i="4" s="1"/>
  <c r="T64" i="12" s="1"/>
  <c r="X244" i="11"/>
  <c r="X249" i="11" s="1"/>
  <c r="X197" i="11"/>
  <c r="T52" i="12" s="1"/>
  <c r="T57" i="12" s="1"/>
  <c r="N146" i="17"/>
  <c r="W217" i="11"/>
  <c r="Q46" i="4"/>
  <c r="Q52" i="4" s="1"/>
  <c r="Q54" i="4" s="1"/>
  <c r="S64" i="12" s="1"/>
  <c r="W244" i="11"/>
  <c r="W249" i="11" s="1"/>
  <c r="W197" i="11"/>
  <c r="S52" i="12" s="1"/>
  <c r="S57" i="12" s="1"/>
  <c r="P46" i="4"/>
  <c r="P52" i="4" s="1"/>
  <c r="P54" i="4" s="1"/>
  <c r="R64" i="12" s="1"/>
  <c r="V244" i="11"/>
  <c r="V249" i="11" s="1"/>
  <c r="V217" i="11"/>
  <c r="V197" i="11"/>
  <c r="R52" i="12" s="1"/>
  <c r="R57" i="12" s="1"/>
  <c r="U244" i="11"/>
  <c r="U249" i="11" s="1"/>
  <c r="O46" i="4"/>
  <c r="O52" i="4" s="1"/>
  <c r="O54" i="4" s="1"/>
  <c r="Q64" i="12" s="1"/>
  <c r="U217" i="11"/>
  <c r="U197" i="11"/>
  <c r="Q52" i="12" s="1"/>
  <c r="Q57" i="12" s="1"/>
  <c r="T46" i="4"/>
  <c r="T52" i="4" s="1"/>
  <c r="T54" i="4" s="1"/>
  <c r="V64" i="12" s="1"/>
  <c r="Z244" i="11"/>
  <c r="Z249" i="11" s="1"/>
  <c r="Z217" i="11"/>
  <c r="Z197" i="11"/>
  <c r="G128" i="17"/>
  <c r="N128" i="17"/>
  <c r="O128" i="17" s="1"/>
  <c r="P128" i="17" s="1"/>
  <c r="K125" i="17"/>
  <c r="L125" i="17" s="1"/>
  <c r="M125" i="17" s="1"/>
  <c r="G125" i="17"/>
  <c r="D18" i="3"/>
  <c r="S25" i="3"/>
  <c r="H117" i="17"/>
  <c r="G124" i="17"/>
  <c r="M46" i="4"/>
  <c r="M52" i="4" s="1"/>
  <c r="M54" i="4" s="1"/>
  <c r="O64" i="12" s="1"/>
  <c r="S217" i="11"/>
  <c r="S244" i="11"/>
  <c r="S249" i="11" s="1"/>
  <c r="S197" i="11"/>
  <c r="O52" i="12" s="1"/>
  <c r="C8" i="15"/>
  <c r="H46" i="4"/>
  <c r="H52" i="4" s="1"/>
  <c r="H54" i="4" s="1"/>
  <c r="J64" i="12" s="1"/>
  <c r="N217" i="11"/>
  <c r="N244" i="11"/>
  <c r="N249" i="11" s="1"/>
  <c r="N197" i="11"/>
  <c r="J52" i="12" s="1"/>
  <c r="J57" i="12" s="1"/>
  <c r="C28" i="16"/>
  <c r="C6" i="15"/>
  <c r="M127" i="17"/>
  <c r="N127" i="17" s="1"/>
  <c r="O127" i="17" s="1"/>
  <c r="P127" i="17" s="1"/>
  <c r="Q127" i="17" s="1"/>
  <c r="G127" i="17"/>
  <c r="U149" i="17"/>
  <c r="V149" i="17" s="1"/>
  <c r="W149" i="17" s="1"/>
  <c r="G129" i="17"/>
  <c r="O129" i="17"/>
  <c r="P129" i="17" s="1"/>
  <c r="Q129" i="17" s="1"/>
  <c r="R129" i="17" s="1"/>
  <c r="X48" i="17"/>
  <c r="X62" i="17" s="1"/>
  <c r="G46" i="4"/>
  <c r="G52" i="4" s="1"/>
  <c r="G54" i="4" s="1"/>
  <c r="I64" i="12" s="1"/>
  <c r="M244" i="11"/>
  <c r="M217" i="11"/>
  <c r="M197" i="11"/>
  <c r="I52" i="12" s="1"/>
  <c r="I57" i="12" s="1"/>
  <c r="L126" i="17"/>
  <c r="M126" i="17" s="1"/>
  <c r="G126" i="17"/>
  <c r="P130" i="17"/>
  <c r="Q130" i="17" s="1"/>
  <c r="R130" i="17" s="1"/>
  <c r="S130" i="17" s="1"/>
  <c r="T130" i="17" s="1"/>
  <c r="G130" i="17"/>
  <c r="N46" i="4"/>
  <c r="N52" i="4" s="1"/>
  <c r="N54" i="4" s="1"/>
  <c r="P64" i="12" s="1"/>
  <c r="T244" i="11"/>
  <c r="T249" i="11" s="1"/>
  <c r="T217" i="11"/>
  <c r="T197" i="11"/>
  <c r="P52" i="12" s="1"/>
  <c r="P57" i="12" s="1"/>
  <c r="P244" i="11"/>
  <c r="P249" i="11" s="1"/>
  <c r="J46" i="4"/>
  <c r="J52" i="4" s="1"/>
  <c r="J54" i="4" s="1"/>
  <c r="L64" i="12" s="1"/>
  <c r="P217" i="11"/>
  <c r="P197" i="11"/>
  <c r="L52" i="12" s="1"/>
  <c r="L57" i="12" s="1"/>
  <c r="X57" i="17"/>
  <c r="H37" i="17"/>
  <c r="F24" i="4"/>
  <c r="E22" i="4"/>
  <c r="E18" i="15"/>
  <c r="Y244" i="11"/>
  <c r="Y249" i="11" s="1"/>
  <c r="Y217" i="11"/>
  <c r="S46" i="4"/>
  <c r="S52" i="4" s="1"/>
  <c r="S54" i="4" s="1"/>
  <c r="U64" i="12" s="1"/>
  <c r="Y197" i="11"/>
  <c r="U52" i="12" s="1"/>
  <c r="U57" i="12" s="1"/>
  <c r="V59" i="12" s="1"/>
  <c r="K46" i="4"/>
  <c r="K52" i="4" s="1"/>
  <c r="K54" i="4" s="1"/>
  <c r="M64" i="12" s="1"/>
  <c r="Q217" i="11"/>
  <c r="Q244" i="11"/>
  <c r="Q249" i="11" s="1"/>
  <c r="Q197" i="11"/>
  <c r="M52" i="12" s="1"/>
  <c r="O217" i="11"/>
  <c r="I46" i="4"/>
  <c r="I52" i="4" s="1"/>
  <c r="I54" i="4" s="1"/>
  <c r="K64" i="12" s="1"/>
  <c r="O244" i="11"/>
  <c r="O249" i="11" s="1"/>
  <c r="O197" i="11"/>
  <c r="K52" i="12" s="1"/>
  <c r="K57" i="12" s="1"/>
  <c r="R217" i="11"/>
  <c r="R244" i="11"/>
  <c r="R249" i="11" s="1"/>
  <c r="L46" i="4"/>
  <c r="L52" i="4" s="1"/>
  <c r="L54" i="4" s="1"/>
  <c r="N64" i="12" s="1"/>
  <c r="R197" i="11"/>
  <c r="N52" i="12" s="1"/>
  <c r="N57" i="12" s="1"/>
  <c r="K191" i="11"/>
  <c r="F46" i="4"/>
  <c r="L217" i="11"/>
  <c r="L197" i="11"/>
  <c r="H52" i="12" s="1"/>
  <c r="H136" i="17"/>
  <c r="G143" i="17"/>
  <c r="W101" i="17"/>
  <c r="H56" i="12"/>
  <c r="F54" i="12"/>
  <c r="Q37" i="12"/>
  <c r="Q110" i="12" s="1"/>
  <c r="O61" i="4" s="1"/>
  <c r="Q67" i="12" s="1"/>
  <c r="Q40" i="12"/>
  <c r="Q120" i="12" s="1"/>
  <c r="O63" i="4" s="1"/>
  <c r="V106" i="17" l="1"/>
  <c r="V110" i="17" s="1"/>
  <c r="V111" i="17" s="1"/>
  <c r="R31" i="4"/>
  <c r="K24" i="4"/>
  <c r="E23" i="4"/>
  <c r="E24" i="4" s="1"/>
  <c r="M56" i="12"/>
  <c r="M57" i="12" s="1"/>
  <c r="N59" i="12" s="1"/>
  <c r="F55" i="12"/>
  <c r="F56" i="12" s="1"/>
  <c r="R78" i="4"/>
  <c r="R81" i="4" s="1"/>
  <c r="R35" i="4"/>
  <c r="W102" i="17"/>
  <c r="W96" i="17"/>
  <c r="Q35" i="4"/>
  <c r="Q78" i="4"/>
  <c r="Q81" i="4" s="1"/>
  <c r="N125" i="17"/>
  <c r="O125" i="17" s="1"/>
  <c r="N126" i="17"/>
  <c r="O126" i="17" s="1"/>
  <c r="P126" i="17" s="1"/>
  <c r="Q126" i="17" s="1"/>
  <c r="R126" i="17" s="1"/>
  <c r="S126" i="17" s="1"/>
  <c r="S129" i="17"/>
  <c r="T129" i="17" s="1"/>
  <c r="U129" i="17" s="1"/>
  <c r="V129" i="17" s="1"/>
  <c r="T59" i="12"/>
  <c r="S148" i="17"/>
  <c r="T148" i="17" s="1"/>
  <c r="N144" i="17"/>
  <c r="O144" i="17" s="1"/>
  <c r="S147" i="17"/>
  <c r="T147" i="17" s="1"/>
  <c r="U147" i="17" s="1"/>
  <c r="V147" i="17" s="1"/>
  <c r="W147" i="17" s="1"/>
  <c r="R59" i="12"/>
  <c r="K59" i="12"/>
  <c r="Q59" i="12"/>
  <c r="L59" i="12"/>
  <c r="X63" i="17"/>
  <c r="X69" i="17"/>
  <c r="H62" i="17"/>
  <c r="M155" i="17"/>
  <c r="O223" i="11"/>
  <c r="E46" i="4"/>
  <c r="F52" i="4"/>
  <c r="O155" i="17"/>
  <c r="Q223" i="11"/>
  <c r="L155" i="17"/>
  <c r="N223" i="11"/>
  <c r="O146" i="17"/>
  <c r="P146" i="17" s="1"/>
  <c r="N155" i="17"/>
  <c r="P223" i="11"/>
  <c r="R155" i="17"/>
  <c r="T223" i="11"/>
  <c r="C20" i="15"/>
  <c r="K197" i="11"/>
  <c r="P132" i="17"/>
  <c r="U132" i="17"/>
  <c r="J132" i="17"/>
  <c r="X132" i="17"/>
  <c r="P120" i="17"/>
  <c r="M132" i="17"/>
  <c r="S132" i="17"/>
  <c r="L120" i="17"/>
  <c r="U120" i="17"/>
  <c r="K132" i="17"/>
  <c r="R132" i="17"/>
  <c r="S120" i="17"/>
  <c r="L132" i="17"/>
  <c r="X120" i="17"/>
  <c r="J120" i="17"/>
  <c r="V120" i="17"/>
  <c r="M120" i="17"/>
  <c r="Q132" i="17"/>
  <c r="T120" i="17"/>
  <c r="K120" i="17"/>
  <c r="O120" i="17"/>
  <c r="R120" i="17"/>
  <c r="Q120" i="17"/>
  <c r="W120" i="17"/>
  <c r="N120" i="17"/>
  <c r="T132" i="17"/>
  <c r="W132" i="17"/>
  <c r="O132" i="17"/>
  <c r="V132" i="17"/>
  <c r="N132" i="17"/>
  <c r="S155" i="17"/>
  <c r="U223" i="11"/>
  <c r="U59" i="12"/>
  <c r="X149" i="17"/>
  <c r="H149" i="17" s="1"/>
  <c r="U155" i="17"/>
  <c r="W223" i="11"/>
  <c r="Q128" i="17"/>
  <c r="R128" i="17" s="1"/>
  <c r="H59" i="12"/>
  <c r="F52" i="12"/>
  <c r="Q155" i="17"/>
  <c r="S223" i="11"/>
  <c r="H57" i="12"/>
  <c r="W155" i="17"/>
  <c r="Y223" i="11"/>
  <c r="U130" i="17"/>
  <c r="V130" i="17" s="1"/>
  <c r="W130" i="17" s="1"/>
  <c r="X130" i="17" s="1"/>
  <c r="H130" i="17" s="1"/>
  <c r="J59" i="12"/>
  <c r="R127" i="17"/>
  <c r="S127" i="17" s="1"/>
  <c r="T127" i="17" s="1"/>
  <c r="U127" i="17" s="1"/>
  <c r="V127" i="17" s="1"/>
  <c r="D25" i="3"/>
  <c r="S59" i="12"/>
  <c r="V155" i="17"/>
  <c r="X223" i="11"/>
  <c r="U139" i="17"/>
  <c r="T139" i="17"/>
  <c r="Q151" i="17"/>
  <c r="S139" i="17"/>
  <c r="R151" i="17"/>
  <c r="W139" i="17"/>
  <c r="O151" i="17"/>
  <c r="P139" i="17"/>
  <c r="J151" i="17"/>
  <c r="N151" i="17"/>
  <c r="M151" i="17"/>
  <c r="M139" i="17"/>
  <c r="P151" i="17"/>
  <c r="V139" i="17"/>
  <c r="S151" i="17"/>
  <c r="N139" i="17"/>
  <c r="J139" i="17"/>
  <c r="T151" i="17"/>
  <c r="O139" i="17"/>
  <c r="V151" i="17"/>
  <c r="Q139" i="17"/>
  <c r="L139" i="17"/>
  <c r="L151" i="17"/>
  <c r="K151" i="17"/>
  <c r="X151" i="17"/>
  <c r="U151" i="17"/>
  <c r="K139" i="17"/>
  <c r="R139" i="17"/>
  <c r="X139" i="17"/>
  <c r="W151" i="17"/>
  <c r="S38" i="3"/>
  <c r="X91" i="17"/>
  <c r="X101" i="17" s="1"/>
  <c r="H57" i="17"/>
  <c r="T155" i="17"/>
  <c r="V223" i="11"/>
  <c r="X58" i="17"/>
  <c r="H48" i="17"/>
  <c r="O59" i="12"/>
  <c r="O57" i="12"/>
  <c r="P59" i="12" s="1"/>
  <c r="X155" i="17"/>
  <c r="Z223" i="11"/>
  <c r="J155" i="17"/>
  <c r="K217" i="11"/>
  <c r="K223" i="11" s="1"/>
  <c r="C38" i="16" s="1"/>
  <c r="L223" i="11"/>
  <c r="S30" i="4"/>
  <c r="P155" i="17"/>
  <c r="R223" i="11"/>
  <c r="X74" i="17"/>
  <c r="K155" i="17"/>
  <c r="M223" i="11"/>
  <c r="L244" i="11"/>
  <c r="L249" i="11" s="1"/>
  <c r="M249" i="11"/>
  <c r="M59" i="12"/>
  <c r="Q68" i="12"/>
  <c r="Q38" i="12"/>
  <c r="S31" i="4" l="1"/>
  <c r="W106" i="17"/>
  <c r="W110" i="17" s="1"/>
  <c r="P125" i="17"/>
  <c r="W129" i="17"/>
  <c r="X129" i="17" s="1"/>
  <c r="H129" i="17" s="1"/>
  <c r="T126" i="17"/>
  <c r="X147" i="17"/>
  <c r="H147" i="17" s="1"/>
  <c r="P144" i="17"/>
  <c r="Q144" i="17" s="1"/>
  <c r="R144" i="17" s="1"/>
  <c r="S144" i="17" s="1"/>
  <c r="T144" i="17" s="1"/>
  <c r="U144" i="17" s="1"/>
  <c r="V144" i="17" s="1"/>
  <c r="W144" i="17" s="1"/>
  <c r="X144" i="17" s="1"/>
  <c r="H144" i="17" s="1"/>
  <c r="U148" i="17"/>
  <c r="V148" i="17" s="1"/>
  <c r="E52" i="4"/>
  <c r="F54" i="4"/>
  <c r="E20" i="15"/>
  <c r="C24" i="15"/>
  <c r="E24" i="15" s="1"/>
  <c r="H151" i="17"/>
  <c r="Q146" i="17"/>
  <c r="S128" i="17"/>
  <c r="G165" i="17"/>
  <c r="M165" i="17"/>
  <c r="N165" i="17" s="1"/>
  <c r="O165" i="17" s="1"/>
  <c r="P165" i="17" s="1"/>
  <c r="X75" i="17"/>
  <c r="H75" i="17" s="1"/>
  <c r="H74" i="17"/>
  <c r="W127" i="17"/>
  <c r="X127" i="17" s="1"/>
  <c r="H127" i="17" s="1"/>
  <c r="H132" i="17"/>
  <c r="I59" i="12"/>
  <c r="F59" i="12" s="1"/>
  <c r="F57" i="12"/>
  <c r="G12" i="24" s="1"/>
  <c r="D38" i="3"/>
  <c r="G166" i="17"/>
  <c r="N166" i="17"/>
  <c r="O166" i="17" s="1"/>
  <c r="P166" i="17" s="1"/>
  <c r="S77" i="4"/>
  <c r="L164" i="17"/>
  <c r="M164" i="17" s="1"/>
  <c r="G164" i="17"/>
  <c r="X70" i="17"/>
  <c r="H70" i="17" s="1"/>
  <c r="H69" i="17"/>
  <c r="T30" i="4"/>
  <c r="P168" i="17"/>
  <c r="G168" i="17"/>
  <c r="X92" i="17"/>
  <c r="S39" i="3"/>
  <c r="D39" i="3" s="1"/>
  <c r="H58" i="17"/>
  <c r="H120" i="17"/>
  <c r="G163" i="17"/>
  <c r="K163" i="17"/>
  <c r="L163" i="17" s="1"/>
  <c r="M163" i="17" s="1"/>
  <c r="H139" i="17"/>
  <c r="H155" i="17"/>
  <c r="G162" i="17"/>
  <c r="D40" i="15"/>
  <c r="E40" i="15" s="1"/>
  <c r="C36" i="16"/>
  <c r="G167" i="17"/>
  <c r="O167" i="17"/>
  <c r="P167" i="17" s="1"/>
  <c r="Q115" i="12"/>
  <c r="R35" i="12"/>
  <c r="S78" i="4" l="1"/>
  <c r="S81" i="4" s="1"/>
  <c r="S35" i="4"/>
  <c r="X96" i="17"/>
  <c r="H96" i="17" s="1"/>
  <c r="X102" i="17"/>
  <c r="Q125" i="17"/>
  <c r="W148" i="17"/>
  <c r="X148" i="17" s="1"/>
  <c r="H148" i="17" s="1"/>
  <c r="U126" i="17"/>
  <c r="V126" i="17" s="1"/>
  <c r="W126" i="17" s="1"/>
  <c r="X126" i="17" s="1"/>
  <c r="H126" i="17" s="1"/>
  <c r="N164" i="17"/>
  <c r="O164" i="17" s="1"/>
  <c r="P164" i="17" s="1"/>
  <c r="Q164" i="17" s="1"/>
  <c r="R164" i="17" s="1"/>
  <c r="S164" i="17" s="1"/>
  <c r="T164" i="17" s="1"/>
  <c r="U164" i="17" s="1"/>
  <c r="Q166" i="17"/>
  <c r="R166" i="17" s="1"/>
  <c r="S166" i="17" s="1"/>
  <c r="T166" i="17" s="1"/>
  <c r="U166" i="17" s="1"/>
  <c r="N163" i="17"/>
  <c r="O163" i="17" s="1"/>
  <c r="P163" i="17" s="1"/>
  <c r="Q163" i="17" s="1"/>
  <c r="R163" i="17" s="1"/>
  <c r="S163" i="17" s="1"/>
  <c r="R146" i="17"/>
  <c r="S146" i="17" s="1"/>
  <c r="T146" i="17" s="1"/>
  <c r="U146" i="17" s="1"/>
  <c r="V146" i="17" s="1"/>
  <c r="W146" i="17" s="1"/>
  <c r="X146" i="17" s="1"/>
  <c r="H146" i="17" s="1"/>
  <c r="T77" i="4"/>
  <c r="E77" i="4" s="1"/>
  <c r="Q165" i="17"/>
  <c r="H64" i="12"/>
  <c r="E54" i="4"/>
  <c r="W111" i="17"/>
  <c r="Q167" i="17"/>
  <c r="R167" i="17" s="1"/>
  <c r="S167" i="17" s="1"/>
  <c r="T167" i="17" s="1"/>
  <c r="U167" i="17" s="1"/>
  <c r="S43" i="3"/>
  <c r="D43" i="3" s="1"/>
  <c r="R170" i="17"/>
  <c r="O170" i="17"/>
  <c r="P170" i="17"/>
  <c r="M158" i="17"/>
  <c r="P158" i="17"/>
  <c r="S158" i="17"/>
  <c r="X158" i="17"/>
  <c r="L158" i="17"/>
  <c r="L170" i="17"/>
  <c r="J158" i="17"/>
  <c r="W170" i="17"/>
  <c r="Q158" i="17"/>
  <c r="K170" i="17"/>
  <c r="N158" i="17"/>
  <c r="W158" i="17"/>
  <c r="O158" i="17"/>
  <c r="X170" i="17"/>
  <c r="T158" i="17"/>
  <c r="T170" i="17"/>
  <c r="V158" i="17"/>
  <c r="Q170" i="17"/>
  <c r="U158" i="17"/>
  <c r="N170" i="17"/>
  <c r="S170" i="17"/>
  <c r="U170" i="17"/>
  <c r="V170" i="17"/>
  <c r="K158" i="17"/>
  <c r="M170" i="17"/>
  <c r="R158" i="17"/>
  <c r="J170" i="17"/>
  <c r="Q168" i="17"/>
  <c r="R168" i="17" s="1"/>
  <c r="S168" i="17" s="1"/>
  <c r="T168" i="17" s="1"/>
  <c r="E30" i="4"/>
  <c r="T128" i="17"/>
  <c r="U128" i="17" s="1"/>
  <c r="V128" i="17" s="1"/>
  <c r="R40" i="12"/>
  <c r="R120" i="12" s="1"/>
  <c r="P63" i="4" s="1"/>
  <c r="R37" i="12"/>
  <c r="R110" i="12" s="1"/>
  <c r="P61" i="4" s="1"/>
  <c r="R67" i="12" s="1"/>
  <c r="X106" i="17" l="1"/>
  <c r="T31" i="4"/>
  <c r="R125" i="17"/>
  <c r="S125" i="17" s="1"/>
  <c r="T125" i="17" s="1"/>
  <c r="V166" i="17"/>
  <c r="W166" i="17" s="1"/>
  <c r="X166" i="17" s="1"/>
  <c r="H166" i="17" s="1"/>
  <c r="V164" i="17"/>
  <c r="W164" i="17" s="1"/>
  <c r="X164" i="17" s="1"/>
  <c r="H164" i="17" s="1"/>
  <c r="U168" i="17"/>
  <c r="V168" i="17" s="1"/>
  <c r="R165" i="17"/>
  <c r="S165" i="17" s="1"/>
  <c r="T165" i="17" s="1"/>
  <c r="U165" i="17" s="1"/>
  <c r="V165" i="17" s="1"/>
  <c r="W165" i="17" s="1"/>
  <c r="H170" i="17"/>
  <c r="T163" i="17"/>
  <c r="U163" i="17" s="1"/>
  <c r="V163" i="17" s="1"/>
  <c r="W163" i="17" s="1"/>
  <c r="X163" i="17" s="1"/>
  <c r="H163" i="17" s="1"/>
  <c r="V167" i="17"/>
  <c r="W167" i="17" s="1"/>
  <c r="X167" i="17" s="1"/>
  <c r="H167" i="17" s="1"/>
  <c r="W128" i="17"/>
  <c r="X128" i="17" s="1"/>
  <c r="H128" i="17" s="1"/>
  <c r="H158" i="17"/>
  <c r="R68" i="12"/>
  <c r="R38" i="12"/>
  <c r="S35" i="12" s="1"/>
  <c r="H106" i="17" l="1"/>
  <c r="D39" i="15" s="1"/>
  <c r="E39" i="15" s="1"/>
  <c r="X110" i="17"/>
  <c r="T78" i="4"/>
  <c r="E31" i="4"/>
  <c r="T35" i="4"/>
  <c r="E35" i="4" s="1"/>
  <c r="U125" i="17"/>
  <c r="V125" i="17" s="1"/>
  <c r="W125" i="17" s="1"/>
  <c r="W168" i="17"/>
  <c r="X168" i="17" s="1"/>
  <c r="H168" i="17" s="1"/>
  <c r="X165" i="17"/>
  <c r="H165" i="17" s="1"/>
  <c r="R115" i="12"/>
  <c r="S40" i="12"/>
  <c r="S120" i="12" s="1"/>
  <c r="Q63" i="4" s="1"/>
  <c r="S37" i="12"/>
  <c r="S110" i="12" s="1"/>
  <c r="Q61" i="4" s="1"/>
  <c r="S67" i="12" s="1"/>
  <c r="H110" i="17" l="1"/>
  <c r="X111" i="17"/>
  <c r="H111" i="17" s="1"/>
  <c r="T81" i="4"/>
  <c r="E81" i="4" s="1"/>
  <c r="E78" i="4"/>
  <c r="X125" i="17"/>
  <c r="H125" i="17" s="1"/>
  <c r="S68" i="12"/>
  <c r="S38" i="12"/>
  <c r="S115" i="12" l="1"/>
  <c r="T35" i="12"/>
  <c r="T40" i="12" l="1"/>
  <c r="T120" i="12" s="1"/>
  <c r="R63" i="4" s="1"/>
  <c r="T37" i="12"/>
  <c r="T110" i="12" s="1"/>
  <c r="R61" i="4" s="1"/>
  <c r="T67" i="12" s="1"/>
  <c r="T68" i="12" l="1"/>
  <c r="T38" i="12"/>
  <c r="T115" i="12" l="1"/>
  <c r="U35" i="12"/>
  <c r="U40" i="12" l="1"/>
  <c r="U37" i="12"/>
  <c r="U110" i="12" l="1"/>
  <c r="S61" i="4" s="1"/>
  <c r="U67" i="12" s="1"/>
  <c r="F37" i="12"/>
  <c r="U38" i="12"/>
  <c r="U120" i="12"/>
  <c r="S63" i="4" s="1"/>
  <c r="F40" i="12"/>
  <c r="U68" i="12" l="1"/>
  <c r="V35" i="12"/>
  <c r="U115" i="12"/>
  <c r="V40" i="12" l="1"/>
  <c r="V120" i="12" s="1"/>
  <c r="V37" i="12"/>
  <c r="V110" i="12" s="1"/>
  <c r="T61" i="4" l="1"/>
  <c r="F110" i="12"/>
  <c r="V38" i="12"/>
  <c r="V115" i="12" s="1"/>
  <c r="F115" i="12" s="1"/>
  <c r="T63" i="4"/>
  <c r="F120" i="12"/>
  <c r="E63" i="4" l="1"/>
  <c r="V68" i="12"/>
  <c r="E61" i="4"/>
  <c r="V67" i="12"/>
  <c r="F60" i="4"/>
  <c r="H78" i="12"/>
  <c r="K60" i="4"/>
  <c r="L60" i="4"/>
  <c r="M60" i="4"/>
  <c r="N60" i="4"/>
  <c r="O60" i="4"/>
  <c r="P60" i="4"/>
  <c r="Q60" i="4"/>
  <c r="R60" i="4"/>
  <c r="S60" i="4"/>
  <c r="T60" i="4"/>
  <c r="M78" i="12"/>
  <c r="N78" i="12"/>
  <c r="O78" i="12"/>
  <c r="P78" i="12"/>
  <c r="Q78" i="12"/>
  <c r="R78" i="12"/>
  <c r="S78" i="12"/>
  <c r="T78" i="12"/>
  <c r="U78" i="12"/>
  <c r="V78" i="12"/>
  <c r="C12" i="15" l="1"/>
  <c r="H289" i="11"/>
  <c r="L292" i="11"/>
  <c r="R292" i="11"/>
  <c r="S292" i="11"/>
  <c r="T292" i="11"/>
  <c r="U292" i="11"/>
  <c r="V292" i="11"/>
  <c r="W292" i="11"/>
  <c r="X292" i="11"/>
  <c r="L297" i="11"/>
  <c r="R297" i="11"/>
  <c r="S297" i="11"/>
  <c r="T297" i="11"/>
  <c r="U297" i="11"/>
  <c r="V297" i="11"/>
  <c r="W297" i="11"/>
  <c r="X297" i="11"/>
  <c r="L298" i="11"/>
  <c r="R298" i="11"/>
  <c r="S298" i="11"/>
  <c r="T298" i="11"/>
  <c r="U298" i="11"/>
  <c r="V298" i="11"/>
  <c r="W298" i="11"/>
  <c r="X298" i="11"/>
  <c r="L304" i="11"/>
  <c r="R304" i="11"/>
  <c r="S304" i="11"/>
  <c r="T304" i="11"/>
  <c r="U304" i="11"/>
  <c r="V304" i="11"/>
  <c r="W304" i="11"/>
  <c r="X304" i="11"/>
  <c r="L305" i="11"/>
  <c r="R305" i="11"/>
  <c r="S305" i="11"/>
  <c r="T305" i="11"/>
  <c r="U305" i="11"/>
  <c r="V305" i="11"/>
  <c r="W305" i="11"/>
  <c r="X305" i="11"/>
  <c r="L309" i="11"/>
  <c r="R309" i="11"/>
  <c r="S309" i="11"/>
  <c r="T309" i="11"/>
  <c r="U309" i="11"/>
  <c r="V309" i="11"/>
  <c r="W309" i="11"/>
  <c r="X309" i="11"/>
  <c r="L310" i="11"/>
  <c r="R310" i="11"/>
  <c r="S310" i="11"/>
  <c r="T310" i="11"/>
  <c r="U310" i="11"/>
  <c r="V310" i="11"/>
  <c r="W310" i="11"/>
  <c r="X310" i="11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E39" i="4"/>
  <c r="T39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E60" i="4"/>
  <c r="G60" i="4"/>
  <c r="H60" i="4"/>
  <c r="I60" i="4"/>
  <c r="J60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E66" i="4"/>
  <c r="G66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H124" i="17"/>
  <c r="J124" i="17"/>
  <c r="K124" i="17"/>
  <c r="L124" i="17"/>
  <c r="M124" i="17"/>
  <c r="N124" i="17"/>
  <c r="O124" i="17"/>
  <c r="P124" i="17"/>
  <c r="Q124" i="17"/>
  <c r="R124" i="17"/>
  <c r="S124" i="17"/>
  <c r="T124" i="17"/>
  <c r="U124" i="17"/>
  <c r="V124" i="17"/>
  <c r="W124" i="17"/>
  <c r="X124" i="17"/>
  <c r="H131" i="17"/>
  <c r="J131" i="17"/>
  <c r="K131" i="17"/>
  <c r="L131" i="17"/>
  <c r="M131" i="17"/>
  <c r="N131" i="17"/>
  <c r="O131" i="17"/>
  <c r="P131" i="17"/>
  <c r="Q131" i="17"/>
  <c r="R131" i="17"/>
  <c r="S131" i="17"/>
  <c r="T131" i="17"/>
  <c r="U131" i="17"/>
  <c r="V131" i="17"/>
  <c r="W131" i="17"/>
  <c r="X131" i="17"/>
  <c r="H133" i="17"/>
  <c r="J133" i="17"/>
  <c r="K133" i="17"/>
  <c r="L133" i="17"/>
  <c r="M133" i="17"/>
  <c r="N133" i="17"/>
  <c r="O133" i="17"/>
  <c r="P133" i="17"/>
  <c r="Q133" i="17"/>
  <c r="R133" i="17"/>
  <c r="S133" i="17"/>
  <c r="T133" i="17"/>
  <c r="U133" i="17"/>
  <c r="V133" i="17"/>
  <c r="W133" i="17"/>
  <c r="X133" i="17"/>
  <c r="H143" i="17"/>
  <c r="J143" i="17"/>
  <c r="K143" i="17"/>
  <c r="L143" i="17"/>
  <c r="M143" i="17"/>
  <c r="N143" i="17"/>
  <c r="O143" i="17"/>
  <c r="P143" i="17"/>
  <c r="Q143" i="17"/>
  <c r="R143" i="17"/>
  <c r="S143" i="17"/>
  <c r="T143" i="17"/>
  <c r="U143" i="17"/>
  <c r="V143" i="17"/>
  <c r="W143" i="17"/>
  <c r="X143" i="17"/>
  <c r="H150" i="17"/>
  <c r="J150" i="17"/>
  <c r="K150" i="17"/>
  <c r="L150" i="17"/>
  <c r="M150" i="17"/>
  <c r="N150" i="17"/>
  <c r="O150" i="17"/>
  <c r="P150" i="17"/>
  <c r="Q150" i="17"/>
  <c r="R150" i="17"/>
  <c r="S150" i="17"/>
  <c r="T150" i="17"/>
  <c r="U150" i="17"/>
  <c r="V150" i="17"/>
  <c r="W150" i="17"/>
  <c r="X150" i="17"/>
  <c r="H152" i="17"/>
  <c r="J152" i="17"/>
  <c r="K152" i="17"/>
  <c r="L152" i="17"/>
  <c r="M152" i="17"/>
  <c r="N152" i="17"/>
  <c r="O152" i="17"/>
  <c r="P152" i="17"/>
  <c r="Q152" i="17"/>
  <c r="R152" i="17"/>
  <c r="S152" i="17"/>
  <c r="T152" i="17"/>
  <c r="U152" i="17"/>
  <c r="V152" i="17"/>
  <c r="W152" i="17"/>
  <c r="X152" i="17"/>
  <c r="H162" i="17"/>
  <c r="J162" i="17"/>
  <c r="K162" i="17"/>
  <c r="L162" i="17"/>
  <c r="M162" i="17"/>
  <c r="N162" i="17"/>
  <c r="O162" i="17"/>
  <c r="P162" i="17"/>
  <c r="Q162" i="17"/>
  <c r="R162" i="17"/>
  <c r="S162" i="17"/>
  <c r="T162" i="17"/>
  <c r="U162" i="17"/>
  <c r="V162" i="17"/>
  <c r="W162" i="17"/>
  <c r="X162" i="17"/>
  <c r="H169" i="17"/>
  <c r="J169" i="17"/>
  <c r="K169" i="17"/>
  <c r="L169" i="17"/>
  <c r="M169" i="17"/>
  <c r="N169" i="17"/>
  <c r="O169" i="17"/>
  <c r="P169" i="17"/>
  <c r="Q169" i="17"/>
  <c r="R169" i="17"/>
  <c r="S169" i="17"/>
  <c r="T169" i="17"/>
  <c r="U169" i="17"/>
  <c r="V169" i="17"/>
  <c r="W169" i="17"/>
  <c r="X169" i="17"/>
  <c r="H171" i="17"/>
  <c r="J171" i="17"/>
  <c r="K171" i="17"/>
  <c r="L171" i="17"/>
  <c r="M171" i="17"/>
  <c r="N171" i="17"/>
  <c r="O171" i="17"/>
  <c r="P171" i="17"/>
  <c r="Q171" i="17"/>
  <c r="R171" i="17"/>
  <c r="S171" i="17"/>
  <c r="T171" i="17"/>
  <c r="U171" i="17"/>
  <c r="V171" i="17"/>
  <c r="W171" i="17"/>
  <c r="X171" i="17"/>
  <c r="H174" i="17"/>
  <c r="J174" i="17"/>
  <c r="K174" i="17"/>
  <c r="L174" i="17"/>
  <c r="M174" i="17"/>
  <c r="N174" i="17"/>
  <c r="O174" i="17"/>
  <c r="P174" i="17"/>
  <c r="Q174" i="17"/>
  <c r="R174" i="17"/>
  <c r="S174" i="17"/>
  <c r="T174" i="17"/>
  <c r="U174" i="17"/>
  <c r="V174" i="17"/>
  <c r="W174" i="17"/>
  <c r="X174" i="17"/>
  <c r="H175" i="17"/>
  <c r="J175" i="17"/>
  <c r="K175" i="17"/>
  <c r="L175" i="17"/>
  <c r="M175" i="17"/>
  <c r="N175" i="17"/>
  <c r="O175" i="17"/>
  <c r="P175" i="17"/>
  <c r="Q175" i="17"/>
  <c r="R175" i="17"/>
  <c r="S175" i="17"/>
  <c r="T175" i="17"/>
  <c r="U175" i="17"/>
  <c r="V175" i="17"/>
  <c r="W175" i="17"/>
  <c r="X175" i="17"/>
  <c r="H176" i="17"/>
  <c r="J176" i="17"/>
  <c r="K176" i="17"/>
  <c r="L176" i="17"/>
  <c r="M176" i="17"/>
  <c r="N176" i="17"/>
  <c r="O176" i="17"/>
  <c r="P176" i="17"/>
  <c r="Q176" i="17"/>
  <c r="R176" i="17"/>
  <c r="S176" i="17"/>
  <c r="T176" i="17"/>
  <c r="U176" i="17"/>
  <c r="V176" i="17"/>
  <c r="W176" i="17"/>
  <c r="X176" i="17"/>
  <c r="H177" i="17"/>
  <c r="J177" i="17"/>
  <c r="K177" i="17"/>
  <c r="L177" i="17"/>
  <c r="M177" i="17"/>
  <c r="N177" i="17"/>
  <c r="O177" i="17"/>
  <c r="P177" i="17"/>
  <c r="Q177" i="17"/>
  <c r="R177" i="17"/>
  <c r="S177" i="17"/>
  <c r="T177" i="17"/>
  <c r="U177" i="17"/>
  <c r="V177" i="17"/>
  <c r="W177" i="17"/>
  <c r="X177" i="17"/>
  <c r="H188" i="17"/>
  <c r="J188" i="17"/>
  <c r="K188" i="17"/>
  <c r="L188" i="17"/>
  <c r="M188" i="17"/>
  <c r="N188" i="17"/>
  <c r="O188" i="17"/>
  <c r="P188" i="17"/>
  <c r="Q188" i="17"/>
  <c r="R188" i="17"/>
  <c r="S188" i="17"/>
  <c r="T188" i="17"/>
  <c r="U188" i="17"/>
  <c r="V188" i="17"/>
  <c r="W188" i="17"/>
  <c r="X188" i="17"/>
  <c r="H189" i="17"/>
  <c r="J189" i="17"/>
  <c r="K189" i="17"/>
  <c r="L189" i="17"/>
  <c r="M189" i="17"/>
  <c r="N189" i="17"/>
  <c r="O189" i="17"/>
  <c r="P189" i="17"/>
  <c r="Q189" i="17"/>
  <c r="R189" i="17"/>
  <c r="S189" i="17"/>
  <c r="T189" i="17"/>
  <c r="U189" i="17"/>
  <c r="V189" i="17"/>
  <c r="W189" i="17"/>
  <c r="X189" i="17"/>
  <c r="H190" i="17"/>
  <c r="J190" i="17"/>
  <c r="K190" i="17"/>
  <c r="L190" i="17"/>
  <c r="M190" i="17"/>
  <c r="N190" i="17"/>
  <c r="O190" i="17"/>
  <c r="P190" i="17"/>
  <c r="Q190" i="17"/>
  <c r="R190" i="17"/>
  <c r="S190" i="17"/>
  <c r="T190" i="17"/>
  <c r="U190" i="17"/>
  <c r="V190" i="17"/>
  <c r="W190" i="17"/>
  <c r="X190" i="17"/>
  <c r="H191" i="17"/>
  <c r="J191" i="17"/>
  <c r="K191" i="17"/>
  <c r="L191" i="17"/>
  <c r="M191" i="17"/>
  <c r="N191" i="17"/>
  <c r="O191" i="17"/>
  <c r="P191" i="17"/>
  <c r="Q191" i="17"/>
  <c r="R191" i="17"/>
  <c r="S191" i="17"/>
  <c r="T191" i="17"/>
  <c r="U191" i="17"/>
  <c r="V191" i="17"/>
  <c r="W191" i="17"/>
  <c r="X191" i="17"/>
  <c r="C29" i="16"/>
  <c r="C30" i="16"/>
  <c r="C32" i="16"/>
  <c r="C33" i="16"/>
  <c r="C34" i="16"/>
  <c r="C35" i="16"/>
  <c r="C45" i="16"/>
  <c r="C46" i="16"/>
  <c r="C49" i="16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H63" i="12"/>
  <c r="I63" i="12"/>
  <c r="J63" i="12"/>
  <c r="K63" i="12"/>
  <c r="L63" i="12"/>
  <c r="M63" i="12"/>
  <c r="N63" i="12"/>
  <c r="O63" i="12"/>
  <c r="P63" i="12"/>
  <c r="Q63" i="12"/>
  <c r="R63" i="12"/>
  <c r="S63" i="12"/>
  <c r="T63" i="12"/>
  <c r="U63" i="12"/>
  <c r="V63" i="12"/>
  <c r="H69" i="12"/>
  <c r="I69" i="12"/>
  <c r="J69" i="12"/>
  <c r="K69" i="12"/>
  <c r="L69" i="12"/>
  <c r="M69" i="12"/>
  <c r="N69" i="12"/>
  <c r="O69" i="12"/>
  <c r="P69" i="12"/>
  <c r="Q69" i="12"/>
  <c r="R69" i="12"/>
  <c r="S69" i="12"/>
  <c r="T69" i="12"/>
  <c r="U69" i="12"/>
  <c r="V69" i="12"/>
  <c r="H71" i="12"/>
  <c r="I71" i="12"/>
  <c r="J71" i="12"/>
  <c r="K71" i="12"/>
  <c r="L71" i="12"/>
  <c r="M71" i="12"/>
  <c r="N71" i="12"/>
  <c r="O71" i="12"/>
  <c r="P71" i="12"/>
  <c r="Q71" i="12"/>
  <c r="R71" i="12"/>
  <c r="S71" i="12"/>
  <c r="T71" i="12"/>
  <c r="U71" i="12"/>
  <c r="V71" i="12"/>
  <c r="H73" i="12"/>
  <c r="I73" i="12"/>
  <c r="J73" i="12"/>
  <c r="K73" i="12"/>
  <c r="L73" i="12"/>
  <c r="M73" i="12"/>
  <c r="N73" i="12"/>
  <c r="O73" i="12"/>
  <c r="P73" i="12"/>
  <c r="Q73" i="12"/>
  <c r="R73" i="12"/>
  <c r="S73" i="12"/>
  <c r="T73" i="12"/>
  <c r="U73" i="12"/>
  <c r="V73" i="12"/>
  <c r="F75" i="12"/>
  <c r="H75" i="12"/>
  <c r="I75" i="12"/>
  <c r="J75" i="12"/>
  <c r="K75" i="12"/>
  <c r="L75" i="12"/>
  <c r="M75" i="12"/>
  <c r="N75" i="12"/>
  <c r="O75" i="12"/>
  <c r="P75" i="12"/>
  <c r="Q75" i="12"/>
  <c r="R75" i="12"/>
  <c r="S75" i="12"/>
  <c r="T75" i="12"/>
  <c r="U75" i="12"/>
  <c r="V75" i="12"/>
  <c r="F76" i="12"/>
  <c r="H76" i="12"/>
  <c r="I76" i="12"/>
  <c r="J76" i="12"/>
  <c r="K76" i="12"/>
  <c r="L76" i="12"/>
  <c r="M76" i="12"/>
  <c r="N76" i="12"/>
  <c r="O76" i="12"/>
  <c r="P76" i="12"/>
  <c r="Q76" i="12"/>
  <c r="R76" i="12"/>
  <c r="S76" i="12"/>
  <c r="T76" i="12"/>
  <c r="U76" i="12"/>
  <c r="V76" i="12"/>
  <c r="F77" i="12"/>
  <c r="H77" i="12"/>
  <c r="I77" i="12"/>
  <c r="J77" i="12"/>
  <c r="K77" i="12"/>
  <c r="L77" i="12"/>
  <c r="M77" i="12"/>
  <c r="N77" i="12"/>
  <c r="O77" i="12"/>
  <c r="P77" i="12"/>
  <c r="Q77" i="12"/>
  <c r="R77" i="12"/>
  <c r="S77" i="12"/>
  <c r="T77" i="12"/>
  <c r="U77" i="12"/>
  <c r="V77" i="12"/>
  <c r="F78" i="12"/>
  <c r="I78" i="12"/>
  <c r="J78" i="12"/>
  <c r="K78" i="12"/>
  <c r="L78" i="12"/>
  <c r="F79" i="12"/>
  <c r="H79" i="12"/>
  <c r="I79" i="12"/>
  <c r="J79" i="12"/>
  <c r="K79" i="12"/>
  <c r="L79" i="12"/>
  <c r="M79" i="12"/>
  <c r="N79" i="12"/>
  <c r="O79" i="12"/>
  <c r="P79" i="12"/>
  <c r="Q79" i="12"/>
  <c r="R79" i="12"/>
  <c r="S79" i="12"/>
  <c r="T79" i="12"/>
  <c r="U79" i="12"/>
  <c r="V79" i="12"/>
  <c r="F87" i="12"/>
  <c r="H87" i="12"/>
  <c r="I87" i="12"/>
  <c r="J87" i="12"/>
  <c r="K87" i="12"/>
  <c r="L87" i="12"/>
  <c r="M87" i="12"/>
  <c r="N87" i="12"/>
  <c r="O87" i="12"/>
  <c r="P87" i="12"/>
  <c r="Q87" i="12"/>
  <c r="R87" i="12"/>
  <c r="S87" i="12"/>
  <c r="T87" i="12"/>
  <c r="U87" i="12"/>
  <c r="V87" i="12"/>
  <c r="F88" i="12"/>
  <c r="I88" i="12"/>
  <c r="J88" i="12"/>
  <c r="K88" i="12"/>
  <c r="L88" i="12"/>
  <c r="F89" i="12"/>
  <c r="H89" i="12"/>
  <c r="I89" i="12"/>
  <c r="J89" i="12"/>
  <c r="K89" i="12"/>
  <c r="L89" i="12"/>
  <c r="M89" i="12"/>
  <c r="N89" i="12"/>
  <c r="O89" i="12"/>
  <c r="P89" i="12"/>
  <c r="Q89" i="12"/>
  <c r="R89" i="12"/>
  <c r="S89" i="12"/>
  <c r="T89" i="12"/>
  <c r="U89" i="12"/>
  <c r="V89" i="12"/>
  <c r="I92" i="12"/>
  <c r="J92" i="12"/>
  <c r="K92" i="12"/>
  <c r="L92" i="12"/>
  <c r="M92" i="12"/>
  <c r="N92" i="12"/>
  <c r="O92" i="12"/>
  <c r="P92" i="12"/>
  <c r="Q92" i="12"/>
  <c r="R92" i="12"/>
  <c r="S92" i="12"/>
  <c r="T92" i="12"/>
  <c r="U92" i="12"/>
  <c r="V92" i="12"/>
  <c r="F93" i="12"/>
  <c r="H93" i="12"/>
  <c r="I93" i="12"/>
  <c r="J93" i="12"/>
  <c r="K93" i="12"/>
  <c r="L93" i="12"/>
  <c r="M93" i="12"/>
  <c r="N93" i="12"/>
  <c r="O93" i="12"/>
  <c r="P93" i="12"/>
  <c r="Q93" i="12"/>
  <c r="R93" i="12"/>
  <c r="S93" i="12"/>
  <c r="T93" i="12"/>
  <c r="U93" i="12"/>
  <c r="V93" i="12"/>
  <c r="F94" i="12"/>
  <c r="H94" i="12"/>
  <c r="I94" i="12"/>
  <c r="J94" i="12"/>
  <c r="K94" i="12"/>
  <c r="L94" i="12"/>
  <c r="M94" i="12"/>
  <c r="N94" i="12"/>
  <c r="O94" i="12"/>
  <c r="P94" i="12"/>
  <c r="Q94" i="12"/>
  <c r="R94" i="12"/>
  <c r="S94" i="12"/>
  <c r="T94" i="12"/>
  <c r="U94" i="12"/>
  <c r="V94" i="12"/>
  <c r="F95" i="12"/>
  <c r="H95" i="12"/>
  <c r="I95" i="12"/>
  <c r="J95" i="12"/>
  <c r="K95" i="12"/>
  <c r="L95" i="12"/>
  <c r="M95" i="12"/>
  <c r="N95" i="12"/>
  <c r="O95" i="12"/>
  <c r="P95" i="12"/>
  <c r="Q95" i="12"/>
  <c r="R95" i="12"/>
  <c r="S95" i="12"/>
  <c r="T95" i="12"/>
  <c r="U95" i="12"/>
  <c r="V95" i="12"/>
  <c r="F97" i="12"/>
  <c r="H97" i="12"/>
  <c r="I97" i="12"/>
  <c r="J97" i="12"/>
  <c r="K97" i="12"/>
  <c r="L97" i="12"/>
  <c r="M97" i="12"/>
  <c r="N97" i="12"/>
  <c r="O97" i="12"/>
  <c r="P97" i="12"/>
  <c r="Q97" i="12"/>
  <c r="R97" i="12"/>
  <c r="S97" i="12"/>
  <c r="T97" i="12"/>
  <c r="U97" i="12"/>
  <c r="V97" i="12"/>
  <c r="F98" i="12"/>
  <c r="H98" i="12"/>
  <c r="I98" i="12"/>
  <c r="J98" i="12"/>
  <c r="K98" i="12"/>
  <c r="L98" i="12"/>
  <c r="M98" i="12"/>
  <c r="N98" i="12"/>
  <c r="O98" i="12"/>
  <c r="P98" i="12"/>
  <c r="Q98" i="12"/>
  <c r="R98" i="12"/>
  <c r="S98" i="12"/>
  <c r="T98" i="12"/>
  <c r="U98" i="12"/>
  <c r="V98" i="12"/>
  <c r="F99" i="12"/>
  <c r="I99" i="12"/>
  <c r="F100" i="12"/>
  <c r="H100" i="12"/>
  <c r="I100" i="12"/>
  <c r="J100" i="12"/>
  <c r="K100" i="12"/>
  <c r="L100" i="12"/>
  <c r="M100" i="12"/>
  <c r="N100" i="12"/>
  <c r="O100" i="12"/>
  <c r="P100" i="12"/>
  <c r="Q100" i="12"/>
  <c r="R100" i="12"/>
  <c r="S100" i="12"/>
  <c r="T100" i="12"/>
  <c r="U100" i="12"/>
  <c r="V100" i="12"/>
  <c r="F106" i="12"/>
  <c r="H106" i="12"/>
  <c r="I106" i="12"/>
  <c r="J106" i="12"/>
  <c r="K106" i="12"/>
  <c r="L106" i="12"/>
  <c r="M106" i="12"/>
  <c r="N106" i="12"/>
  <c r="O106" i="12"/>
  <c r="P106" i="12"/>
  <c r="Q106" i="12"/>
  <c r="R106" i="12"/>
  <c r="S106" i="12"/>
  <c r="T106" i="12"/>
  <c r="U106" i="12"/>
  <c r="V106" i="12"/>
  <c r="F107" i="12"/>
  <c r="H107" i="12"/>
  <c r="I107" i="12"/>
  <c r="J107" i="12"/>
  <c r="K107" i="12"/>
  <c r="L107" i="12"/>
  <c r="M107" i="12"/>
  <c r="N107" i="12"/>
  <c r="O107" i="12"/>
  <c r="P107" i="12"/>
  <c r="Q107" i="12"/>
  <c r="R107" i="12"/>
  <c r="S107" i="12"/>
  <c r="T107" i="12"/>
  <c r="U107" i="12"/>
  <c r="V107" i="12"/>
  <c r="F111" i="12"/>
  <c r="H111" i="12"/>
  <c r="I111" i="12"/>
  <c r="J111" i="12"/>
  <c r="K111" i="12"/>
  <c r="L111" i="12"/>
  <c r="M111" i="12"/>
  <c r="N111" i="12"/>
  <c r="O111" i="12"/>
  <c r="P111" i="12"/>
  <c r="Q111" i="12"/>
  <c r="R111" i="12"/>
  <c r="S111" i="12"/>
  <c r="T111" i="12"/>
  <c r="U111" i="12"/>
  <c r="V111" i="12"/>
  <c r="F112" i="12"/>
  <c r="H112" i="12"/>
  <c r="I112" i="12"/>
  <c r="J112" i="12"/>
  <c r="K112" i="12"/>
  <c r="L112" i="12"/>
  <c r="M112" i="12"/>
  <c r="N112" i="12"/>
  <c r="O112" i="12"/>
  <c r="P112" i="12"/>
  <c r="Q112" i="12"/>
  <c r="R112" i="12"/>
  <c r="S112" i="12"/>
  <c r="T112" i="12"/>
  <c r="U112" i="12"/>
  <c r="V112" i="12"/>
  <c r="F116" i="12"/>
  <c r="H116" i="12"/>
  <c r="I116" i="12"/>
  <c r="J116" i="12"/>
  <c r="K116" i="12"/>
  <c r="L116" i="12"/>
  <c r="M116" i="12"/>
  <c r="N116" i="12"/>
  <c r="O116" i="12"/>
  <c r="P116" i="12"/>
  <c r="Q116" i="12"/>
  <c r="R116" i="12"/>
  <c r="S116" i="12"/>
  <c r="T116" i="12"/>
  <c r="U116" i="12"/>
  <c r="V116" i="12"/>
  <c r="F117" i="12"/>
  <c r="H117" i="12"/>
  <c r="I117" i="12"/>
  <c r="J117" i="12"/>
  <c r="K117" i="12"/>
  <c r="L117" i="12"/>
  <c r="M117" i="12"/>
  <c r="N117" i="12"/>
  <c r="O117" i="12"/>
  <c r="P117" i="12"/>
  <c r="Q117" i="12"/>
  <c r="R117" i="12"/>
  <c r="S117" i="12"/>
  <c r="T117" i="12"/>
  <c r="U117" i="12"/>
  <c r="V117" i="12"/>
  <c r="F121" i="12"/>
  <c r="H121" i="12"/>
  <c r="I121" i="12"/>
  <c r="J121" i="12"/>
  <c r="K121" i="12"/>
  <c r="L121" i="12"/>
  <c r="M121" i="12"/>
  <c r="N121" i="12"/>
  <c r="O121" i="12"/>
  <c r="P121" i="12"/>
  <c r="Q121" i="12"/>
  <c r="R121" i="12"/>
  <c r="S121" i="12"/>
  <c r="T121" i="12"/>
  <c r="U121" i="12"/>
  <c r="V121" i="12"/>
  <c r="F122" i="12"/>
  <c r="H122" i="12"/>
  <c r="I122" i="12"/>
  <c r="J122" i="12"/>
  <c r="K122" i="12"/>
  <c r="L122" i="12"/>
  <c r="M122" i="12"/>
  <c r="N122" i="12"/>
  <c r="O122" i="12"/>
  <c r="P122" i="12"/>
  <c r="Q122" i="12"/>
  <c r="R122" i="12"/>
  <c r="S122" i="12"/>
  <c r="T122" i="12"/>
  <c r="U122" i="12"/>
  <c r="V122" i="12"/>
  <c r="F123" i="12"/>
  <c r="I123" i="12"/>
  <c r="F124" i="12"/>
  <c r="H124" i="12"/>
  <c r="I124" i="12"/>
  <c r="J124" i="12"/>
  <c r="K124" i="12"/>
  <c r="L124" i="12"/>
  <c r="M124" i="12"/>
  <c r="N124" i="12"/>
  <c r="O124" i="12"/>
  <c r="P124" i="12"/>
  <c r="Q124" i="12"/>
  <c r="R124" i="12"/>
  <c r="S124" i="12"/>
  <c r="T124" i="12"/>
  <c r="U124" i="12"/>
  <c r="V124" i="12"/>
  <c r="F126" i="12"/>
  <c r="H126" i="12"/>
  <c r="I126" i="12"/>
  <c r="J126" i="12"/>
  <c r="K126" i="12"/>
  <c r="L126" i="12"/>
  <c r="M126" i="12"/>
  <c r="N126" i="12"/>
  <c r="O126" i="12"/>
  <c r="P126" i="12"/>
  <c r="Q126" i="12"/>
  <c r="R126" i="12"/>
  <c r="S126" i="12"/>
  <c r="T126" i="12"/>
  <c r="U126" i="12"/>
  <c r="V126" i="12"/>
  <c r="F128" i="12"/>
  <c r="H128" i="12"/>
  <c r="I128" i="12"/>
  <c r="J128" i="12"/>
  <c r="K128" i="12"/>
  <c r="L128" i="12"/>
  <c r="M128" i="12"/>
  <c r="N128" i="12"/>
  <c r="O128" i="12"/>
  <c r="P128" i="12"/>
  <c r="Q128" i="12"/>
  <c r="R128" i="12"/>
  <c r="S128" i="12"/>
  <c r="T128" i="12"/>
  <c r="U128" i="12"/>
  <c r="V128" i="12"/>
  <c r="I134" i="12"/>
  <c r="J134" i="12"/>
  <c r="K134" i="12"/>
  <c r="L134" i="12"/>
  <c r="M134" i="12"/>
  <c r="N134" i="12"/>
  <c r="O134" i="12"/>
  <c r="P134" i="12"/>
  <c r="Q134" i="12"/>
  <c r="R134" i="12"/>
  <c r="S134" i="12"/>
  <c r="T134" i="12"/>
  <c r="U134" i="12"/>
  <c r="V134" i="12"/>
  <c r="F135" i="12"/>
  <c r="H135" i="12"/>
  <c r="I135" i="12"/>
  <c r="J135" i="12"/>
  <c r="K135" i="12"/>
  <c r="L135" i="12"/>
  <c r="M135" i="12"/>
  <c r="N135" i="12"/>
  <c r="O135" i="12"/>
  <c r="P135" i="12"/>
  <c r="Q135" i="12"/>
  <c r="R135" i="12"/>
  <c r="S135" i="12"/>
  <c r="T135" i="12"/>
  <c r="U135" i="12"/>
  <c r="V135" i="12"/>
  <c r="H136" i="12"/>
  <c r="I136" i="12"/>
  <c r="J136" i="12"/>
  <c r="K136" i="12"/>
  <c r="L136" i="12"/>
  <c r="M136" i="12"/>
  <c r="N136" i="12"/>
  <c r="O136" i="12"/>
  <c r="P136" i="12"/>
  <c r="Q136" i="12"/>
  <c r="R136" i="12"/>
  <c r="S136" i="12"/>
  <c r="T136" i="12"/>
  <c r="U136" i="12"/>
  <c r="V136" i="12"/>
  <c r="F142" i="12"/>
  <c r="H142" i="12"/>
  <c r="I142" i="12"/>
  <c r="J142" i="12"/>
  <c r="K142" i="12"/>
  <c r="L142" i="12"/>
  <c r="M142" i="12"/>
  <c r="N142" i="12"/>
  <c r="O142" i="12"/>
  <c r="P142" i="12"/>
  <c r="Q142" i="12"/>
  <c r="R142" i="12"/>
  <c r="S142" i="12"/>
  <c r="T142" i="12"/>
  <c r="U142" i="12"/>
  <c r="V142" i="12"/>
  <c r="F143" i="12"/>
  <c r="H143" i="12"/>
  <c r="I143" i="12"/>
  <c r="J143" i="12"/>
  <c r="K143" i="12"/>
  <c r="L143" i="12"/>
  <c r="M143" i="12"/>
  <c r="N143" i="12"/>
  <c r="O143" i="12"/>
  <c r="P143" i="12"/>
  <c r="Q143" i="12"/>
  <c r="R143" i="12"/>
  <c r="S143" i="12"/>
  <c r="T143" i="12"/>
  <c r="U143" i="12"/>
  <c r="V143" i="12"/>
  <c r="F149" i="12"/>
  <c r="H149" i="12"/>
  <c r="I149" i="12"/>
  <c r="J149" i="12"/>
  <c r="K149" i="12"/>
  <c r="L149" i="12"/>
  <c r="M149" i="12"/>
  <c r="N149" i="12"/>
  <c r="O149" i="12"/>
  <c r="P149" i="12"/>
  <c r="Q149" i="12"/>
  <c r="R149" i="12"/>
  <c r="S149" i="12"/>
  <c r="T149" i="12"/>
  <c r="U149" i="12"/>
  <c r="V149" i="12"/>
  <c r="F150" i="12"/>
  <c r="H150" i="12"/>
  <c r="I150" i="12"/>
  <c r="J150" i="12"/>
  <c r="K150" i="12"/>
  <c r="L150" i="12"/>
  <c r="M150" i="12"/>
  <c r="N150" i="12"/>
  <c r="O150" i="12"/>
  <c r="P150" i="12"/>
  <c r="Q150" i="12"/>
  <c r="R150" i="12"/>
  <c r="S150" i="12"/>
  <c r="T150" i="12"/>
  <c r="U150" i="12"/>
  <c r="V150" i="12"/>
  <c r="F154" i="12"/>
  <c r="H154" i="12"/>
  <c r="I154" i="12"/>
  <c r="J154" i="12"/>
  <c r="K154" i="12"/>
  <c r="L154" i="12"/>
  <c r="M154" i="12"/>
  <c r="N154" i="12"/>
  <c r="O154" i="12"/>
  <c r="P154" i="12"/>
  <c r="Q154" i="12"/>
  <c r="R154" i="12"/>
  <c r="S154" i="12"/>
  <c r="T154" i="12"/>
  <c r="U154" i="12"/>
  <c r="V154" i="12"/>
  <c r="F155" i="12"/>
  <c r="H155" i="12"/>
  <c r="I155" i="12"/>
  <c r="J155" i="12"/>
  <c r="K155" i="12"/>
  <c r="L155" i="12"/>
  <c r="M155" i="12"/>
  <c r="N155" i="12"/>
  <c r="O155" i="12"/>
  <c r="P155" i="12"/>
  <c r="Q155" i="12"/>
  <c r="R155" i="12"/>
  <c r="S155" i="12"/>
  <c r="T155" i="12"/>
  <c r="U155" i="12"/>
  <c r="V155" i="12"/>
  <c r="F159" i="12"/>
  <c r="H159" i="12"/>
  <c r="I159" i="12"/>
  <c r="J159" i="12"/>
  <c r="K159" i="12"/>
  <c r="L159" i="12"/>
  <c r="M159" i="12"/>
  <c r="N159" i="12"/>
  <c r="O159" i="12"/>
  <c r="P159" i="12"/>
  <c r="Q159" i="12"/>
  <c r="R159" i="12"/>
  <c r="S159" i="12"/>
  <c r="T159" i="12"/>
  <c r="U159" i="12"/>
  <c r="V159" i="12"/>
  <c r="F160" i="12"/>
  <c r="H160" i="12"/>
  <c r="I160" i="12"/>
  <c r="J160" i="12"/>
  <c r="K160" i="12"/>
  <c r="L160" i="12"/>
  <c r="M160" i="12"/>
  <c r="N160" i="12"/>
  <c r="O160" i="12"/>
  <c r="P160" i="12"/>
  <c r="Q160" i="12"/>
  <c r="R160" i="12"/>
  <c r="S160" i="12"/>
  <c r="T160" i="12"/>
  <c r="U160" i="12"/>
  <c r="V160" i="12"/>
  <c r="F164" i="12"/>
  <c r="H164" i="12"/>
  <c r="I164" i="12"/>
  <c r="J164" i="12"/>
  <c r="K164" i="12"/>
  <c r="L164" i="12"/>
  <c r="M164" i="12"/>
  <c r="N164" i="12"/>
  <c r="O164" i="12"/>
  <c r="P164" i="12"/>
  <c r="Q164" i="12"/>
  <c r="R164" i="12"/>
  <c r="S164" i="12"/>
  <c r="T164" i="12"/>
  <c r="U164" i="12"/>
  <c r="V164" i="12"/>
  <c r="F165" i="12"/>
  <c r="H165" i="12"/>
  <c r="I165" i="12"/>
  <c r="J165" i="12"/>
  <c r="K165" i="12"/>
  <c r="L165" i="12"/>
  <c r="M165" i="12"/>
  <c r="N165" i="12"/>
  <c r="O165" i="12"/>
  <c r="P165" i="12"/>
  <c r="Q165" i="12"/>
  <c r="R165" i="12"/>
  <c r="S165" i="12"/>
  <c r="T165" i="12"/>
  <c r="U165" i="12"/>
  <c r="V165" i="12"/>
  <c r="F169" i="12"/>
  <c r="I169" i="12"/>
  <c r="F170" i="12"/>
  <c r="I170" i="12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D48" i="3"/>
  <c r="K48" i="3"/>
  <c r="L48" i="3"/>
  <c r="M48" i="3"/>
  <c r="N48" i="3"/>
  <c r="O48" i="3"/>
  <c r="P48" i="3"/>
  <c r="Q48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C10" i="15"/>
  <c r="C11" i="15"/>
  <c r="C13" i="15"/>
  <c r="C14" i="15"/>
  <c r="D30" i="15"/>
  <c r="E30" i="15"/>
  <c r="D32" i="15"/>
  <c r="E32" i="15"/>
  <c r="C33" i="15"/>
  <c r="D33" i="15"/>
  <c r="E33" i="15"/>
  <c r="C35" i="15"/>
  <c r="D35" i="15"/>
  <c r="E35" i="15"/>
  <c r="D36" i="15"/>
  <c r="E36" i="15"/>
  <c r="D38" i="15"/>
  <c r="E38" i="15"/>
  <c r="D41" i="15"/>
  <c r="E41" i="15"/>
  <c r="D42" i="15"/>
  <c r="E42" i="15"/>
  <c r="D43" i="15"/>
  <c r="E43" i="15"/>
  <c r="G6" i="24"/>
  <c r="G7" i="24"/>
  <c r="G8" i="24"/>
  <c r="G10" i="24"/>
  <c r="G11" i="24"/>
  <c r="G13" i="24"/>
  <c r="G16" i="24"/>
  <c r="G17" i="24"/>
  <c r="G21" i="24"/>
  <c r="G24" i="24"/>
  <c r="G27" i="24"/>
  <c r="G30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tc={DCF3E82E-D4DA-491B-951F-6F27159F99AF}</author>
  </authors>
  <commentList>
    <comment ref="C237" authorId="0" shapeId="0" xr:uid="{DCF3E82E-D4DA-491B-951F-6F27159F99AF}">
      <text>
        <t>[Threaded comment]
Your version of Excel allows you to read this threaded comment; however, any edits to it will get removed if the file is opened in a newer version of Excel. Learn more: https://go.microsoft.com/fwlink/?linkid=870924
Comment:
    Before 2030 Deducting Sold units, Adding Back in 2031 again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H88" authorId="0" shapeId="0" xr:uid="{F4F49CB3-BF6D-489B-8649-AFB238EDBDF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IDC + upfront fee drawdown. Sized to fill the gap to the 50k cash floor during the construction window only.
Formula: IF(row 83 = 1, MIN(IDC + upfront, MAX(0, 50k floor - cash before financing draw)), 0)
- Row 83: construction window flag (1 = active)
- Row 97: IDC accrued this year
- Row 99: upfront fee (capitalized, year 2026 only)
- $F$7: minimum cash floor (50,000)
- Row 69: cash available before debt drawdown
Creates an intentional circular reference (drawdown -&gt; IDC accrual -&gt; drawdown). Iterative calc must remain enabled (max 100 iter, tolerance 0.001).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<sst xmlns="http://schemas.openxmlformats.org/spreadsheetml/2006/main" count="1748" uniqueCount="805">
  <si>
    <t>DESCRIPTION</t>
  </si>
  <si>
    <t>Branded Apartments T2 &amp; T3 (Phase 2)</t>
  </si>
  <si>
    <t>Branded Apartments T4 &amp; T5 (Phase 3)</t>
  </si>
  <si>
    <t>Total Residential Revenue</t>
  </si>
  <si>
    <t>Residential Revenue</t>
  </si>
  <si>
    <t>Hospitality Revenue</t>
  </si>
  <si>
    <t>VOCO Hotel (Phase 1)</t>
  </si>
  <si>
    <t>Residential Tower 01 (Phase 2)</t>
  </si>
  <si>
    <t>Hotel 01 - 336 Keys (Phase 2)</t>
  </si>
  <si>
    <t>Retail Revenue</t>
  </si>
  <si>
    <t>Total Revenue</t>
  </si>
  <si>
    <t>Total Retail Revenue</t>
  </si>
  <si>
    <t>Support Retail (Phase 2)</t>
  </si>
  <si>
    <t>Support Retail (Phase 3)</t>
  </si>
  <si>
    <t>Cost of Sales</t>
  </si>
  <si>
    <t>Retail cost of sales</t>
  </si>
  <si>
    <t>Residential cost of sales</t>
  </si>
  <si>
    <t>Total Cost of Sales</t>
  </si>
  <si>
    <t>Operating Expenses</t>
  </si>
  <si>
    <t>Retail operating expenses</t>
  </si>
  <si>
    <t>Hospitality operating expenses</t>
  </si>
  <si>
    <t>Total Operating Expenses</t>
  </si>
  <si>
    <t>EBIZDA</t>
  </si>
  <si>
    <t>Total</t>
  </si>
  <si>
    <t>Revenue Received</t>
  </si>
  <si>
    <t>Residential revenue</t>
  </si>
  <si>
    <t>Hospitality revenue</t>
  </si>
  <si>
    <t>Retail revenue</t>
  </si>
  <si>
    <t>Total Revenue Received</t>
  </si>
  <si>
    <t>Zakat Paid</t>
  </si>
  <si>
    <t>Total Costs Paid</t>
  </si>
  <si>
    <t>Cash Flow from operations</t>
  </si>
  <si>
    <t>Exit Value</t>
  </si>
  <si>
    <t>Capital expenditure excl. inventory cost</t>
  </si>
  <si>
    <t>Residential Capex</t>
  </si>
  <si>
    <t>Hospitality Capex</t>
  </si>
  <si>
    <t>Retail Capex</t>
  </si>
  <si>
    <t>Total Capex excl. inventory cost</t>
  </si>
  <si>
    <t>Cash Flow from invetsment</t>
  </si>
  <si>
    <t>Cash Flow from Financing</t>
  </si>
  <si>
    <t>Net Cash Flow</t>
  </si>
  <si>
    <t>Opening Cash</t>
  </si>
  <si>
    <t>Closing Cash</t>
  </si>
  <si>
    <t>Phase</t>
  </si>
  <si>
    <t>Support Retail</t>
  </si>
  <si>
    <t xml:space="preserve">Hotel 01 - 336 Keys </t>
  </si>
  <si>
    <t xml:space="preserve">Residential Tower 01 </t>
  </si>
  <si>
    <t xml:space="preserve">Branded Apartments T4 &amp; T5 </t>
  </si>
  <si>
    <t xml:space="preserve">   Branded Apartments T2 &amp; T3 </t>
  </si>
  <si>
    <t xml:space="preserve">   Branded Apartments T4 &amp; T5 </t>
  </si>
  <si>
    <t xml:space="preserve">   Residential Tower 01 </t>
  </si>
  <si>
    <t xml:space="preserve">   Hotel 01 - 336 Keys </t>
  </si>
  <si>
    <t>Branded Apartments T2 &amp; T3</t>
  </si>
  <si>
    <t xml:space="preserve">VOCO Hotel </t>
  </si>
  <si>
    <t xml:space="preserve">Support Retail </t>
  </si>
  <si>
    <t xml:space="preserve">Pre-Sales from Residential Tower 01 </t>
  </si>
  <si>
    <t xml:space="preserve">Pre-Sales from Branded Apartments T4 &amp; T5 </t>
  </si>
  <si>
    <t xml:space="preserve">Pre-Sales from Branded Apartments T2 &amp; T3 </t>
  </si>
  <si>
    <t>1 BR</t>
  </si>
  <si>
    <t>2 BR</t>
  </si>
  <si>
    <t>Pre-Sale Area</t>
  </si>
  <si>
    <t>Pre sales</t>
  </si>
  <si>
    <t>SAR/SQM</t>
  </si>
  <si>
    <t>Area SQM</t>
  </si>
  <si>
    <t>uom</t>
  </si>
  <si>
    <t>Total Area</t>
  </si>
  <si>
    <t>Total Pre Sales</t>
  </si>
  <si>
    <t>Indexation Factor</t>
  </si>
  <si>
    <t>%</t>
  </si>
  <si>
    <t>Period</t>
  </si>
  <si>
    <t>SAR'000</t>
  </si>
  <si>
    <t xml:space="preserve">Cumulative cash payment profile </t>
  </si>
  <si>
    <t>Cash Payment Profile</t>
  </si>
  <si>
    <t>Cumulative Payment Profile</t>
  </si>
  <si>
    <t xml:space="preserve">Total </t>
  </si>
  <si>
    <t>Pre Sales Units</t>
  </si>
  <si>
    <t>Units</t>
  </si>
  <si>
    <t>SAR/Unit</t>
  </si>
  <si>
    <t>Branded Suites</t>
  </si>
  <si>
    <t>1 BR Apartment</t>
  </si>
  <si>
    <t>2 BR Apartment</t>
  </si>
  <si>
    <t>Pre-Sales Revenue Received</t>
  </si>
  <si>
    <t>Total Pre-Sales Revenue Received</t>
  </si>
  <si>
    <t>Area sold during operation</t>
  </si>
  <si>
    <t>Total Sales During Operation</t>
  </si>
  <si>
    <t>Sales During Operation</t>
  </si>
  <si>
    <t>Branded Apartments T4 &amp; T5</t>
  </si>
  <si>
    <t>Revenue recoginition profile during construction</t>
  </si>
  <si>
    <t>Revenue recoginition profile cumulative</t>
  </si>
  <si>
    <t>Revenue</t>
  </si>
  <si>
    <t>Total Revenue Recognized</t>
  </si>
  <si>
    <t>Residential Tower 01</t>
  </si>
  <si>
    <t>1. Land cost</t>
  </si>
  <si>
    <t>Rate</t>
  </si>
  <si>
    <t>3. Construction (Parking)</t>
  </si>
  <si>
    <t>4. Infrastructure</t>
  </si>
  <si>
    <t>5. Landscaping</t>
  </si>
  <si>
    <t>7. Professional fee</t>
  </si>
  <si>
    <t>8. Commission fee</t>
  </si>
  <si>
    <t>9. Contingency fee</t>
  </si>
  <si>
    <t>Driver</t>
  </si>
  <si>
    <t>Quantity / Base</t>
  </si>
  <si>
    <t>Land sqm × rate × active</t>
  </si>
  <si>
    <t>Parking sqm × rate</t>
  </si>
  <si>
    <t>Land sqm × % × rate</t>
  </si>
  <si>
    <t>6. Pre-operating</t>
  </si>
  <si>
    <t>% × (Const + Infra + Landscape)</t>
  </si>
  <si>
    <t>% × Construction (BUA + Parking)</t>
  </si>
  <si>
    <t xml:space="preserve">    2.1 1 BR</t>
  </si>
  <si>
    <t>sqm × rate</t>
  </si>
  <si>
    <t xml:space="preserve">    2.2 2 BR</t>
  </si>
  <si>
    <t xml:space="preserve">    2.3 Support Area</t>
  </si>
  <si>
    <t xml:space="preserve">  Subtotal Construction (BUA)</t>
  </si>
  <si>
    <t xml:space="preserve">    2.1 Hotel Suite</t>
  </si>
  <si>
    <t xml:space="preserve">    2.2 1 BR</t>
  </si>
  <si>
    <t xml:space="preserve">    2.3 2 BR</t>
  </si>
  <si>
    <t>Parking sqm × rate (n/a)</t>
  </si>
  <si>
    <t xml:space="preserve">    2.1 Branded Suites</t>
  </si>
  <si>
    <t xml:space="preserve">    2.2 1 BR Apartment</t>
  </si>
  <si>
    <t xml:space="preserve">    2.3 2 BR Apartment</t>
  </si>
  <si>
    <t xml:space="preserve">    2.4 Support Area</t>
  </si>
  <si>
    <t xml:space="preserve">    2.1 Twin</t>
  </si>
  <si>
    <t xml:space="preserve">    2.2 King</t>
  </si>
  <si>
    <t xml:space="preserve">    2.1 Support Retail (Phase 2)</t>
  </si>
  <si>
    <t xml:space="preserve">    2.2 Support Retail (Phase 3)</t>
  </si>
  <si>
    <t>Construction (BUA + Parking)</t>
  </si>
  <si>
    <t>Infrastructure</t>
  </si>
  <si>
    <t>Landscaping</t>
  </si>
  <si>
    <t>Pre-operating</t>
  </si>
  <si>
    <t>Commission</t>
  </si>
  <si>
    <t>Contingency</t>
  </si>
  <si>
    <t>% × Pre-sale &amp; Post Operation Revenue</t>
  </si>
  <si>
    <t>Land</t>
  </si>
  <si>
    <t>Professional fee</t>
  </si>
  <si>
    <t>Check (=100%)</t>
  </si>
  <si>
    <t>Capex Asset &amp; Sub-Asset Cost Stack with Cash Flow Allocation</t>
  </si>
  <si>
    <t>Cash Flow Allocation - by Year (% of category total)</t>
  </si>
  <si>
    <t>Branded Apartments T2 &amp; T3 - Allocation %</t>
  </si>
  <si>
    <t>Branded Apartments T4 &amp; T5 - Allocation %</t>
  </si>
  <si>
    <t>Residential Tower 01 - Allocation %</t>
  </si>
  <si>
    <t>Hotel 01 - 336 Keys - Allocation %</t>
  </si>
  <si>
    <t>Branded Apartments T2 &amp; T3 - Phase 2 (Residential)</t>
  </si>
  <si>
    <t>2. Construction (BUA) - by sub-unit</t>
  </si>
  <si>
    <t>Branded Apartments T4 &amp; T5 - Phase 3 (Residential)</t>
  </si>
  <si>
    <t>Residential Tower 01 - Phase 2 (Residential)</t>
  </si>
  <si>
    <t>Hotel 01 - 336 Keys (Hospitality)</t>
  </si>
  <si>
    <t>3. Construction (Parking) - n/a</t>
  </si>
  <si>
    <t>Indexation p.a.</t>
  </si>
  <si>
    <t>Year</t>
  </si>
  <si>
    <t>Indexation factor</t>
  </si>
  <si>
    <t>Keys</t>
  </si>
  <si>
    <t>Twin</t>
  </si>
  <si>
    <t>King</t>
  </si>
  <si>
    <t>Inputs</t>
  </si>
  <si>
    <t>Room Revenue</t>
  </si>
  <si>
    <t>Operations Start Year</t>
  </si>
  <si>
    <t>Days per year</t>
  </si>
  <si>
    <t>Unit</t>
  </si>
  <si>
    <t>F&amp;B Revenue</t>
  </si>
  <si>
    <t>Post-handover sale (in 2030)</t>
  </si>
  <si>
    <t>Occupancy</t>
  </si>
  <si>
    <t>x</t>
  </si>
  <si>
    <t>nights</t>
  </si>
  <si>
    <t>F&amp;B revenue (% of Room Revenue)</t>
  </si>
  <si>
    <t>Available room-nights</t>
  </si>
  <si>
    <t>Number of Occupied Rooms</t>
  </si>
  <si>
    <t>ADR</t>
  </si>
  <si>
    <t>SAR</t>
  </si>
  <si>
    <t>Other Revenue</t>
  </si>
  <si>
    <t>Total number of rooms</t>
  </si>
  <si>
    <t>Number of nights in a year</t>
  </si>
  <si>
    <t>Other Revenue (% of Room Revenue)</t>
  </si>
  <si>
    <t>ADR growth rate</t>
  </si>
  <si>
    <t>Occupied Units</t>
  </si>
  <si>
    <t>Total Units</t>
  </si>
  <si>
    <t>Total Occupied Units</t>
  </si>
  <si>
    <t xml:space="preserve">Revenue </t>
  </si>
  <si>
    <t>Total Units Revenue</t>
  </si>
  <si>
    <t>Total Revenue - Residential Tower 01</t>
  </si>
  <si>
    <t>Units Revenue</t>
  </si>
  <si>
    <t>Occupied Units in a Year</t>
  </si>
  <si>
    <t>Hotel 01 - 336 Keys</t>
  </si>
  <si>
    <t>VOCO Hotel</t>
  </si>
  <si>
    <t>Total Hospitality Revenue</t>
  </si>
  <si>
    <t>Occupied in a Year</t>
  </si>
  <si>
    <t>SAR/key</t>
  </si>
  <si>
    <t>Total Revenue - Hotel 01 336 Keys</t>
  </si>
  <si>
    <t>Total Revenue - VOCO Hotel</t>
  </si>
  <si>
    <t>Occupied Lease Area</t>
  </si>
  <si>
    <t>SQM</t>
  </si>
  <si>
    <t>Support Revenue</t>
  </si>
  <si>
    <t>Total Revenue - Support Retail</t>
  </si>
  <si>
    <t>Phase 1 Revenue</t>
  </si>
  <si>
    <t>End of Sheet</t>
  </si>
  <si>
    <t>Revenue Summary</t>
  </si>
  <si>
    <t>Total Pre-Sales Revenue Received - CF</t>
  </si>
  <si>
    <t>ASSUMPTIONS &amp; INPUTS</t>
  </si>
  <si>
    <t>Value</t>
  </si>
  <si>
    <t>Unit / Note</t>
  </si>
  <si>
    <t>Facility size</t>
  </si>
  <si>
    <t>Per annum</t>
  </si>
  <si>
    <t>Tenor</t>
  </si>
  <si>
    <t>Years</t>
  </si>
  <si>
    <t>Drawdown year</t>
  </si>
  <si>
    <t>Year fully drawn (start-forward)</t>
  </si>
  <si>
    <t>Repayment method</t>
  </si>
  <si>
    <t>From SNB Repayment_V8_NEW (14/04/2026)</t>
  </si>
  <si>
    <t>Opening balance</t>
  </si>
  <si>
    <t xml:space="preserve">  + Drawdown</t>
  </si>
  <si>
    <t xml:space="preserve">  − Repayment</t>
  </si>
  <si>
    <t>Closing balance</t>
  </si>
  <si>
    <t>Total project capex (source MAAD R143)</t>
  </si>
  <si>
    <t>Funding gap = MAX(Capex − Pre-sales, 0) per period</t>
  </si>
  <si>
    <t>TRANCHE 2 DRAWDOWN &amp; FINANCING SCHEDULE</t>
  </si>
  <si>
    <t>Interest rate during construction</t>
  </si>
  <si>
    <t>Interest rate during operations</t>
  </si>
  <si>
    <t>Upfront fee % of facility</t>
  </si>
  <si>
    <t>Repayment start year</t>
  </si>
  <si>
    <t>Construction window flag (1 = active)</t>
  </si>
  <si>
    <t>Repayment window flag (1 = active)</t>
  </si>
  <si>
    <t>DRAWDOWN SCHEDULE</t>
  </si>
  <si>
    <t xml:space="preserve">  Capex debt drawn (gap × 45%)</t>
  </si>
  <si>
    <t xml:space="preserve">  Financing cost drawn (IDC + upfront fee)</t>
  </si>
  <si>
    <t>Total T2 drawdown</t>
  </si>
  <si>
    <t>BALANCE SCHEDULE</t>
  </si>
  <si>
    <t xml:space="preserve">  Opening balance</t>
  </si>
  <si>
    <t xml:space="preserve">    + Drawdown</t>
  </si>
  <si>
    <t xml:space="preserve">    − Repayment</t>
  </si>
  <si>
    <t xml:space="preserve">  Closing balance</t>
  </si>
  <si>
    <t>FINANCING COSTS</t>
  </si>
  <si>
    <t xml:space="preserve">  IDC during construction (capitalised)</t>
  </si>
  <si>
    <t xml:space="preserve">  Operating interest</t>
  </si>
  <si>
    <t xml:space="preserve">  Upfront fee</t>
  </si>
  <si>
    <t>DRAWDOWN</t>
  </si>
  <si>
    <t xml:space="preserve">  Tranche 1 (SNB 2.4 Bn)</t>
  </si>
  <si>
    <t xml:space="preserve">  Tranche 2 (Phase 2 &amp; 3)</t>
  </si>
  <si>
    <t>Total drawdown</t>
  </si>
  <si>
    <t>REPAYMENT</t>
  </si>
  <si>
    <t xml:space="preserve">  Tranche 1</t>
  </si>
  <si>
    <t xml:space="preserve">  Tranche 2</t>
  </si>
  <si>
    <t>Total repayment</t>
  </si>
  <si>
    <t>BALANCE</t>
  </si>
  <si>
    <t xml:space="preserve">  Tranche 1 closing</t>
  </si>
  <si>
    <t xml:space="preserve">  Tranche 2 closing</t>
  </si>
  <si>
    <t>Total closing balance</t>
  </si>
  <si>
    <t>INTEREST &amp; FINANCE COSTS</t>
  </si>
  <si>
    <t>VARIANCE vs MAIN MODEL (Consol_Financial Statements)</t>
  </si>
  <si>
    <t xml:space="preserve">  Source MAAD (hardcoded)</t>
  </si>
  <si>
    <t xml:space="preserve">  Our model</t>
  </si>
  <si>
    <t xml:space="preserve">  Variance (Our − Source)</t>
  </si>
  <si>
    <t>VARIANCE EXPLANATION</t>
  </si>
  <si>
    <t>Tranche 2 - Inputs &amp; drivers</t>
  </si>
  <si>
    <t>Total interest &amp; finance costs</t>
  </si>
  <si>
    <t>Finance Cost - Capitalized</t>
  </si>
  <si>
    <t>Finance Cost - Charged to P&amp;L</t>
  </si>
  <si>
    <t>Debt Portion</t>
  </si>
  <si>
    <t>Equity Portion</t>
  </si>
  <si>
    <t xml:space="preserve">Manual % schedule </t>
  </si>
  <si>
    <t>Repayment Schedule</t>
  </si>
  <si>
    <t>TRANCHE 1 - SNB Phase 1 Loan</t>
  </si>
  <si>
    <t>Interest Expense</t>
  </si>
  <si>
    <t>Tranche 1 - SNB Phase 1 (Start-Forward)</t>
  </si>
  <si>
    <t>SAR'000 (= 2.4 Bn). Hardcoded drawdown - NOT capex-driven.</t>
  </si>
  <si>
    <t>Interest rate - operating</t>
  </si>
  <si>
    <t>TOTAL DEBT - COMBINED SUMMARY (T1 + T2)</t>
  </si>
  <si>
    <t>P&amp;L - INTEREST &amp; FINANCING COST (source row 69)</t>
  </si>
  <si>
    <t>CF - DEBT DRAWDOWN (source row 147)</t>
  </si>
  <si>
    <t>CF - DEBT REPAYMENT (source row 154)</t>
  </si>
  <si>
    <t>CF - IDC PAID IN CASH (source row 148)</t>
  </si>
  <si>
    <t xml:space="preserve">  Our model (memo - capitalised, not cash)</t>
  </si>
  <si>
    <t>CF - UPFRONT FEES PAID (source row 150)</t>
  </si>
  <si>
    <t>UOM</t>
  </si>
  <si>
    <t>SAR '000</t>
  </si>
  <si>
    <t>T1 operating interest</t>
  </si>
  <si>
    <t>T2 operating interest (incl. grace)</t>
  </si>
  <si>
    <t>T2 IDC (capitalised - memo only)</t>
  </si>
  <si>
    <t>Upfront Fees (capitalised)</t>
  </si>
  <si>
    <t>Debt Funding</t>
  </si>
  <si>
    <t>Equity Funding</t>
  </si>
  <si>
    <t>TRANCHE 2 - Phase 2 &amp; 3 Funding</t>
  </si>
  <si>
    <t>Total Financing Cost</t>
  </si>
  <si>
    <t>Equity Funding  Phase 2 &amp; 3</t>
  </si>
  <si>
    <t>EQUITY CONTRIBUTION SCHEDULE</t>
  </si>
  <si>
    <t>Total equity contribution</t>
  </si>
  <si>
    <t xml:space="preserve">    + Contribution</t>
  </si>
  <si>
    <t>Total Funding Phase 2 &amp; 3</t>
  </si>
  <si>
    <t>Total Funding Phase 2 &amp; 3 Incl. Financing Cost</t>
  </si>
  <si>
    <t xml:space="preserve">  Opening Balance</t>
  </si>
  <si>
    <t>TOTAL CAPEX (T2 &amp; T3) Excl. Land</t>
  </si>
  <si>
    <t>TOTAL CAPEX (T2 &amp; T3) Incl. Land</t>
  </si>
  <si>
    <t>TOTAL CAPEX (T4 &amp; T5) Excl. Land</t>
  </si>
  <si>
    <t>TOTAL CAPEX (T4 &amp; T5) Incl. Land</t>
  </si>
  <si>
    <t>TOTAL CAPEX (Tower 01) Excl. Land</t>
  </si>
  <si>
    <t>TOTAL CAPEX (Tower 01) Incl. Land</t>
  </si>
  <si>
    <t>TOTAL CAPEX (Hotel 01) Excl. Land</t>
  </si>
  <si>
    <t>TOTAL CAPEX (Hotel 01) Incl. Land</t>
  </si>
  <si>
    <t>TOTAL CAPEX (Support Retail) Excl. Land</t>
  </si>
  <si>
    <t>TOTAL CAPEX (Support Retail) Incl. Land</t>
  </si>
  <si>
    <t>TOTAL CAPEX Excl. Land</t>
  </si>
  <si>
    <t>TOTAL CAPEX Incl. Land</t>
  </si>
  <si>
    <t>TOTAL Land Cost</t>
  </si>
  <si>
    <t>Support Retail - Phase 2</t>
  </si>
  <si>
    <t>Support Retail - Phase 3</t>
  </si>
  <si>
    <t>Asset Wise Capex Summary - Excl. Land</t>
  </si>
  <si>
    <t>Asset Wise Land Cost Summary</t>
  </si>
  <si>
    <t>Asset Wise Capex Summary</t>
  </si>
  <si>
    <t>Total Land Cost</t>
  </si>
  <si>
    <t>Asset Wise Capex Summary - Incl. Land</t>
  </si>
  <si>
    <t>Capex</t>
  </si>
  <si>
    <t>Debt</t>
  </si>
  <si>
    <t>Line</t>
  </si>
  <si>
    <t>Source</t>
  </si>
  <si>
    <t>Total Revenue Received (CF)</t>
  </si>
  <si>
    <t>CF!D19</t>
  </si>
  <si>
    <t xml:space="preserve">  Residential pre-sales</t>
  </si>
  <si>
    <t xml:space="preserve">  Hospitality (VOCO + Tower 01 + Hotel 01)</t>
  </si>
  <si>
    <t xml:space="preserve">  Retail (Support Retail Phase 2 + 3)</t>
  </si>
  <si>
    <t>Total Costs Paid (incl. Zakat)</t>
  </si>
  <si>
    <t>Exit Value (2039)</t>
  </si>
  <si>
    <t>Net Operating Income (P&amp;L)</t>
  </si>
  <si>
    <t>Net Cash Flow (cumulative)</t>
  </si>
  <si>
    <t>Closing Cash (2039)</t>
  </si>
  <si>
    <t>Asset</t>
  </si>
  <si>
    <t>Excl. Land</t>
  </si>
  <si>
    <t>Incl. Land</t>
  </si>
  <si>
    <t>TOTAL CAPEX</t>
  </si>
  <si>
    <t>Debt!F8</t>
  </si>
  <si>
    <t>Variance Line</t>
  </si>
  <si>
    <t>Our Model</t>
  </si>
  <si>
    <t>Variance</t>
  </si>
  <si>
    <t>CF Debt Repayment</t>
  </si>
  <si>
    <t>Closing Balance</t>
  </si>
  <si>
    <t>MAAD RESIDENTIAL</t>
  </si>
  <si>
    <t>Financial Feasibility Model</t>
  </si>
  <si>
    <t>PROJECT OVERVIEW</t>
  </si>
  <si>
    <t>Project name</t>
  </si>
  <si>
    <t>Asset mix</t>
  </si>
  <si>
    <t>Currency</t>
  </si>
  <si>
    <t>Time horizon</t>
  </si>
  <si>
    <t>P&amp;L scope</t>
  </si>
  <si>
    <t>Source model</t>
  </si>
  <si>
    <t>WORKBOOK CONTENTS</t>
  </si>
  <si>
    <t>Tab</t>
  </si>
  <si>
    <t>Description</t>
  </si>
  <si>
    <t>Cover</t>
  </si>
  <si>
    <t>Review Summary</t>
  </si>
  <si>
    <t>KEY HEADLINES</t>
  </si>
  <si>
    <t>Metric</t>
  </si>
  <si>
    <t>Total Capex (Excl. Land)</t>
  </si>
  <si>
    <t>Total Capex (Incl. Land)</t>
  </si>
  <si>
    <t>Tranche 1 Facility (SNB)</t>
  </si>
  <si>
    <t>Tranche 2 Total Drawdown</t>
  </si>
  <si>
    <t>Project overview, contents, key headlines</t>
  </si>
  <si>
    <t>MAAD Residential - Mixed-use (Phase 1, 2 &amp; 3)</t>
  </si>
  <si>
    <t>Branded apartments (T2-T5), Tower 01, Hotel 01, Support Retail</t>
  </si>
  <si>
    <t>15 years (2025-2039), annual</t>
  </si>
  <si>
    <t>Operating P&amp;L to EBITDA only</t>
  </si>
  <si>
    <t>MAAD Feasibility Scenario 7.0.xlsb</t>
  </si>
  <si>
    <t>Pre-Sales from Residential Tower 01</t>
  </si>
  <si>
    <t>Costs</t>
  </si>
  <si>
    <t>Operating Costs</t>
  </si>
  <si>
    <t>Utilities</t>
  </si>
  <si>
    <t>Residential Tower 01 (Hotel)</t>
  </si>
  <si>
    <t>Total Tower 01 OpEx</t>
  </si>
  <si>
    <t>Total Hotel 01 OpEx</t>
  </si>
  <si>
    <t>Revenue (linked from Revenue sheet)</t>
  </si>
  <si>
    <t>Total Revenue (operated)</t>
  </si>
  <si>
    <t>Rooms revenue</t>
  </si>
  <si>
    <t>F&amp;B revenue</t>
  </si>
  <si>
    <t>Total VOCO Revenue</t>
  </si>
  <si>
    <t>Units (Rooms) revenue</t>
  </si>
  <si>
    <t>Total Tower 01 Revenue</t>
  </si>
  <si>
    <t>Total Hotel 01 Revenue</t>
  </si>
  <si>
    <t>% basis</t>
  </si>
  <si>
    <t>Departmental Expenses</t>
  </si>
  <si>
    <t>F&amp;B expense</t>
  </si>
  <si>
    <t>% F&amp;B rev</t>
  </si>
  <si>
    <t>Undistributed Expenses</t>
  </si>
  <si>
    <t>% total rev</t>
  </si>
  <si>
    <t>G&amp;A</t>
  </si>
  <si>
    <t>Sales &amp; Marketing</t>
  </si>
  <si>
    <t>Operations &amp; Maintenance</t>
  </si>
  <si>
    <t>Units (Rooms) expense</t>
  </si>
  <si>
    <t>% Units rev</t>
  </si>
  <si>
    <t>% Ph2 rev</t>
  </si>
  <si>
    <t>% Ph3 rev</t>
  </si>
  <si>
    <t>Total Retail OpEx</t>
  </si>
  <si>
    <t>TOTAL OPERATING COSTS</t>
  </si>
  <si>
    <t>Operating margin (cross-check)</t>
  </si>
  <si>
    <t>TOTAL OPERATING COSTS (source row 55)</t>
  </si>
  <si>
    <t>BY ASSET (source rows)</t>
  </si>
  <si>
    <t xml:space="preserve">  Source Hospitality (row 46)</t>
  </si>
  <si>
    <t xml:space="preserve">  Our Hospitality (VOCO+T01+H01)</t>
  </si>
  <si>
    <t xml:space="preserve">  Variance Hospitality</t>
  </si>
  <si>
    <t xml:space="preserve">  Source Retail (row 44)</t>
  </si>
  <si>
    <t xml:space="preserve">  Our Retail (Ph2+Ph3)</t>
  </si>
  <si>
    <t xml:space="preserve">  Variance Retail</t>
  </si>
  <si>
    <t>NOP % (source: Phase 1 Projected Revenues)</t>
  </si>
  <si>
    <t>% of Rev</t>
  </si>
  <si>
    <t>Operating Cost = -NOP% × Total VOCO Revenue</t>
  </si>
  <si>
    <t>Total VOCO Operating Costs</t>
  </si>
  <si>
    <t>uom / basis</t>
  </si>
  <si>
    <t>VOCO Hotel - Operating Expenses</t>
  </si>
  <si>
    <t>Residential Tower 01 - Operating Expenses</t>
  </si>
  <si>
    <t>Hotel 01 (336 Keys) - Operating Expenses</t>
  </si>
  <si>
    <t>Support Retail - Operating Expenses</t>
  </si>
  <si>
    <t>Retail Phase 2 - OpEx</t>
  </si>
  <si>
    <t>Retail Phase 3 - OpEx</t>
  </si>
  <si>
    <t>MAAD RESIDENTIAL WITH HOTEL - OPERATING COSTS</t>
  </si>
  <si>
    <t xml:space="preserve"> </t>
  </si>
  <si>
    <t>Asset Wise - Operating Cost Summary</t>
  </si>
  <si>
    <t>OPERATING COSTS - CASH FLOW (Working Capital Adjusted)</t>
  </si>
  <si>
    <t>Payable days</t>
  </si>
  <si>
    <t>Accounts Payable Schedule</t>
  </si>
  <si>
    <t>Accrued Operating Expense</t>
  </si>
  <si>
    <t>Operating Cost Paid (Cash)</t>
  </si>
  <si>
    <t>VARIANCE vs MAIN MODEL (source Capex&amp;WC row 169)</t>
  </si>
  <si>
    <t xml:space="preserve">  Source MAAD (Cash Paid, hardcoded)</t>
  </si>
  <si>
    <t xml:space="preserve">  Our model (row 99)</t>
  </si>
  <si>
    <t xml:space="preserve">  Variance (Our - Source)</t>
  </si>
  <si>
    <t>Exit period (1 = exit year)</t>
  </si>
  <si>
    <t>MAAD RESIDENTIAL WITH HOTEL - REVENUE</t>
  </si>
  <si>
    <t>MAAD RESIDENTIAL WITH HOTEL - CAPEX</t>
  </si>
  <si>
    <t>MAAD RESIDENTIAL WITH HOTEL - DEBT SCHEDULE</t>
  </si>
  <si>
    <t>Snapshot of key totals across all tabs and cross-tab consistency checks.</t>
  </si>
  <si>
    <t>COS during construction</t>
  </si>
  <si>
    <t>COS during operations</t>
  </si>
  <si>
    <t>TOTAL COST OF SALES (Residential)</t>
  </si>
  <si>
    <t>VARIANCE BY SUB-ASSET vs SOURCE MAAD (Calc_Retail &amp; Resi.!R12208)</t>
  </si>
  <si>
    <t>Residential Tower 01 (Phase 2) - Sale Scenario</t>
  </si>
  <si>
    <t>Source Maad</t>
  </si>
  <si>
    <t>Total Variance</t>
  </si>
  <si>
    <t>Each vintage year contains the cost of units pre-sold that year. Cost is released over the recognition profile starting at that vintage year (mirrors Revenue tab payment profile mechanism).</t>
  </si>
  <si>
    <t>Vintage matrix - cost recognition by vintage year</t>
  </si>
  <si>
    <t>Pre-sold COST per vintage year</t>
  </si>
  <si>
    <t>Sales (post-handover)</t>
  </si>
  <si>
    <t>Pre-Sales Schedule</t>
  </si>
  <si>
    <t>Cost recognition curve %</t>
  </si>
  <si>
    <t>TOTAL Cost of Sales T2 &amp; T3</t>
  </si>
  <si>
    <t>TOTAL Cost of Sales T4 &amp; T5</t>
  </si>
  <si>
    <t>Cost of Sales Summary</t>
  </si>
  <si>
    <t>TOTAL COST OF SALES</t>
  </si>
  <si>
    <t>COST OF SALES</t>
  </si>
  <si>
    <t>Debt Drawdown - T1</t>
  </si>
  <si>
    <t>Debt Drawdown - T2</t>
  </si>
  <si>
    <t>Debt Repayment - T1</t>
  </si>
  <si>
    <t>Debt Repayment - T2</t>
  </si>
  <si>
    <t>Finance Cost Paid - T1</t>
  </si>
  <si>
    <t>Finance Cost Paid - T2 (IDC)</t>
  </si>
  <si>
    <t>Finance Cost Paid - T2 (Operations)</t>
  </si>
  <si>
    <t>Upfront Fees - T2</t>
  </si>
  <si>
    <t>EBIZ (Earning before interest and zakat)</t>
  </si>
  <si>
    <t>EBIZDA Margin</t>
  </si>
  <si>
    <t>Depreciation and Amortization (D&amp;A)</t>
  </si>
  <si>
    <t>Capital gain/(loss)</t>
  </si>
  <si>
    <t>Interest and financing cost</t>
  </si>
  <si>
    <t>Interest income</t>
  </si>
  <si>
    <t>PBZ (Profit before Zakat)</t>
  </si>
  <si>
    <t>PBZ Margin</t>
  </si>
  <si>
    <t>Zakat</t>
  </si>
  <si>
    <t>PAZ (Profit after Zakat)</t>
  </si>
  <si>
    <t>PAZ Margin</t>
  </si>
  <si>
    <t>FIXED ASSETS &amp; DEPRECIATION SCHEDULE</t>
  </si>
  <si>
    <t>Verification of capex capitalised as fixed assets, accumulated depreciation, NBV, and annual D&amp;A charge. Sourced from MAAD Feasibility .xlsb (Scenario 7.0).</t>
  </si>
  <si>
    <t>1. Depreciation Assumptions</t>
  </si>
  <si>
    <t>Method</t>
  </si>
  <si>
    <t>Straight-line</t>
  </si>
  <si>
    <t>Salvage value</t>
  </si>
  <si>
    <t>No</t>
  </si>
  <si>
    <t>Operations start</t>
  </si>
  <si>
    <t>First depreciation year</t>
  </si>
  <si>
    <t>2. Gross Capex Additions by Asset (Depreciable Base)</t>
  </si>
  <si>
    <t>Useful Life (yrs)</t>
  </si>
  <si>
    <t>First Dep Year</t>
  </si>
  <si>
    <t>Held / Sold</t>
  </si>
  <si>
    <t xml:space="preserve">   Branded Apartments T2 &amp; T3</t>
  </si>
  <si>
    <t>n/a</t>
  </si>
  <si>
    <t>Sold</t>
  </si>
  <si>
    <t xml:space="preserve">   Branded Apartments T4 &amp; T5</t>
  </si>
  <si>
    <t xml:space="preserve">   Residential Tower 01</t>
  </si>
  <si>
    <t>Hospitality Capex (held)</t>
  </si>
  <si>
    <t xml:space="preserve">   Hotel 01 - 336 Keys</t>
  </si>
  <si>
    <t>Held</t>
  </si>
  <si>
    <t>Retail Capex (held)</t>
  </si>
  <si>
    <t>2+3</t>
  </si>
  <si>
    <t>Total Capex Additions (excl. land)</t>
  </si>
  <si>
    <t>Opening Gross FA</t>
  </si>
  <si>
    <t xml:space="preserve">  (+) Additions</t>
  </si>
  <si>
    <t>Closing Gross FA</t>
  </si>
  <si>
    <t>Opening Accum Depreciation</t>
  </si>
  <si>
    <t xml:space="preserve">  (-) Depreciation Charge</t>
  </si>
  <si>
    <t>Closing Accum Depreciation</t>
  </si>
  <si>
    <t>Net Book Value (NBV)</t>
  </si>
  <si>
    <t>Total capitalised interest &amp; financing fees</t>
  </si>
  <si>
    <t>Useful life (years)</t>
  </si>
  <si>
    <t>Amortisation period</t>
  </si>
  <si>
    <t>Annual amortisation charge</t>
  </si>
  <si>
    <t>4. Total Depreciation &amp; Amortisation Summary</t>
  </si>
  <si>
    <t>Hotel 01 dep charge</t>
  </si>
  <si>
    <t>Support Retail dep charge</t>
  </si>
  <si>
    <t>Capitalised interest amortisation</t>
  </si>
  <si>
    <t>1-Jan-2030</t>
  </si>
  <si>
    <t>YES</t>
  </si>
  <si>
    <t>6b. Capitalised Interest &amp; Financing Fees (Total Capitalised Base)</t>
  </si>
  <si>
    <t>3C. Consolidated Net Book Value</t>
  </si>
  <si>
    <t xml:space="preserve">  Hotel 01 land</t>
  </si>
  <si>
    <t xml:space="preserve">  Support Retail land (P2 + P3)</t>
  </si>
  <si>
    <t>Total Held-Asset Land (cumulative)</t>
  </si>
  <si>
    <t>Total Fixed Assets Incl. Land (NBV)</t>
  </si>
  <si>
    <t>Land Cost</t>
  </si>
  <si>
    <t>Wafi Held % (regulated, locked until handover)</t>
  </si>
  <si>
    <t>Cumulative Locked Balance (in escrow)</t>
  </si>
  <si>
    <t>Less: Inaccessible Funds Locked in Escrow</t>
  </si>
  <si>
    <t>Add: Release of Inaccessible Funds</t>
  </si>
  <si>
    <t>Net Cash Flow Adjustment (to CF tab)</t>
  </si>
  <si>
    <t>Less: Inaccessible Funds Locked (Wafi)</t>
  </si>
  <si>
    <t>Add: Release of Inaccessible Funds (Wafi)</t>
  </si>
  <si>
    <t>1. ESCROW SPLIT INPUTS (REGA Wafi rules)</t>
  </si>
  <si>
    <t>2. PRE-SALES INFLOWS BY ASSET (subject to Wafi escrow)</t>
  </si>
  <si>
    <t>T2 &amp; T3 Pre-Sales</t>
  </si>
  <si>
    <t>T4 &amp; T5 Pre-Sales</t>
  </si>
  <si>
    <t>Tower 01 Pre-Sales</t>
  </si>
  <si>
    <t>Total Pre-Sales (subject to Wafi escrow)</t>
  </si>
  <si>
    <t>Wafi Held 4% (LOCKED)</t>
  </si>
  <si>
    <t xml:space="preserve">   T2 &amp; T3 Wafi Held</t>
  </si>
  <si>
    <t xml:space="preserve">   T4 &amp; T5 Wafi Held</t>
  </si>
  <si>
    <t xml:space="preserve">   Tower 01 Wafi Held</t>
  </si>
  <si>
    <t>Total Inaccessible Inflow (all assets, this period)</t>
  </si>
  <si>
    <t>Release of Locked Funds (per asset, in completion year)</t>
  </si>
  <si>
    <t>Total Release (all assets, this period)</t>
  </si>
  <si>
    <t>Net Movement (Inflow - Release)</t>
  </si>
  <si>
    <t>Negative values during construction = cash trapped in escrow per asset's economics. Positive at each asset's release year = cash flowing back to developer.</t>
  </si>
  <si>
    <t>Cost Basis Switch (1 = Capex incl. Land, 0 = Capex excl. Land)</t>
  </si>
  <si>
    <t>0/1</t>
  </si>
  <si>
    <t>MAAD RESIDENTIAL WITH HOTEL - WAFI ESCROW &amp; INACCESSIBLE FUNDS</t>
  </si>
  <si>
    <t>Release Year</t>
  </si>
  <si>
    <t>Net Cash Flow Adjustment</t>
  </si>
  <si>
    <t xml:space="preserve">  Less: Inaccessible Funds Locked (Wafi)</t>
  </si>
  <si>
    <t xml:space="preserve">  Add: Release of Inaccessible Funds (Wafi)</t>
  </si>
  <si>
    <t>Advance received from customer (gross)</t>
  </si>
  <si>
    <t>Advance received from customer (net)</t>
  </si>
  <si>
    <t>Funding requirement fulfilled by pre sales (capped at capex)</t>
  </si>
  <si>
    <t xml:space="preserve">  Our model (this schedule)</t>
  </si>
  <si>
    <t xml:space="preserve">  Variance</t>
  </si>
  <si>
    <t>6. VARIANCE vs MAIN MODEL &amp; LIVE DEBT TAB LINK</t>
  </si>
  <si>
    <t>6a. Total D&amp;A (P&amp;L charge)</t>
  </si>
  <si>
    <t xml:space="preserve">  Our model (held land = Hotel + Retail land cost)</t>
  </si>
  <si>
    <t>6b. Capitalised Interest Amortisation (annual D&amp;A charge)</t>
  </si>
  <si>
    <t xml:space="preserve">  Our model (row 281, 7-yr SL on Debt!F96 base)</t>
  </si>
  <si>
    <t>1. Total D&amp;A: -267,985 K. Driver A timing -14,294 K (main model 2030-2036, ours 2031-2037 per MAAD-stated convention). Driver B cap-int amort gap -253,692 K (ours 64,274 K/yr vs main 23,949 K/yr).</t>
  </si>
  <si>
    <t>2. Capitalised interest base: +282,278 K. Ours = Debt!F96 = 449,919 K (T2 IDC + Upfront fees, post-Wafi escrow). Main = Capex&amp;WC!47 = 167,641 K. Drives D&amp;A variance via amortisation.</t>
  </si>
  <si>
    <t>3. Hotel / Retail NBV: +9,811 K and +4,485 K at 2039 close = exactly 1 yr of SL dep. Confirms timing offset. Main model PPE schedule starts dep 2030; ours 2031.</t>
  </si>
  <si>
    <t>TO RECONCILE: (a) Shift main model D&amp;A 1 yr forward (2030→2031). (b) Update cap-int base 167,641 → 449,919 K. (c) Investigate land suppression flag at R1822 / R375. (d) Add land 207,433 K to PPE.</t>
  </si>
  <si>
    <t>2039 Closing Cash</t>
  </si>
  <si>
    <t>CF!D27</t>
  </si>
  <si>
    <t>P&amp;L!D44</t>
  </si>
  <si>
    <t>P&amp;L!D61</t>
  </si>
  <si>
    <t>P&amp;L!D65</t>
  </si>
  <si>
    <t>Capex!K212</t>
  </si>
  <si>
    <t>Total Funding (Debt + IDC)</t>
  </si>
  <si>
    <t>Wafi Escrow!D46</t>
  </si>
  <si>
    <t>CF!S60</t>
  </si>
  <si>
    <t>Debt!F48</t>
  </si>
  <si>
    <t>MAAD RESIDENTIAL WITH HOTEL - INCOME STATEMENT (P&amp;L)</t>
  </si>
  <si>
    <t>All figures in SAR'000</t>
  </si>
  <si>
    <t>Pre-sales schedule + revenue build for residential, hospitality and retail (15-yr horizon).</t>
  </si>
  <si>
    <t>Hospitality + retail OpEx build with NOP / NOI methodology and accounts-payable working capital adjustment.</t>
  </si>
  <si>
    <t>Asset cost stack (5 assets, sub-units, land), depreciation schedule and variance vs main MAAD model.</t>
  </si>
  <si>
    <t>T1 (SNB Phase 1) + T2 (Phase 2 &amp; 3 capex-driven) debt facilities with interest, fees and capitalised IDC.</t>
  </si>
  <si>
    <t>Revenue received → costs paid → capex → financing → net cash flow / closing cash, with Wafi escrow integrated.</t>
  </si>
  <si>
    <t>Revenue → cost of sales → OpEx → NOI → D&amp;A → EBIZ → capital gain → PBZ → Zakat → PAZ.</t>
  </si>
  <si>
    <t>Per-asset cost-of-sales margin curve, REGA / Wafi escrow split (Wafi 4% + Construction 76% + A&amp;G 20%) and CF impact.</t>
  </si>
  <si>
    <t>Pre-sales schedule + revenue build (residential, hospitality, retail)</t>
  </si>
  <si>
    <t>Hospitality + retail OpEx with NOP / NOI methodology and AP working-capital adjustment</t>
  </si>
  <si>
    <t>Asset cost stack (5 assets, sub-units, land), depreciation schedule</t>
  </si>
  <si>
    <t>T1 (SNB Phase 1) + T2 (Phase 2 &amp; 3) debt facilities, IDC, equity contribution</t>
  </si>
  <si>
    <t>CF</t>
  </si>
  <si>
    <t>Cash flow statement: revenue → costs → capex → financing → closing cash</t>
  </si>
  <si>
    <t>P&amp;L</t>
  </si>
  <si>
    <t>Income Statement: Revenue → CoS → OpEx → NOI → D&amp;A → EBIZ → PBZ → PAZ</t>
  </si>
  <si>
    <t>Wafi Escrow</t>
  </si>
  <si>
    <t>Per-asset cost-of-sales margin curve, REGA / Wafi escrow split, CF impact</t>
  </si>
  <si>
    <t>Total Revenue Received (horizon)</t>
  </si>
  <si>
    <t>CF!D29</t>
  </si>
  <si>
    <t>Cash Flow from Operations (horizon)</t>
  </si>
  <si>
    <t>CF!D30</t>
  </si>
  <si>
    <t>EBIZ (Earnings before interest &amp; zakat)</t>
  </si>
  <si>
    <t>P&amp;L!D55</t>
  </si>
  <si>
    <t>Profit before Zakat (PBZ)</t>
  </si>
  <si>
    <t>Profit after Zakat (PAZ)</t>
  </si>
  <si>
    <t>Capex!K186</t>
  </si>
  <si>
    <t>Capex!K199</t>
  </si>
  <si>
    <t>Debt!F59</t>
  </si>
  <si>
    <t>Wafi Escrow Locked / Released</t>
  </si>
  <si>
    <t>Useful life - buildings &amp; all components</t>
  </si>
  <si>
    <t>Useful life - capitalised interest &amp; financing fees</t>
  </si>
  <si>
    <t>Land - depreciated?</t>
  </si>
  <si>
    <t>Residential Capex (sold inventory - no FA)</t>
  </si>
  <si>
    <t xml:space="preserve">   Support Retail - Phase 2 + Phase 3 (combined)</t>
  </si>
  <si>
    <t>3. Fixed Asset Roll-forward &amp; Depreciation - Hotel 01 (336 Keys)</t>
  </si>
  <si>
    <t>3b. Fixed Asset Roll-forward &amp; Depreciation - Support Retail (P2 + P3 combined)</t>
  </si>
  <si>
    <t>Land (Non-Depreciable) - held assets only</t>
  </si>
  <si>
    <t>3c. Capitalised Interest &amp; Financing Fees - Amortisation (7-yr life)</t>
  </si>
  <si>
    <t>2031-2037</t>
  </si>
  <si>
    <t xml:space="preserve">  Source - Main model (Consol_FS!64 = Capex&amp;WC!74)</t>
  </si>
  <si>
    <t xml:space="preserve">  Source - Main model (Capex&amp;WC!48 amortisation, 7-yr SL)</t>
  </si>
  <si>
    <t>6c. Hotel 01 - Net Book Value Roll-forward (memo)</t>
  </si>
  <si>
    <t xml:space="preserve">  Source - Main model (Calc_Hosp,Office &amp; Civ!8892)</t>
  </si>
  <si>
    <t>6d. Support Retail (P2+P3) - Net Book Value Roll-forward (memo)</t>
  </si>
  <si>
    <t xml:space="preserve">  Source - Main model (Calc_Retail &amp; Resi.!7013 + !7014)</t>
  </si>
  <si>
    <t>6e. Land - Held Assets (Main model omits land from Hotel/Retail PPE schedules)</t>
  </si>
  <si>
    <t xml:space="preserve">  Source - Main model (not tracked separately on Hotel/Retail PPE)</t>
  </si>
  <si>
    <t>4. Land: +207,433 K. Main model has land formulas (Hotel R1822, Retail R375) but evaluate to 0 - suppression flag. If flowing, implied total ~145,685 K; ours 207,433 K reflects different area/price assumptions.</t>
  </si>
  <si>
    <t>MAAD RESIDENTIAL WITH HOTEL - CASH FLOW STATEMENT</t>
  </si>
  <si>
    <t>MAAD RESIDENTIAL WITH HOTEL - MODEL REVIEW SUMMARY</t>
  </si>
  <si>
    <t>1. KEY TOTALS - REVENUE / P&amp;L / CF (15-yr horizon, 2025-2039)</t>
  </si>
  <si>
    <t>2. KEY TOTALS - CAPEX</t>
  </si>
  <si>
    <t>P&amp;L D&amp;A (Total)</t>
  </si>
  <si>
    <t>Capitalised Interest Base</t>
  </si>
  <si>
    <t>Land in PPE (Held Assets)</t>
  </si>
  <si>
    <t>Debt Drawdown - T2 (IDC)</t>
  </si>
  <si>
    <t>Pre-Capex VOCO</t>
  </si>
  <si>
    <t>Interest Start</t>
  </si>
  <si>
    <t>Debt weightage%</t>
  </si>
  <si>
    <t>Equity weightage%</t>
  </si>
  <si>
    <t>KSA risk free rate</t>
  </si>
  <si>
    <t>ERP</t>
  </si>
  <si>
    <t>Debt/Equity</t>
  </si>
  <si>
    <t>Unlevered Beta</t>
  </si>
  <si>
    <t>factor</t>
  </si>
  <si>
    <t>Relevered Beta</t>
  </si>
  <si>
    <t>Alpha</t>
  </si>
  <si>
    <t>Cost of Equity</t>
  </si>
  <si>
    <t>Cost of debt</t>
  </si>
  <si>
    <t>WACC - Calculated</t>
  </si>
  <si>
    <t>WACC - Input</t>
  </si>
  <si>
    <t>WACC Selection (calculated/input)</t>
  </si>
  <si>
    <t>WACC - Active</t>
  </si>
  <si>
    <t>Terminal growth rate</t>
  </si>
  <si>
    <t>selection q</t>
  </si>
  <si>
    <t>Pre-sales</t>
  </si>
  <si>
    <t>Total Funding</t>
  </si>
  <si>
    <t>Debt - T1</t>
  </si>
  <si>
    <t>Debt - T2 (IDC)</t>
  </si>
  <si>
    <t>Debt - T2</t>
  </si>
  <si>
    <t>Total Debt</t>
  </si>
  <si>
    <t>Capitalization Rate</t>
  </si>
  <si>
    <t>MAAD RESIDENTIAL WITH HOTEL - WACC</t>
  </si>
  <si>
    <t>Input</t>
  </si>
  <si>
    <t>Equity Drawdown - T1</t>
  </si>
  <si>
    <t>Equity Drawdown - T2</t>
  </si>
  <si>
    <t>Pre-Capex Voco</t>
  </si>
  <si>
    <t>Pre-Equity Phase 1</t>
  </si>
  <si>
    <t>Funding Phase 1</t>
  </si>
  <si>
    <t>Equity Funding  Phase 1</t>
  </si>
  <si>
    <t>Equity Funding (Consolidated)</t>
  </si>
  <si>
    <t>Contribution</t>
  </si>
  <si>
    <t>Phase 1</t>
  </si>
  <si>
    <t>Phase 2 &amp; 3</t>
  </si>
  <si>
    <t>2 &amp; 3</t>
  </si>
  <si>
    <t>Equity - T1</t>
  </si>
  <si>
    <t>Equity - T2</t>
  </si>
  <si>
    <t>2 &amp;3</t>
  </si>
  <si>
    <t>Total Equity</t>
  </si>
  <si>
    <t>Land Summary — MAAD Financial Model (Scenario 7.0)</t>
  </si>
  <si>
    <t>Retail</t>
  </si>
  <si>
    <t>Residential</t>
  </si>
  <si>
    <t>Hospitality</t>
  </si>
  <si>
    <t>Sub-Asset</t>
  </si>
  <si>
    <t>Land Area (sqm)</t>
  </si>
  <si>
    <t>Phase 2</t>
  </si>
  <si>
    <t>Phase 3</t>
  </si>
  <si>
    <t>Inputs (blue) snapshotted from source workbook. All other values are formulas computed in this sheet.</t>
  </si>
  <si>
    <t>Source: MAAD Financial Model_Feasibility - Scenario 7.0.xlsb — active scenario: Option 10.</t>
  </si>
  <si>
    <t>1. INPUTS (snapshot from source)</t>
  </si>
  <si>
    <t>Land Price (SAR/sqm)</t>
  </si>
  <si>
    <t>Source Area Cell</t>
  </si>
  <si>
    <t>Source Price Cell</t>
  </si>
  <si>
    <t>Business Inputs!K128</t>
  </si>
  <si>
    <t>Business Inputs!J227</t>
  </si>
  <si>
    <t>Business Inputs!K129</t>
  </si>
  <si>
    <t>Business Inputs!J1225</t>
  </si>
  <si>
    <t>Business Inputs!K5135</t>
  </si>
  <si>
    <t>Business Inputs!J5232</t>
  </si>
  <si>
    <t>Business Inputs!K5136</t>
  </si>
  <si>
    <t>Business Inputs!J6318</t>
  </si>
  <si>
    <t>Business Inputs!K8408</t>
  </si>
  <si>
    <t>Business Inputs!J8517</t>
  </si>
  <si>
    <t>Business Inputs!K8409</t>
  </si>
  <si>
    <t>Business Inputs!J9568</t>
  </si>
  <si>
    <t>2. LAND VALUE CALCULATION (formulas — Area × Price / 1,000)</t>
  </si>
  <si>
    <t>Land Value (SAR '000)</t>
  </si>
  <si>
    <t>% of Total Value</t>
  </si>
  <si>
    <t>Scenario 2</t>
  </si>
  <si>
    <t>Scenario 1</t>
  </si>
  <si>
    <t>Support Retail (Phase 1)</t>
  </si>
  <si>
    <t>Business Inputs!K130</t>
  </si>
  <si>
    <t>Business Inputs!J2223</t>
  </si>
  <si>
    <t>Business Inputs!K8410</t>
  </si>
  <si>
    <t>Business Inputs!J10614</t>
  </si>
  <si>
    <t>Business Inputs!J468</t>
  </si>
  <si>
    <t>Business Inputs!J1707</t>
  </si>
  <si>
    <t>Business Inputs!J6581</t>
  </si>
  <si>
    <t>Total Land Value</t>
  </si>
  <si>
    <t>Land Value Phase 2 &amp;3</t>
  </si>
  <si>
    <t>Land Value Phase 1</t>
  </si>
  <si>
    <t>Total Pre-Capex Voco</t>
  </si>
  <si>
    <t>Land Summary</t>
  </si>
  <si>
    <t>Land area, price and value by sub-asset and phase; sourced by Capex tab</t>
  </si>
  <si>
    <t>Expenses and Costs Paid</t>
  </si>
  <si>
    <t>Operating Expenses Paid</t>
  </si>
  <si>
    <t xml:space="preserve">   T2 &amp; T3 Release</t>
  </si>
  <si>
    <t xml:space="preserve">   T4 &amp; T5 Release</t>
  </si>
  <si>
    <t xml:space="preserve">   Tower 01 Release</t>
  </si>
  <si>
    <t>Total Payable</t>
  </si>
  <si>
    <t>Total Operating Cost Paid (Cash)</t>
  </si>
  <si>
    <t>Total Operating Expenses Paid</t>
  </si>
  <si>
    <t>CF!E19</t>
  </si>
  <si>
    <t>CF!E7:E11</t>
  </si>
  <si>
    <t>CF!E13:E15</t>
  </si>
  <si>
    <t>CF!E17:E18</t>
  </si>
  <si>
    <t>CF!E35</t>
  </si>
  <si>
    <t>CF!T37</t>
  </si>
  <si>
    <t>CF!E67</t>
  </si>
  <si>
    <t>CF!T70</t>
  </si>
  <si>
    <t>Debt!F14</t>
  </si>
  <si>
    <t>KPMG (Ph 2&amp;3)</t>
  </si>
  <si>
    <t>Comment / Driver</t>
  </si>
  <si>
    <t>Total debt drawdown</t>
  </si>
  <si>
    <t>Capex (excl. land)</t>
  </si>
  <si>
    <t xml:space="preserve">  Phase 1 (T1 SNB)</t>
  </si>
  <si>
    <t xml:space="preserve">  Phase 1 equity</t>
  </si>
  <si>
    <t>FUNDING &amp; CASH (project life, SAR'000)</t>
  </si>
  <si>
    <t xml:space="preserve">  Phase 2&amp;3 (T2 + IDC)</t>
  </si>
  <si>
    <t xml:space="preserve">  Phase 2&amp;3 equity</t>
  </si>
  <si>
    <t>P&amp;L / CASH FLOW (project life, SAR'000)</t>
  </si>
  <si>
    <t>Interest &amp; Financing Cost</t>
  </si>
  <si>
    <t>BALANCE SHEET (2039 close, SAR'000)</t>
  </si>
  <si>
    <t>Hotel 01 NBV</t>
  </si>
  <si>
    <t>Support Retail NBV</t>
  </si>
  <si>
    <t>3. CONSOLIDATED VARIANCE - OUR MODEL vs KPMG (SOURCE MAAD, Phase 2&amp;3-only)</t>
  </si>
  <si>
    <t>Snapshot of key totals plus consolidated variance vs KPMG (Source MAAD, Phase 2&amp;3-only)</t>
  </si>
  <si>
    <t xml:space="preserve">  Land Value Phase 2 &amp; 3</t>
  </si>
  <si>
    <t>Debt!F9</t>
  </si>
  <si>
    <t xml:space="preserve">  Land Value Phase 1</t>
  </si>
  <si>
    <t>Debt!F10</t>
  </si>
  <si>
    <t>Debt!F11</t>
  </si>
  <si>
    <t>Total Pre-Capex (Land P1 + VOCO)</t>
  </si>
  <si>
    <t>Debt!F12</t>
  </si>
  <si>
    <t>Pre-Equity Phase 1 (Pre-Capex - T1)</t>
  </si>
  <si>
    <t>Debt!F13</t>
  </si>
  <si>
    <t>P&amp;L Cost of Sales (Residential)</t>
  </si>
  <si>
    <t>KPMG</t>
  </si>
  <si>
    <t>Cash Flow Allocation - KPMG</t>
  </si>
  <si>
    <t>Cash Flow Allocation - Management</t>
  </si>
  <si>
    <t>Management</t>
  </si>
  <si>
    <t>Live &gt;&gt;&gt;&gt;</t>
  </si>
  <si>
    <t>Support Retail (P3) - Allocation %</t>
  </si>
  <si>
    <t>Support Retail (P2) - Allocation %</t>
  </si>
  <si>
    <t>*</t>
  </si>
  <si>
    <t>Cash Available</t>
  </si>
  <si>
    <t>Cash from Operations</t>
  </si>
  <si>
    <t>Cash from Investments</t>
  </si>
  <si>
    <t>Cash Available Before Debt Drawdown</t>
  </si>
  <si>
    <t>KPIs Summary</t>
  </si>
  <si>
    <t xml:space="preserve">Branded Apartments T2 &amp; T3 </t>
  </si>
  <si>
    <t>% Area Sold - Operations</t>
  </si>
  <si>
    <t>% Area Sold - Pre Sales</t>
  </si>
  <si>
    <t>Pre - Sales Revenue Received</t>
  </si>
  <si>
    <t>% Payment Plan - Pre Sales</t>
  </si>
  <si>
    <t>EBITDA - Hospitality</t>
  </si>
  <si>
    <t>TOTAL EBITDA - Hospitality</t>
  </si>
  <si>
    <t>Total Interest Cost</t>
  </si>
  <si>
    <t>Total Depreciation &amp; Amortisation</t>
  </si>
  <si>
    <t>3. INACCESSIBLE FUNDS PER ASSET</t>
  </si>
  <si>
    <t>6. IMPACT TO CASH FLOW (linked to CF &amp; Debt tab)</t>
  </si>
  <si>
    <t>Indexation</t>
  </si>
  <si>
    <t>Minimum Cash</t>
  </si>
  <si>
    <t>Cash Required before Minimum Cash</t>
  </si>
  <si>
    <t>Net Cash Required</t>
  </si>
  <si>
    <t>T1 SAR 2,400K matches both sides. Ours drawn 2025; KPMG drawn 2026. Timing only.</t>
  </si>
  <si>
    <t>Our T2 = 383K vs KPMG 732K. Lower because Debt H88 sizes to MIN(IDC + upfront, gap-to-floor) during construction window.</t>
  </si>
  <si>
    <t>Different phasing. KPMG equity is Phase 2&amp;3 (689K). Ours is Phase 1 only (1,282K). T2 covers Phase 2&amp;3 gap.</t>
  </si>
  <si>
    <t>Ours +1,282K funds Phase 1 land plus VOCO pre-capex in 2025. KPMG = 0 (Phase 1 separate).</t>
  </si>
  <si>
    <t>Ours = 0. T2 plus IDC fully covers Phase 2&amp;3 gap. KPMG = 689K equity.</t>
  </si>
  <si>
    <t>Ours 1,087K vs KPMG 1,173K. Smaller T2 base means less operating interest. T1 SNB interest runs 2026 to 2032.</t>
  </si>
  <si>
    <t>AP write-off toggled OFF, residual at 2039. Cash flow timing only, no P&amp;L impact.</t>
  </si>
  <si>
    <t>KPMG excludes land from CoS. Ours includes Phase 2&amp;3 land (1,351K) in residential cost of sales.</t>
  </si>
  <si>
    <t>Our D&amp;A lower (-228K vs -311K). Shorter D&amp;A window: IDC amortises 7yrs from 2031 and our IDC pool is smaller.</t>
  </si>
  <si>
    <t>Cap-int base 99K (IDC + upfront, smaller T2). KPMG 168K (larger T2).</t>
  </si>
  <si>
    <t>+199K shown in lock. Net of release = 0 across project life. KPMG does not model Wafi escrow.</t>
  </si>
  <si>
    <t>+10K. 1-yr SL depreciation timing offset (ours 2031, source 2030).</t>
  </si>
  <si>
    <t>+4K. Same 1-yr depreciation timing offset as Hotel.</t>
  </si>
  <si>
    <t>+161K. Source land suppressed; we include Hotel + Retail land in PPE.</t>
  </si>
  <si>
    <t>Ours 0% vs KPMG 2.5%. Conservative, no escalation on residential unit prices.</t>
  </si>
  <si>
    <t>Match. 3% indexation on hospitality ADR aligns with KPMG.</t>
  </si>
  <si>
    <t>Remaining 10% sat in Hospitality. Allocated to Residential Sales for cleaner phase reporting.</t>
  </si>
  <si>
    <t>Units sold during operation</t>
  </si>
  <si>
    <t>Sales Revenue During Operation</t>
  </si>
  <si>
    <t>Diff</t>
  </si>
  <si>
    <t>Old</t>
  </si>
  <si>
    <t>Revised</t>
  </si>
  <si>
    <t>Drew 51K less debt total than KPMG. T1 matches; T2 lower as funding-gap logic only draws what's needed to maintain 50K cash floor.</t>
  </si>
  <si>
    <t>Repayment ties to drawdown. 2,781K matches D30. T2 fully repaid by life-end.</t>
  </si>
  <si>
    <t>30 Million difference due to cash as we are not applying indexation on sale price. Phase 1 VOCO pre-capex sits separately at 3,682K.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</si>
</sst>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.0%_);[Red]\(0.0%\);\-"/>
    <numFmt numFmtId="166" formatCode="_(* #,##0.0_);_(* \(#,##0.0\);_(* &quot;-&quot;?_);_(@_)"/>
    <numFmt numFmtId="167" formatCode="#,##0_);[Red]\(#,##0\);\-"/>
    <numFmt numFmtId="168" formatCode="0%_);\(0%\);\-"/>
    <numFmt numFmtId="169" formatCode="0.0%_);\(0.0%\);\-"/>
    <numFmt numFmtId="170" formatCode="0.0%"/>
    <numFmt numFmtId="171" formatCode="0.0%;\(0.0%\);&quot;-&quot;"/>
  </numFmts>
  <fonts count="9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9.5"/>
      <color rgb="FF1F4E78"/>
      <name val="Calibri"/>
      <family val="2"/>
      <scheme val="minor"/>
    </font>
    <font>
      <sz val="9.5"/>
      <color theme="1"/>
      <name val="Calibri"/>
      <family val="2"/>
      <scheme val="minor"/>
    </font>
    <font>
      <i/>
      <sz val="9.5"/>
      <color rgb="FF595959"/>
      <name val="Calibri"/>
      <family val="2"/>
      <scheme val="minor"/>
    </font>
    <font>
      <b/>
      <sz val="9.5"/>
      <color rgb="FFFFFFFF"/>
      <name val="Calibri"/>
      <family val="2"/>
      <scheme val="minor"/>
    </font>
    <font>
      <b/>
      <sz val="9.5"/>
      <name val="Calibri"/>
      <family val="2"/>
      <scheme val="minor"/>
    </font>
    <font>
      <sz val="9.5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"/>
      <family val="2"/>
      <charset val="1"/>
    </font>
    <font>
      <sz val="9.5"/>
      <color rgb="FF0000FF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i/>
      <sz val="9.5"/>
      <color rgb="FFFFFFFF"/>
      <name val="Calibri"/>
      <family val="2"/>
      <scheme val="minor"/>
    </font>
    <font>
      <i/>
      <sz val="9.5"/>
      <color theme="1"/>
      <name val="Calibri"/>
      <family val="2"/>
      <scheme val="minor"/>
    </font>
    <font>
      <b/>
      <i/>
      <sz val="9.5"/>
      <color theme="1"/>
      <name val="Calibri"/>
      <family val="2"/>
      <scheme val="minor"/>
    </font>
    <font>
      <i/>
      <sz val="9.5"/>
      <color rgb="FF0000FF"/>
      <name val="Calibri"/>
      <family val="2"/>
      <scheme val="minor"/>
    </font>
    <font>
      <sz val="9.5"/>
      <color rgb="FF00B050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9.5"/>
      <color rgb="FF0000FF"/>
      <name val="Calibri"/>
      <family val="2"/>
      <scheme val="minor"/>
    </font>
    <font>
      <b/>
      <i/>
      <sz val="9.5"/>
      <name val="Calibri"/>
      <family val="2"/>
      <scheme val="minor"/>
    </font>
    <font>
      <i/>
      <sz val="9.5"/>
      <color theme="0"/>
      <name val="Calibri"/>
      <family val="2"/>
      <scheme val="minor"/>
    </font>
    <font>
      <sz val="9.5"/>
      <color rgb="FF000000"/>
      <name val="Calibri"/>
      <family val="2"/>
      <scheme val="minor"/>
    </font>
    <font>
      <b/>
      <i/>
      <sz val="9.5"/>
      <color rgb="FF1F4E78"/>
      <name val="Calibri"/>
      <family val="2"/>
      <scheme val="minor"/>
    </font>
    <font>
      <sz val="9.5"/>
      <color rgb="FF008000"/>
      <name val="Calibri"/>
      <family val="2"/>
      <scheme val="minor"/>
    </font>
    <font>
      <b/>
      <sz val="11"/>
      <color theme="1"/>
      <name val="Calibri"/>
      <family val="2"/>
      <charset val="1"/>
    </font>
    <font>
      <sz val="9.5"/>
      <color theme="1"/>
      <name val="Calibri"/>
      <family val="2"/>
      <charset val="1"/>
    </font>
    <font>
      <i/>
      <sz val="9.5"/>
      <color theme="1"/>
      <name val="Calibri"/>
      <family val="2"/>
    </font>
    <font>
      <sz val="9.5"/>
      <color theme="1"/>
      <name val="Calibri"/>
      <family val="2"/>
    </font>
    <font>
      <b/>
      <sz val="9.5"/>
      <color rgb="FFFFFFFF"/>
      <name val="Calibri"/>
      <family val="2"/>
    </font>
    <font>
      <b/>
      <sz val="9.5"/>
      <name val="Calibri"/>
      <family val="2"/>
    </font>
    <font>
      <i/>
      <sz val="9.5"/>
      <color rgb="FF595959"/>
      <name val="Calibri"/>
      <family val="2"/>
    </font>
    <font>
      <b/>
      <i/>
      <sz val="9.5"/>
      <color rgb="FFFFFFFF"/>
      <name val="Calibri"/>
      <family val="2"/>
    </font>
    <font>
      <b/>
      <sz val="9.5"/>
      <color rgb="FF000000"/>
      <name val="Calibri"/>
      <family val="2"/>
    </font>
    <font>
      <b/>
      <i/>
      <sz val="9.5"/>
      <color rgb="FF000000"/>
      <name val="Calibri"/>
      <family val="2"/>
    </font>
    <font>
      <b/>
      <sz val="9.5"/>
      <color rgb="FF1F4E78"/>
      <name val="Calibri"/>
      <family val="2"/>
    </font>
    <font>
      <sz val="9.5"/>
      <color rgb="FF000000"/>
      <name val="Calibri"/>
      <family val="2"/>
    </font>
    <font>
      <sz val="9.5"/>
      <color rgb="FF0000FF"/>
      <name val="Calibri"/>
      <family val="2"/>
    </font>
    <font>
      <i/>
      <sz val="9.5"/>
      <color rgb="FF000000"/>
      <name val="Calibri"/>
      <family val="2"/>
    </font>
    <font>
      <b/>
      <i/>
      <sz val="9.5"/>
      <color rgb="FF1F4E78"/>
      <name val="Calibri"/>
      <family val="2"/>
    </font>
    <font>
      <i/>
      <sz val="11"/>
      <color theme="1"/>
      <name val="Calibri"/>
      <family val="2"/>
    </font>
    <font>
      <i/>
      <sz val="9.5"/>
      <color rgb="FFFFFFFF"/>
      <name val="Calibri"/>
      <family val="2"/>
    </font>
    <font>
      <i/>
      <sz val="9.5"/>
      <color rgb="FF1F4E78"/>
      <name val="Calibri"/>
      <family val="2"/>
    </font>
    <font>
      <i/>
      <sz val="9.5"/>
      <color rgb="FF0000FF"/>
      <name val="Calibri"/>
      <family val="2"/>
    </font>
    <font>
      <b/>
      <sz val="11"/>
      <color rgb="FFFFFFFF"/>
      <name val="Calibri"/>
      <family val="2"/>
    </font>
    <font>
      <b/>
      <sz val="9.5"/>
      <color theme="1"/>
      <name val="Calibri"/>
      <family val="2"/>
    </font>
    <font>
      <i/>
      <sz val="9.5"/>
      <color rgb="FFFFFFFF"/>
      <name val="Calibri"/>
      <family val="2"/>
      <scheme val="minor"/>
    </font>
    <font>
      <sz val="9.5"/>
      <name val="Calibri"/>
      <family val="2"/>
    </font>
    <font>
      <i/>
      <sz val="9.5"/>
      <color rgb="FF1F4E78"/>
      <name val="Calibri"/>
      <family val="2"/>
      <scheme val="minor"/>
    </font>
    <font>
      <i/>
      <sz val="9.5"/>
      <color rgb="FF000000"/>
      <name val="Calibri"/>
      <family val="2"/>
      <scheme val="minor"/>
    </font>
    <font>
      <b/>
      <i/>
      <sz val="9.5"/>
      <color rgb="FF000000"/>
      <name val="Calibri"/>
      <family val="2"/>
      <scheme val="minor"/>
    </font>
    <font>
      <b/>
      <sz val="9.5"/>
      <color rgb="FF000000"/>
      <name val="Calibri"/>
      <family val="2"/>
      <scheme val="minor"/>
    </font>
    <font>
      <i/>
      <sz val="9.5"/>
      <color rgb="FF808080"/>
      <name val="Calibri"/>
      <family val="2"/>
      <scheme val="minor"/>
    </font>
    <font>
      <i/>
      <sz val="9.5"/>
      <name val="Calibri"/>
      <family val="2"/>
      <scheme val="minor"/>
    </font>
    <font>
      <sz val="9.5"/>
      <color rgb="FF000000"/>
      <name val="Calibri"/>
      <family val="2"/>
    </font>
    <font>
      <b/>
      <sz val="11"/>
      <color rgb="FF1F4E78"/>
      <name val="Calibri"/>
      <family val="2"/>
    </font>
    <font>
      <i/>
      <sz val="9.5"/>
      <color rgb="FF595959"/>
      <name val="Calibri"/>
      <family val="2"/>
    </font>
    <font>
      <b/>
      <sz val="9.5"/>
      <color rgb="FFFFFFFF"/>
      <name val="Calibri"/>
      <family val="2"/>
    </font>
    <font>
      <sz val="9.5"/>
      <color rgb="FF0000FF"/>
      <name val="Calibri"/>
      <family val="2"/>
    </font>
    <font>
      <b/>
      <sz val="9.5"/>
      <color rgb="FF000000"/>
      <name val="Calibri"/>
      <family val="2"/>
    </font>
    <font>
      <sz val="10"/>
      <color rgb="FF006100"/>
      <name val="Calibri"/>
      <family val="2"/>
    </font>
    <font>
      <sz val="10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9.5"/>
      <color rgb="FFC00000"/>
      <name val="Calibri"/>
      <family val="2"/>
    </font>
    <font>
      <sz val="9.5"/>
      <color rgb="FFC00000"/>
      <name val="Calibri"/>
      <family val="2"/>
    </font>
    <font>
      <b/>
      <sz val="9.5"/>
      <color rgb="FF006100"/>
      <name val="Calibri"/>
      <family val="2"/>
    </font>
    <font>
      <sz val="9.5"/>
      <color rgb="FF006100"/>
      <name val="Calibri"/>
      <family val="2"/>
    </font>
    <font>
      <sz val="9.5"/>
      <color rgb="FF00B050"/>
      <name val="Calibri"/>
      <family val="2"/>
    </font>
    <font>
      <i/>
      <sz val="9.5"/>
      <color rgb="FF7F7F7F"/>
      <name val="Calibri"/>
      <family val="2"/>
      <scheme val="minor"/>
    </font>
    <font>
      <b/>
      <i/>
      <sz val="9.5"/>
      <color rgb="FF7F7F7F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9.5"/>
      <color theme="1"/>
      <name val="Calibri"/>
      <family val="2"/>
      <charset val="1"/>
      <scheme val="minor"/>
    </font>
    <font>
      <b/>
      <sz val="12"/>
      <color rgb="FF1F4E78"/>
      <name val="Calibri"/>
      <family val="2"/>
      <scheme val="minor"/>
    </font>
    <font>
      <b/>
      <sz val="9.5"/>
      <color rgb="FF00B05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9.5"/>
      <color rgb="FF00B050"/>
      <name val="Calibri"/>
      <family val="2"/>
    </font>
    <font>
      <i/>
      <sz val="9.5"/>
      <color rgb="FF00B050"/>
      <name val="Calibri"/>
      <family val="2"/>
    </font>
    <font>
      <i/>
      <sz val="9.5"/>
      <color rgb="FF808080"/>
      <name val="Calibri"/>
      <family val="2"/>
    </font>
    <font>
      <b/>
      <sz val="9.5"/>
      <color rgb="FFFF0000"/>
      <name val="Calibri"/>
      <family val="2"/>
      <scheme val="minor"/>
    </font>
    <font>
      <sz val="11"/>
      <color rgb="FFFF0000"/>
      <name val="Calibri"/>
      <family val="2"/>
    </font>
    <font>
      <sz val="9.5"/>
      <color rgb="FFFF0000"/>
      <name val="Calibri"/>
      <family val="2"/>
    </font>
    <font>
      <b/>
      <sz val="9.5"/>
      <color rgb="FFFF0000"/>
      <name val="Calibri"/>
      <family val="2"/>
    </font>
    <font>
      <sz val="11"/>
      <color rgb="FF00B05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9.5"/>
      <color rgb="FF000000"/>
      <name val="Calibri"/>
      <family val="2"/>
      <charset val="1"/>
    </font>
    <font>
      <i/>
      <sz val="9.5"/>
      <color rgb="FF000000"/>
      <name val="Calibri"/>
      <family val="2"/>
      <charset val="1"/>
    </font>
    <font>
      <sz val="9.5"/>
      <color rgb="FF0000FF"/>
      <name val="Calibri"/>
      <family val="2"/>
      <charset val="1"/>
    </font>
    <font>
      <sz val="9.5"/>
      <color rgb="FF00B050"/>
      <name val="Calibri"/>
      <family val="2"/>
      <charset val="1"/>
    </font>
    <font>
      <sz val="9.5"/>
      <color rgb="FF000000"/>
      <name val="Calibri"/>
      <family val="2"/>
      <charset val="1"/>
    </font>
    <font>
      <i/>
      <sz val="9.5"/>
      <color rgb="FF808080"/>
      <name val="Calibri"/>
      <family val="2"/>
      <charset val="1"/>
    </font>
    <font>
      <b/>
      <sz val="11"/>
      <color theme="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99"/>
        <bgColor auto="1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00"/>
        <bgColor indexed="64"/>
      </patternFill>
    </fill>
  </fills>
  <borders count="1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</borders>
  <cellStyleXfs count="8">
    <xf numFmtId="0" fontId="0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7" fontId="17" fillId="0" borderId="0" applyBorder="0">
      <alignment vertical="center"/>
    </xf>
    <xf numFmtId="0" fontId="8" fillId="0" borderId="0"/>
    <xf numFmtId="0" fontId="18" fillId="0" borderId="0"/>
    <xf numFmtId="167" fontId="17" fillId="19" borderId="9">
      <alignment vertical="center"/>
      <protection locked="0"/>
    </xf>
    <xf numFmtId="167" fontId="71" fillId="20" borderId="9" applyAlignment="0" applyProtection="0"/>
  </cellStyleXfs>
  <cellXfs count="473">
    <xf numFmtId="0" fontId="0" fillId="0" borderId="0" xfId="0"/>
    <xf numFmtId="41" fontId="7" fillId="0" borderId="0" xfId="0" applyNumberFormat="1" applyFont="1" applyAlignment="1">
      <alignment horizontal="right" vertical="center"/>
    </xf>
    <xf numFmtId="41" fontId="6" fillId="4" borderId="0" xfId="0" applyNumberFormat="1" applyFont="1" applyFill="1" applyAlignment="1">
      <alignment horizontal="right" vertical="center"/>
    </xf>
    <xf numFmtId="41" fontId="10" fillId="0" borderId="0" xfId="0" applyNumberFormat="1" applyFont="1" applyAlignment="1">
      <alignment horizontal="right" vertical="center"/>
    </xf>
    <xf numFmtId="165" fontId="3" fillId="5" borderId="1" xfId="0" applyNumberFormat="1" applyFont="1" applyFill="1" applyBorder="1" applyAlignment="1">
      <alignment vertical="center"/>
    </xf>
    <xf numFmtId="165" fontId="10" fillId="5" borderId="1" xfId="0" applyNumberFormat="1" applyFont="1" applyFill="1" applyBorder="1" applyAlignment="1">
      <alignment vertical="center"/>
    </xf>
    <xf numFmtId="41" fontId="16" fillId="0" borderId="0" xfId="0" applyNumberFormat="1" applyFont="1" applyAlignment="1">
      <alignment horizontal="right" vertical="center"/>
    </xf>
    <xf numFmtId="41" fontId="10" fillId="8" borderId="0" xfId="0" applyNumberFormat="1" applyFont="1" applyFill="1" applyAlignment="1">
      <alignment horizontal="right" vertical="center"/>
    </xf>
    <xf numFmtId="0" fontId="3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164" fontId="28" fillId="0" borderId="0" xfId="0" applyNumberFormat="1" applyFont="1" applyAlignment="1">
      <alignment vertical="center"/>
    </xf>
    <xf numFmtId="164" fontId="45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3" fillId="9" borderId="0" xfId="0" applyFont="1" applyFill="1" applyAlignment="1">
      <alignment vertical="center"/>
    </xf>
    <xf numFmtId="0" fontId="46" fillId="9" borderId="0" xfId="0" applyFont="1" applyFill="1" applyAlignment="1">
      <alignment vertical="center"/>
    </xf>
    <xf numFmtId="0" fontId="35" fillId="13" borderId="0" xfId="0" applyFont="1" applyFill="1" applyAlignment="1">
      <alignment horizontal="left" vertical="center"/>
    </xf>
    <xf numFmtId="41" fontId="6" fillId="3" borderId="0" xfId="0" applyNumberFormat="1" applyFont="1" applyFill="1" applyAlignment="1">
      <alignment vertical="center"/>
    </xf>
    <xf numFmtId="41" fontId="7" fillId="0" borderId="0" xfId="0" applyNumberFormat="1" applyFont="1" applyAlignment="1">
      <alignment horizontal="left" vertical="center"/>
    </xf>
    <xf numFmtId="41" fontId="16" fillId="0" borderId="0" xfId="0" applyNumberFormat="1" applyFont="1" applyAlignment="1">
      <alignment horizontal="left" vertical="center"/>
    </xf>
    <xf numFmtId="41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21" fillId="14" borderId="0" xfId="0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64" fontId="3" fillId="0" borderId="0" xfId="1" applyNumberFormat="1" applyFont="1" applyAlignment="1">
      <alignment vertical="center"/>
    </xf>
    <xf numFmtId="41" fontId="11" fillId="6" borderId="0" xfId="0" applyNumberFormat="1" applyFont="1" applyFill="1" applyAlignment="1">
      <alignment horizontal="left" vertical="center"/>
    </xf>
    <xf numFmtId="41" fontId="11" fillId="0" borderId="0" xfId="0" applyNumberFormat="1" applyFont="1" applyAlignment="1">
      <alignment vertical="center"/>
    </xf>
    <xf numFmtId="41" fontId="11" fillId="6" borderId="0" xfId="0" applyNumberFormat="1" applyFont="1" applyFill="1" applyAlignment="1">
      <alignment vertical="center"/>
    </xf>
    <xf numFmtId="43" fontId="3" fillId="0" borderId="0" xfId="0" applyNumberFormat="1" applyFont="1" applyAlignment="1">
      <alignment vertical="center"/>
    </xf>
    <xf numFmtId="41" fontId="11" fillId="6" borderId="0" xfId="1" applyNumberFormat="1" applyFont="1" applyFill="1" applyAlignment="1">
      <alignment horizontal="left" vertical="center"/>
    </xf>
    <xf numFmtId="164" fontId="10" fillId="5" borderId="1" xfId="1" applyNumberFormat="1" applyFont="1" applyFill="1" applyBorder="1" applyAlignment="1">
      <alignment vertical="center"/>
    </xf>
    <xf numFmtId="166" fontId="11" fillId="0" borderId="0" xfId="0" applyNumberFormat="1" applyFont="1" applyAlignment="1">
      <alignment vertical="center"/>
    </xf>
    <xf numFmtId="166" fontId="11" fillId="6" borderId="0" xfId="0" applyNumberFormat="1" applyFont="1" applyFill="1" applyAlignment="1">
      <alignment vertical="center"/>
    </xf>
    <xf numFmtId="164" fontId="3" fillId="0" borderId="1" xfId="1" applyNumberFormat="1" applyFont="1" applyFill="1" applyBorder="1" applyAlignment="1">
      <alignment vertical="center"/>
    </xf>
    <xf numFmtId="164" fontId="11" fillId="6" borderId="0" xfId="1" applyNumberFormat="1" applyFont="1" applyFill="1" applyAlignment="1">
      <alignment horizontal="left" vertical="center"/>
    </xf>
    <xf numFmtId="164" fontId="3" fillId="5" borderId="1" xfId="1" applyNumberFormat="1" applyFont="1" applyFill="1" applyBorder="1" applyAlignment="1">
      <alignment vertical="center"/>
    </xf>
    <xf numFmtId="164" fontId="11" fillId="6" borderId="1" xfId="1" applyNumberFormat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3" fillId="13" borderId="0" xfId="0" applyFont="1" applyFill="1" applyAlignment="1">
      <alignment vertical="center"/>
    </xf>
    <xf numFmtId="165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vertical="center"/>
    </xf>
    <xf numFmtId="165" fontId="3" fillId="5" borderId="2" xfId="0" applyNumberFormat="1" applyFont="1" applyFill="1" applyBorder="1" applyAlignment="1">
      <alignment vertical="center"/>
    </xf>
    <xf numFmtId="3" fontId="19" fillId="13" borderId="0" xfId="0" applyNumberFormat="1" applyFont="1" applyFill="1" applyAlignment="1">
      <alignment horizontal="center" vertical="center"/>
    </xf>
    <xf numFmtId="41" fontId="3" fillId="13" borderId="0" xfId="0" applyNumberFormat="1" applyFont="1" applyFill="1" applyAlignment="1">
      <alignment vertical="center"/>
    </xf>
    <xf numFmtId="164" fontId="3" fillId="0" borderId="2" xfId="1" applyNumberFormat="1" applyFont="1" applyFill="1" applyBorder="1" applyAlignment="1">
      <alignment vertical="center"/>
    </xf>
    <xf numFmtId="43" fontId="3" fillId="13" borderId="0" xfId="0" applyNumberFormat="1" applyFont="1" applyFill="1" applyAlignment="1">
      <alignment vertical="center"/>
    </xf>
    <xf numFmtId="164" fontId="3" fillId="13" borderId="0" xfId="0" applyNumberFormat="1" applyFont="1" applyFill="1" applyAlignment="1">
      <alignment vertical="center"/>
    </xf>
    <xf numFmtId="164" fontId="11" fillId="13" borderId="0" xfId="0" applyNumberFormat="1" applyFont="1" applyFill="1" applyAlignment="1">
      <alignment vertical="center"/>
    </xf>
    <xf numFmtId="164" fontId="11" fillId="0" borderId="0" xfId="0" applyNumberFormat="1" applyFont="1" applyAlignment="1">
      <alignment vertical="center"/>
    </xf>
    <xf numFmtId="0" fontId="11" fillId="10" borderId="0" xfId="0" applyFont="1" applyFill="1" applyAlignment="1">
      <alignment vertical="center"/>
    </xf>
    <xf numFmtId="164" fontId="3" fillId="13" borderId="2" xfId="0" applyNumberFormat="1" applyFont="1" applyFill="1" applyBorder="1" applyAlignment="1">
      <alignment vertical="center"/>
    </xf>
    <xf numFmtId="164" fontId="3" fillId="13" borderId="2" xfId="1" applyNumberFormat="1" applyFont="1" applyFill="1" applyBorder="1" applyAlignment="1">
      <alignment horizontal="center" vertical="center"/>
    </xf>
    <xf numFmtId="0" fontId="5" fillId="9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164" fontId="11" fillId="10" borderId="0" xfId="0" applyNumberFormat="1" applyFont="1" applyFill="1" applyAlignment="1">
      <alignment vertical="center"/>
    </xf>
    <xf numFmtId="0" fontId="22" fillId="13" borderId="0" xfId="0" applyFont="1" applyFill="1" applyAlignment="1">
      <alignment vertical="center"/>
    </xf>
    <xf numFmtId="41" fontId="22" fillId="13" borderId="0" xfId="0" applyNumberFormat="1" applyFont="1" applyFill="1" applyAlignment="1">
      <alignment vertical="center"/>
    </xf>
    <xf numFmtId="41" fontId="51" fillId="10" borderId="0" xfId="0" applyNumberFormat="1" applyFont="1" applyFill="1" applyAlignment="1">
      <alignment vertical="center"/>
    </xf>
    <xf numFmtId="41" fontId="51" fillId="10" borderId="3" xfId="0" applyNumberFormat="1" applyFont="1" applyFill="1" applyBorder="1" applyAlignment="1">
      <alignment vertical="center"/>
    </xf>
    <xf numFmtId="171" fontId="52" fillId="13" borderId="0" xfId="0" applyNumberFormat="1" applyFont="1" applyFill="1" applyAlignment="1">
      <alignment vertical="center"/>
    </xf>
    <xf numFmtId="164" fontId="10" fillId="5" borderId="1" xfId="0" applyNumberFormat="1" applyFont="1" applyFill="1" applyBorder="1" applyAlignment="1">
      <alignment vertical="center"/>
    </xf>
    <xf numFmtId="164" fontId="51" fillId="13" borderId="0" xfId="0" applyNumberFormat="1" applyFont="1" applyFill="1" applyAlignment="1">
      <alignment vertical="center"/>
    </xf>
    <xf numFmtId="164" fontId="22" fillId="13" borderId="0" xfId="0" applyNumberFormat="1" applyFont="1" applyFill="1" applyAlignment="1">
      <alignment vertical="center"/>
    </xf>
    <xf numFmtId="164" fontId="50" fillId="17" borderId="0" xfId="0" applyNumberFormat="1" applyFont="1" applyFill="1" applyAlignment="1">
      <alignment vertical="center"/>
    </xf>
    <xf numFmtId="164" fontId="51" fillId="12" borderId="0" xfId="0" applyNumberFormat="1" applyFont="1" applyFill="1" applyAlignment="1">
      <alignment horizontal="left" vertical="center"/>
    </xf>
    <xf numFmtId="164" fontId="51" fillId="10" borderId="0" xfId="0" applyNumberFormat="1" applyFont="1" applyFill="1" applyAlignment="1">
      <alignment vertical="center"/>
    </xf>
    <xf numFmtId="164" fontId="10" fillId="0" borderId="0" xfId="0" applyNumberFormat="1" applyFont="1" applyAlignment="1">
      <alignment vertical="center"/>
    </xf>
    <xf numFmtId="164" fontId="22" fillId="0" borderId="0" xfId="0" applyNumberFormat="1" applyFont="1" applyAlignment="1">
      <alignment vertical="center"/>
    </xf>
    <xf numFmtId="1" fontId="10" fillId="5" borderId="1" xfId="0" applyNumberFormat="1" applyFont="1" applyFill="1" applyBorder="1" applyAlignment="1">
      <alignment horizontal="right" vertical="center"/>
    </xf>
    <xf numFmtId="164" fontId="51" fillId="17" borderId="0" xfId="0" applyNumberFormat="1" applyFont="1" applyFill="1" applyAlignment="1">
      <alignment vertical="center"/>
    </xf>
    <xf numFmtId="164" fontId="51" fillId="8" borderId="0" xfId="0" applyNumberFormat="1" applyFont="1" applyFill="1" applyAlignment="1">
      <alignment vertical="center"/>
    </xf>
    <xf numFmtId="0" fontId="31" fillId="0" borderId="0" xfId="0" applyFont="1" applyAlignment="1">
      <alignment vertical="center"/>
    </xf>
    <xf numFmtId="0" fontId="29" fillId="9" borderId="0" xfId="0" applyFont="1" applyFill="1" applyAlignment="1">
      <alignment vertical="center"/>
    </xf>
    <xf numFmtId="0" fontId="31" fillId="13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7" borderId="0" xfId="0" applyFont="1" applyFill="1" applyAlignment="1">
      <alignment horizontal="left" vertical="center"/>
    </xf>
    <xf numFmtId="0" fontId="20" fillId="7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7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vertical="center"/>
    </xf>
    <xf numFmtId="171" fontId="10" fillId="5" borderId="1" xfId="2" applyNumberFormat="1" applyFont="1" applyFill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1" fillId="6" borderId="0" xfId="0" applyFont="1" applyFill="1" applyAlignment="1">
      <alignment vertical="center"/>
    </xf>
    <xf numFmtId="0" fontId="14" fillId="6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3" fillId="13" borderId="0" xfId="0" applyFont="1" applyFill="1" applyAlignment="1">
      <alignment horizontal="center" vertical="center"/>
    </xf>
    <xf numFmtId="0" fontId="11" fillId="12" borderId="0" xfId="0" applyFont="1" applyFill="1" applyAlignment="1">
      <alignment vertical="center"/>
    </xf>
    <xf numFmtId="0" fontId="14" fillId="12" borderId="0" xfId="0" applyFont="1" applyFill="1" applyAlignment="1">
      <alignment horizontal="center" vertical="center"/>
    </xf>
    <xf numFmtId="0" fontId="11" fillId="13" borderId="0" xfId="0" applyFont="1" applyFill="1" applyAlignment="1">
      <alignment vertical="center"/>
    </xf>
    <xf numFmtId="0" fontId="13" fillId="13" borderId="0" xfId="0" applyFont="1" applyFill="1" applyAlignment="1">
      <alignment vertical="center"/>
    </xf>
    <xf numFmtId="0" fontId="14" fillId="13" borderId="0" xfId="0" applyFont="1" applyFill="1" applyAlignment="1">
      <alignment horizontal="center" vertical="center"/>
    </xf>
    <xf numFmtId="0" fontId="5" fillId="11" borderId="0" xfId="0" applyFont="1" applyFill="1" applyAlignment="1">
      <alignment vertical="center"/>
    </xf>
    <xf numFmtId="0" fontId="12" fillId="11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left" vertical="center"/>
    </xf>
    <xf numFmtId="0" fontId="48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left" vertical="center"/>
    </xf>
    <xf numFmtId="0" fontId="5" fillId="9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22" fillId="13" borderId="0" xfId="0" applyFont="1" applyFill="1" applyAlignment="1">
      <alignment horizontal="center" vertical="center"/>
    </xf>
    <xf numFmtId="0" fontId="49" fillId="13" borderId="0" xfId="0" applyFont="1" applyFill="1" applyAlignment="1">
      <alignment horizontal="center" vertical="center"/>
    </xf>
    <xf numFmtId="0" fontId="46" fillId="9" borderId="0" xfId="0" applyFont="1" applyFill="1" applyAlignment="1">
      <alignment horizontal="center" vertical="center"/>
    </xf>
    <xf numFmtId="0" fontId="50" fillId="13" borderId="0" xfId="0" applyFont="1" applyFill="1" applyAlignment="1">
      <alignment vertical="center"/>
    </xf>
    <xf numFmtId="0" fontId="51" fillId="10" borderId="0" xfId="0" applyFont="1" applyFill="1" applyAlignment="1">
      <alignment vertical="center"/>
    </xf>
    <xf numFmtId="0" fontId="49" fillId="10" borderId="0" xfId="0" applyFont="1" applyFill="1" applyAlignment="1">
      <alignment horizontal="center" vertical="center"/>
    </xf>
    <xf numFmtId="0" fontId="51" fillId="12" borderId="0" xfId="0" applyFont="1" applyFill="1" applyAlignment="1">
      <alignment horizontal="left" vertical="center"/>
    </xf>
    <xf numFmtId="0" fontId="49" fillId="12" borderId="0" xfId="0" applyFont="1" applyFill="1" applyAlignment="1">
      <alignment horizontal="center" vertical="center"/>
    </xf>
    <xf numFmtId="171" fontId="22" fillId="13" borderId="1" xfId="0" applyNumberFormat="1" applyFont="1" applyFill="1" applyBorder="1" applyAlignment="1">
      <alignment horizontal="center" vertical="center"/>
    </xf>
    <xf numFmtId="171" fontId="10" fillId="5" borderId="2" xfId="0" applyNumberFormat="1" applyFont="1" applyFill="1" applyBorder="1" applyAlignment="1">
      <alignment horizontal="right" vertical="center"/>
    </xf>
    <xf numFmtId="171" fontId="10" fillId="5" borderId="1" xfId="0" applyNumberFormat="1" applyFont="1" applyFill="1" applyBorder="1" applyAlignment="1">
      <alignment horizontal="right" vertical="center"/>
    </xf>
    <xf numFmtId="0" fontId="51" fillId="10" borderId="3" xfId="0" applyFont="1" applyFill="1" applyBorder="1" applyAlignment="1">
      <alignment vertical="center"/>
    </xf>
    <xf numFmtId="0" fontId="49" fillId="10" borderId="3" xfId="0" applyFont="1" applyFill="1" applyBorder="1" applyAlignment="1">
      <alignment horizontal="center" vertical="center"/>
    </xf>
    <xf numFmtId="0" fontId="52" fillId="13" borderId="0" xfId="0" applyFont="1" applyFill="1" applyAlignment="1">
      <alignment vertical="center"/>
    </xf>
    <xf numFmtId="0" fontId="52" fillId="13" borderId="0" xfId="0" applyFont="1" applyFill="1" applyAlignment="1">
      <alignment horizontal="center" vertical="center"/>
    </xf>
    <xf numFmtId="0" fontId="50" fillId="17" borderId="0" xfId="0" applyFont="1" applyFill="1" applyAlignment="1">
      <alignment vertical="center"/>
    </xf>
    <xf numFmtId="0" fontId="50" fillId="17" borderId="0" xfId="0" applyFont="1" applyFill="1" applyAlignment="1">
      <alignment horizontal="center" vertical="center"/>
    </xf>
    <xf numFmtId="0" fontId="51" fillId="17" borderId="0" xfId="0" applyFont="1" applyFill="1" applyAlignment="1">
      <alignment vertical="center"/>
    </xf>
    <xf numFmtId="0" fontId="51" fillId="17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3" fillId="12" borderId="0" xfId="0" applyFont="1" applyFill="1" applyAlignment="1">
      <alignment vertical="center"/>
    </xf>
    <xf numFmtId="0" fontId="13" fillId="12" borderId="0" xfId="0" applyFont="1" applyFill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3" fillId="10" borderId="0" xfId="0" applyFont="1" applyFill="1" applyAlignment="1">
      <alignment vertical="center"/>
    </xf>
    <xf numFmtId="0" fontId="13" fillId="10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6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61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53" fillId="0" borderId="0" xfId="0" applyFont="1" applyAlignment="1">
      <alignment horizontal="left" vertical="center"/>
    </xf>
    <xf numFmtId="171" fontId="53" fillId="0" borderId="0" xfId="2" applyNumberFormat="1" applyFont="1" applyAlignment="1">
      <alignment horizontal="right" vertical="center"/>
    </xf>
    <xf numFmtId="0" fontId="7" fillId="8" borderId="0" xfId="0" applyFont="1" applyFill="1" applyAlignment="1">
      <alignment horizontal="left" vertical="center"/>
    </xf>
    <xf numFmtId="0" fontId="0" fillId="9" borderId="0" xfId="0" applyFill="1" applyAlignment="1">
      <alignment vertical="center"/>
    </xf>
    <xf numFmtId="0" fontId="45" fillId="12" borderId="0" xfId="0" applyFont="1" applyFill="1" applyAlignment="1">
      <alignment vertical="center"/>
    </xf>
    <xf numFmtId="0" fontId="45" fillId="12" borderId="0" xfId="0" applyFont="1" applyFill="1" applyAlignment="1">
      <alignment horizontal="right" vertical="center"/>
    </xf>
    <xf numFmtId="0" fontId="45" fillId="12" borderId="0" xfId="0" applyFont="1" applyFill="1" applyAlignment="1">
      <alignment horizontal="center" vertical="center"/>
    </xf>
    <xf numFmtId="0" fontId="45" fillId="10" borderId="0" xfId="0" applyFont="1" applyFill="1" applyAlignment="1">
      <alignment vertical="center"/>
    </xf>
    <xf numFmtId="0" fontId="44" fillId="9" borderId="0" xfId="0" applyFont="1" applyFill="1" applyAlignment="1">
      <alignment vertical="center"/>
    </xf>
    <xf numFmtId="164" fontId="11" fillId="6" borderId="0" xfId="0" applyNumberFormat="1" applyFont="1" applyFill="1" applyAlignment="1">
      <alignment horizontal="left" vertical="center"/>
    </xf>
    <xf numFmtId="164" fontId="15" fillId="0" borderId="1" xfId="0" applyNumberFormat="1" applyFont="1" applyBorder="1" applyAlignment="1">
      <alignment horizontal="center" vertical="center"/>
    </xf>
    <xf numFmtId="164" fontId="10" fillId="7" borderId="1" xfId="1" applyNumberFormat="1" applyFont="1" applyFill="1" applyBorder="1" applyAlignment="1">
      <alignment horizontal="center" vertical="center"/>
    </xf>
    <xf numFmtId="164" fontId="11" fillId="6" borderId="0" xfId="0" applyNumberFormat="1" applyFont="1" applyFill="1" applyAlignment="1">
      <alignment vertical="center"/>
    </xf>
    <xf numFmtId="164" fontId="11" fillId="0" borderId="0" xfId="1" applyNumberFormat="1" applyFont="1" applyAlignment="1">
      <alignment vertical="center"/>
    </xf>
    <xf numFmtId="164" fontId="11" fillId="6" borderId="0" xfId="1" applyNumberFormat="1" applyFont="1" applyFill="1" applyAlignment="1">
      <alignment vertical="center"/>
    </xf>
    <xf numFmtId="164" fontId="11" fillId="0" borderId="1" xfId="0" applyNumberFormat="1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164" fontId="10" fillId="5" borderId="2" xfId="0" applyNumberFormat="1" applyFont="1" applyFill="1" applyBorder="1" applyAlignment="1">
      <alignment horizontal="center" vertical="center"/>
    </xf>
    <xf numFmtId="164" fontId="3" fillId="13" borderId="2" xfId="0" applyNumberFormat="1" applyFont="1" applyFill="1" applyBorder="1" applyAlignment="1">
      <alignment horizontal="center" vertical="center"/>
    </xf>
    <xf numFmtId="164" fontId="7" fillId="13" borderId="2" xfId="0" applyNumberFormat="1" applyFont="1" applyFill="1" applyBorder="1" applyAlignment="1">
      <alignment horizontal="center" vertical="center"/>
    </xf>
    <xf numFmtId="164" fontId="10" fillId="13" borderId="2" xfId="0" applyNumberFormat="1" applyFont="1" applyFill="1" applyBorder="1" applyAlignment="1">
      <alignment horizontal="center" vertical="center"/>
    </xf>
    <xf numFmtId="164" fontId="14" fillId="6" borderId="1" xfId="0" applyNumberFormat="1" applyFont="1" applyFill="1" applyBorder="1" applyAlignment="1">
      <alignment horizontal="center" vertical="center"/>
    </xf>
    <xf numFmtId="164" fontId="11" fillId="6" borderId="2" xfId="0" applyNumberFormat="1" applyFont="1" applyFill="1" applyBorder="1" applyAlignment="1">
      <alignment horizontal="center" vertical="center"/>
    </xf>
    <xf numFmtId="164" fontId="10" fillId="13" borderId="2" xfId="0" applyNumberFormat="1" applyFont="1" applyFill="1" applyBorder="1" applyAlignment="1">
      <alignment vertical="center"/>
    </xf>
    <xf numFmtId="164" fontId="10" fillId="5" borderId="2" xfId="0" applyNumberFormat="1" applyFont="1" applyFill="1" applyBorder="1" applyAlignment="1">
      <alignment vertical="center"/>
    </xf>
    <xf numFmtId="164" fontId="3" fillId="5" borderId="2" xfId="0" applyNumberFormat="1" applyFont="1" applyFill="1" applyBorder="1" applyAlignment="1">
      <alignment vertical="center"/>
    </xf>
    <xf numFmtId="164" fontId="51" fillId="10" borderId="3" xfId="0" applyNumberFormat="1" applyFont="1" applyFill="1" applyBorder="1" applyAlignment="1">
      <alignment vertical="center"/>
    </xf>
    <xf numFmtId="164" fontId="10" fillId="5" borderId="1" xfId="0" applyNumberFormat="1" applyFont="1" applyFill="1" applyBorder="1" applyAlignment="1">
      <alignment horizontal="right" vertical="center"/>
    </xf>
    <xf numFmtId="164" fontId="7" fillId="5" borderId="0" xfId="0" applyNumberFormat="1" applyFont="1" applyFill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right" vertical="center"/>
    </xf>
    <xf numFmtId="164" fontId="16" fillId="0" borderId="0" xfId="0" applyNumberFormat="1" applyFont="1" applyAlignment="1">
      <alignment horizontal="right" vertical="center"/>
    </xf>
    <xf numFmtId="164" fontId="6" fillId="4" borderId="0" xfId="0" applyNumberFormat="1" applyFont="1" applyFill="1" applyAlignment="1">
      <alignment horizontal="right" vertical="center"/>
    </xf>
    <xf numFmtId="164" fontId="62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horizontal="left" vertical="center"/>
    </xf>
    <xf numFmtId="164" fontId="16" fillId="0" borderId="0" xfId="0" applyNumberFormat="1" applyFont="1" applyAlignment="1">
      <alignment horizontal="left" vertical="center"/>
    </xf>
    <xf numFmtId="164" fontId="7" fillId="8" borderId="0" xfId="0" applyNumberFormat="1" applyFont="1" applyFill="1" applyAlignment="1">
      <alignment horizontal="right" vertical="center"/>
    </xf>
    <xf numFmtId="164" fontId="10" fillId="8" borderId="0" xfId="0" applyNumberFormat="1" applyFont="1" applyFill="1" applyAlignment="1">
      <alignment horizontal="right" vertical="center"/>
    </xf>
    <xf numFmtId="0" fontId="11" fillId="15" borderId="0" xfId="0" applyFont="1" applyFill="1" applyAlignment="1">
      <alignment vertical="center"/>
    </xf>
    <xf numFmtId="164" fontId="11" fillId="15" borderId="0" xfId="0" applyNumberFormat="1" applyFont="1" applyFill="1" applyAlignment="1">
      <alignment vertical="center"/>
    </xf>
    <xf numFmtId="0" fontId="5" fillId="9" borderId="0" xfId="0" applyFont="1" applyFill="1" applyAlignment="1">
      <alignment vertical="center" wrapText="1"/>
    </xf>
    <xf numFmtId="0" fontId="5" fillId="9" borderId="0" xfId="0" applyFont="1" applyFill="1" applyAlignment="1">
      <alignment horizontal="right" vertical="center"/>
    </xf>
    <xf numFmtId="0" fontId="11" fillId="16" borderId="0" xfId="0" applyFont="1" applyFill="1" applyAlignment="1">
      <alignment vertical="center"/>
    </xf>
    <xf numFmtId="0" fontId="11" fillId="16" borderId="0" xfId="0" applyFont="1" applyFill="1" applyAlignment="1">
      <alignment vertical="center" wrapText="1"/>
    </xf>
    <xf numFmtId="164" fontId="11" fillId="16" borderId="0" xfId="0" applyNumberFormat="1" applyFont="1" applyFill="1" applyAlignment="1">
      <alignment vertical="center"/>
    </xf>
    <xf numFmtId="0" fontId="14" fillId="16" borderId="0" xfId="0" applyFont="1" applyFill="1" applyAlignment="1">
      <alignment vertical="center"/>
    </xf>
    <xf numFmtId="164" fontId="21" fillId="14" borderId="0" xfId="0" applyNumberFormat="1" applyFont="1" applyFill="1" applyAlignment="1">
      <alignment vertical="center"/>
    </xf>
    <xf numFmtId="0" fontId="68" fillId="0" borderId="0" xfId="0" applyFont="1" applyAlignment="1">
      <alignment vertical="center"/>
    </xf>
    <xf numFmtId="0" fontId="69" fillId="10" borderId="0" xfId="0" applyFont="1" applyFill="1" applyAlignment="1">
      <alignment vertical="center"/>
    </xf>
    <xf numFmtId="0" fontId="68" fillId="14" borderId="0" xfId="0" applyFont="1" applyFill="1" applyAlignment="1">
      <alignment vertical="center"/>
    </xf>
    <xf numFmtId="0" fontId="68" fillId="15" borderId="0" xfId="0" applyFont="1" applyFill="1" applyAlignment="1">
      <alignment vertical="center"/>
    </xf>
    <xf numFmtId="0" fontId="36" fillId="13" borderId="0" xfId="0" applyFont="1" applyFill="1" applyAlignment="1">
      <alignment vertical="center"/>
    </xf>
    <xf numFmtId="164" fontId="5" fillId="9" borderId="0" xfId="0" applyNumberFormat="1" applyFont="1" applyFill="1" applyAlignment="1">
      <alignment vertical="center"/>
    </xf>
    <xf numFmtId="169" fontId="11" fillId="0" borderId="0" xfId="0" applyNumberFormat="1" applyFont="1" applyAlignment="1">
      <alignment vertical="center"/>
    </xf>
    <xf numFmtId="168" fontId="10" fillId="5" borderId="1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164" fontId="14" fillId="0" borderId="0" xfId="0" applyNumberFormat="1" applyFont="1" applyAlignment="1">
      <alignment vertical="center"/>
    </xf>
    <xf numFmtId="164" fontId="5" fillId="9" borderId="0" xfId="1" applyNumberFormat="1" applyFont="1" applyFill="1" applyAlignment="1">
      <alignment vertical="center"/>
    </xf>
    <xf numFmtId="0" fontId="55" fillId="13" borderId="0" xfId="0" applyFont="1" applyFill="1" applyAlignment="1">
      <alignment horizontal="left" vertical="center"/>
    </xf>
    <xf numFmtId="0" fontId="56" fillId="13" borderId="0" xfId="0" applyFont="1" applyFill="1" applyAlignment="1">
      <alignment horizontal="left" vertical="center"/>
    </xf>
    <xf numFmtId="0" fontId="54" fillId="13" borderId="0" xfId="0" applyFont="1" applyFill="1" applyAlignment="1">
      <alignment vertical="center"/>
    </xf>
    <xf numFmtId="0" fontId="57" fillId="9" borderId="0" xfId="0" applyFont="1" applyFill="1" applyAlignment="1">
      <alignment vertical="center"/>
    </xf>
    <xf numFmtId="49" fontId="58" fillId="5" borderId="7" xfId="0" applyNumberFormat="1" applyFont="1" applyFill="1" applyBorder="1" applyAlignment="1">
      <alignment horizontal="center" vertical="center"/>
    </xf>
    <xf numFmtId="164" fontId="58" fillId="5" borderId="1" xfId="0" applyNumberFormat="1" applyFont="1" applyFill="1" applyBorder="1" applyAlignment="1">
      <alignment horizontal="center" vertical="center"/>
    </xf>
    <xf numFmtId="49" fontId="58" fillId="5" borderId="1" xfId="0" applyNumberFormat="1" applyFont="1" applyFill="1" applyBorder="1" applyAlignment="1">
      <alignment horizontal="center" vertical="center"/>
    </xf>
    <xf numFmtId="0" fontId="57" fillId="9" borderId="0" xfId="0" applyFont="1" applyFill="1" applyAlignment="1">
      <alignment horizontal="center" vertical="center"/>
    </xf>
    <xf numFmtId="0" fontId="29" fillId="9" borderId="0" xfId="0" applyFont="1" applyFill="1" applyAlignment="1">
      <alignment horizontal="center" vertical="center"/>
    </xf>
    <xf numFmtId="164" fontId="57" fillId="9" borderId="0" xfId="0" applyNumberFormat="1" applyFont="1" applyFill="1" applyAlignment="1">
      <alignment horizontal="center" vertical="center"/>
    </xf>
    <xf numFmtId="0" fontId="59" fillId="13" borderId="0" xfId="0" applyFont="1" applyFill="1" applyAlignment="1">
      <alignment vertical="center"/>
    </xf>
    <xf numFmtId="164" fontId="58" fillId="13" borderId="0" xfId="0" applyNumberFormat="1" applyFont="1" applyFill="1" applyAlignment="1">
      <alignment horizontal="center" vertical="center"/>
    </xf>
    <xf numFmtId="0" fontId="58" fillId="13" borderId="0" xfId="0" applyFont="1" applyFill="1" applyAlignment="1">
      <alignment horizontal="center" vertical="center"/>
    </xf>
    <xf numFmtId="164" fontId="36" fillId="13" borderId="0" xfId="0" applyNumberFormat="1" applyFont="1" applyFill="1" applyAlignment="1">
      <alignment vertical="center"/>
    </xf>
    <xf numFmtId="164" fontId="54" fillId="13" borderId="0" xfId="0" applyNumberFormat="1" applyFont="1" applyFill="1" applyAlignment="1">
      <alignment vertical="center"/>
    </xf>
    <xf numFmtId="0" fontId="59" fillId="10" borderId="0" xfId="0" applyFont="1" applyFill="1" applyAlignment="1">
      <alignment vertical="center"/>
    </xf>
    <xf numFmtId="164" fontId="59" fillId="10" borderId="0" xfId="0" applyNumberFormat="1" applyFont="1" applyFill="1" applyAlignment="1">
      <alignment vertical="center"/>
    </xf>
    <xf numFmtId="0" fontId="59" fillId="10" borderId="4" xfId="0" applyFont="1" applyFill="1" applyBorder="1" applyAlignment="1">
      <alignment vertical="center"/>
    </xf>
    <xf numFmtId="164" fontId="59" fillId="10" borderId="4" xfId="0" applyNumberFormat="1" applyFont="1" applyFill="1" applyBorder="1" applyAlignment="1">
      <alignment vertical="center"/>
    </xf>
    <xf numFmtId="0" fontId="39" fillId="18" borderId="0" xfId="0" applyFont="1" applyFill="1" applyAlignment="1">
      <alignment vertical="center"/>
    </xf>
    <xf numFmtId="0" fontId="32" fillId="18" borderId="0" xfId="0" applyFont="1" applyFill="1" applyAlignment="1">
      <alignment vertical="center"/>
    </xf>
    <xf numFmtId="164" fontId="32" fillId="18" borderId="0" xfId="0" applyNumberFormat="1" applyFont="1" applyFill="1" applyAlignment="1">
      <alignment vertical="center"/>
    </xf>
    <xf numFmtId="164" fontId="67" fillId="5" borderId="1" xfId="0" applyNumberFormat="1" applyFont="1" applyFill="1" applyBorder="1" applyAlignment="1">
      <alignment horizontal="right" vertical="center"/>
    </xf>
    <xf numFmtId="164" fontId="58" fillId="5" borderId="1" xfId="0" applyNumberFormat="1" applyFont="1" applyFill="1" applyBorder="1" applyAlignment="1">
      <alignment horizontal="right" vertical="center"/>
    </xf>
    <xf numFmtId="0" fontId="51" fillId="16" borderId="0" xfId="0" applyFont="1" applyFill="1" applyAlignment="1">
      <alignment vertical="center"/>
    </xf>
    <xf numFmtId="0" fontId="4" fillId="13" borderId="0" xfId="0" applyFont="1" applyFill="1" applyAlignment="1">
      <alignment vertical="center"/>
    </xf>
    <xf numFmtId="0" fontId="11" fillId="17" borderId="4" xfId="0" applyFont="1" applyFill="1" applyBorder="1" applyAlignment="1">
      <alignment vertical="center"/>
    </xf>
    <xf numFmtId="164" fontId="11" fillId="17" borderId="4" xfId="0" applyNumberFormat="1" applyFont="1" applyFill="1" applyBorder="1" applyAlignment="1">
      <alignment vertical="center"/>
    </xf>
    <xf numFmtId="164" fontId="7" fillId="5" borderId="0" xfId="0" applyNumberFormat="1" applyFont="1" applyFill="1" applyAlignment="1">
      <alignment vertical="center"/>
    </xf>
    <xf numFmtId="164" fontId="3" fillId="5" borderId="0" xfId="0" applyNumberFormat="1" applyFont="1" applyFill="1" applyAlignment="1">
      <alignment vertical="center"/>
    </xf>
    <xf numFmtId="164" fontId="24" fillId="13" borderId="0" xfId="0" applyNumberFormat="1" applyFont="1" applyFill="1" applyAlignment="1">
      <alignment vertical="center"/>
    </xf>
    <xf numFmtId="41" fontId="11" fillId="17" borderId="4" xfId="0" applyNumberFormat="1" applyFont="1" applyFill="1" applyBorder="1" applyAlignment="1">
      <alignment vertical="center"/>
    </xf>
    <xf numFmtId="0" fontId="51" fillId="13" borderId="0" xfId="0" applyFont="1" applyFill="1" applyAlignment="1">
      <alignment vertical="center"/>
    </xf>
    <xf numFmtId="164" fontId="16" fillId="0" borderId="0" xfId="0" applyNumberFormat="1" applyFont="1" applyAlignment="1">
      <alignment vertical="center"/>
    </xf>
    <xf numFmtId="171" fontId="11" fillId="0" borderId="0" xfId="0" applyNumberFormat="1" applyFont="1" applyAlignment="1">
      <alignment vertical="center"/>
    </xf>
    <xf numFmtId="170" fontId="11" fillId="0" borderId="0" xfId="0" applyNumberFormat="1" applyFont="1" applyAlignment="1">
      <alignment vertical="center"/>
    </xf>
    <xf numFmtId="171" fontId="16" fillId="0" borderId="1" xfId="0" applyNumberFormat="1" applyFont="1" applyBorder="1" applyAlignment="1">
      <alignment vertical="center"/>
    </xf>
    <xf numFmtId="171" fontId="3" fillId="0" borderId="0" xfId="0" applyNumberFormat="1" applyFont="1" applyAlignment="1">
      <alignment vertical="center"/>
    </xf>
    <xf numFmtId="170" fontId="3" fillId="0" borderId="0" xfId="0" applyNumberFormat="1" applyFont="1" applyAlignment="1">
      <alignment vertical="center"/>
    </xf>
    <xf numFmtId="171" fontId="10" fillId="5" borderId="1" xfId="0" applyNumberFormat="1" applyFont="1" applyFill="1" applyBorder="1" applyAlignment="1">
      <alignment vertical="center"/>
    </xf>
    <xf numFmtId="171" fontId="16" fillId="5" borderId="1" xfId="0" applyNumberFormat="1" applyFont="1" applyFill="1" applyBorder="1" applyAlignment="1">
      <alignment vertical="center"/>
    </xf>
    <xf numFmtId="0" fontId="26" fillId="0" borderId="0" xfId="0" applyFont="1" applyAlignment="1">
      <alignment vertical="center"/>
    </xf>
    <xf numFmtId="0" fontId="31" fillId="13" borderId="0" xfId="0" applyFont="1" applyFill="1" applyAlignment="1">
      <alignment vertical="center"/>
    </xf>
    <xf numFmtId="0" fontId="31" fillId="13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9" fillId="9" borderId="0" xfId="0" applyFont="1" applyFill="1" applyAlignment="1">
      <alignment horizontal="left" vertical="center"/>
    </xf>
    <xf numFmtId="0" fontId="41" fillId="9" borderId="0" xfId="0" applyFont="1" applyFill="1" applyAlignment="1">
      <alignment horizontal="center" vertical="center"/>
    </xf>
    <xf numFmtId="1" fontId="32" fillId="9" borderId="0" xfId="0" applyNumberFormat="1" applyFont="1" applyFill="1" applyAlignment="1">
      <alignment horizontal="center" vertical="center"/>
    </xf>
    <xf numFmtId="0" fontId="33" fillId="12" borderId="0" xfId="0" applyFont="1" applyFill="1" applyAlignment="1">
      <alignment horizontal="left" vertical="center"/>
    </xf>
    <xf numFmtId="0" fontId="38" fillId="12" borderId="0" xfId="0" applyFont="1" applyFill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34" fillId="12" borderId="0" xfId="0" applyFont="1" applyFill="1" applyAlignment="1">
      <alignment horizontal="center" vertical="center"/>
    </xf>
    <xf numFmtId="0" fontId="42" fillId="13" borderId="0" xfId="0" applyFont="1" applyFill="1" applyAlignment="1">
      <alignment horizontal="center" vertical="center"/>
    </xf>
    <xf numFmtId="0" fontId="36" fillId="13" borderId="0" xfId="0" applyFont="1" applyFill="1" applyAlignment="1">
      <alignment horizontal="left" vertical="center"/>
    </xf>
    <xf numFmtId="164" fontId="37" fillId="5" borderId="1" xfId="0" applyNumberFormat="1" applyFont="1" applyFill="1" applyBorder="1" applyAlignment="1">
      <alignment horizontal="center" vertical="center"/>
    </xf>
    <xf numFmtId="0" fontId="38" fillId="13" borderId="0" xfId="0" applyFont="1" applyFill="1" applyAlignment="1">
      <alignment horizontal="left" vertical="center"/>
    </xf>
    <xf numFmtId="0" fontId="26" fillId="13" borderId="0" xfId="0" applyFont="1" applyFill="1" applyAlignment="1">
      <alignment vertical="center"/>
    </xf>
    <xf numFmtId="0" fontId="38" fillId="13" borderId="0" xfId="0" applyFont="1" applyFill="1" applyAlignment="1">
      <alignment horizontal="center" vertical="center"/>
    </xf>
    <xf numFmtId="171" fontId="37" fillId="5" borderId="1" xfId="0" applyNumberFormat="1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center" vertical="center" wrapText="1"/>
    </xf>
    <xf numFmtId="171" fontId="30" fillId="0" borderId="1" xfId="2" applyNumberFormat="1" applyFont="1" applyFill="1" applyBorder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171" fontId="47" fillId="5" borderId="1" xfId="0" applyNumberFormat="1" applyFont="1" applyFill="1" applyBorder="1" applyAlignment="1">
      <alignment horizontal="center" vertical="center"/>
    </xf>
    <xf numFmtId="171" fontId="37" fillId="5" borderId="1" xfId="2" applyNumberFormat="1" applyFont="1" applyFill="1" applyBorder="1" applyAlignment="1">
      <alignment vertical="center"/>
    </xf>
    <xf numFmtId="164" fontId="33" fillId="13" borderId="0" xfId="1" applyNumberFormat="1" applyFont="1" applyFill="1" applyAlignment="1">
      <alignment vertical="center"/>
    </xf>
    <xf numFmtId="164" fontId="36" fillId="13" borderId="0" xfId="1" applyNumberFormat="1" applyFont="1" applyFill="1" applyAlignment="1">
      <alignment vertical="center"/>
    </xf>
    <xf numFmtId="0" fontId="33" fillId="10" borderId="0" xfId="0" applyFont="1" applyFill="1" applyAlignment="1">
      <alignment horizontal="left" vertical="center"/>
    </xf>
    <xf numFmtId="0" fontId="38" fillId="10" borderId="0" xfId="0" applyFont="1" applyFill="1" applyAlignment="1">
      <alignment horizontal="center" vertical="center"/>
    </xf>
    <xf numFmtId="164" fontId="33" fillId="10" borderId="0" xfId="1" applyNumberFormat="1" applyFont="1" applyFill="1" applyAlignment="1">
      <alignment horizontal="right" vertical="center"/>
    </xf>
    <xf numFmtId="164" fontId="26" fillId="13" borderId="0" xfId="1" applyNumberFormat="1" applyFont="1" applyFill="1" applyAlignment="1">
      <alignment vertical="center"/>
    </xf>
    <xf numFmtId="164" fontId="29" fillId="9" borderId="0" xfId="1" applyNumberFormat="1" applyFont="1" applyFill="1" applyAlignment="1">
      <alignment horizontal="center" vertical="center"/>
    </xf>
    <xf numFmtId="164" fontId="29" fillId="9" borderId="0" xfId="1" applyNumberFormat="1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7" borderId="0" xfId="0" applyFont="1" applyFill="1" applyAlignment="1">
      <alignment horizontal="left" vertical="center"/>
    </xf>
    <xf numFmtId="0" fontId="34" fillId="17" borderId="0" xfId="0" applyFont="1" applyFill="1" applyAlignment="1">
      <alignment horizontal="center" vertical="center"/>
    </xf>
    <xf numFmtId="164" fontId="33" fillId="17" borderId="0" xfId="1" applyNumberFormat="1" applyFont="1" applyFill="1" applyAlignment="1">
      <alignment horizontal="right" vertical="center"/>
    </xf>
    <xf numFmtId="164" fontId="26" fillId="0" borderId="0" xfId="0" applyNumberFormat="1" applyFont="1" applyAlignment="1">
      <alignment vertical="center"/>
    </xf>
    <xf numFmtId="164" fontId="33" fillId="12" borderId="0" xfId="1" applyNumberFormat="1" applyFont="1" applyFill="1" applyAlignment="1">
      <alignment horizontal="center" vertical="center"/>
    </xf>
    <xf numFmtId="164" fontId="33" fillId="12" borderId="0" xfId="1" applyNumberFormat="1" applyFont="1" applyFill="1" applyAlignment="1">
      <alignment horizontal="left" vertical="center"/>
    </xf>
    <xf numFmtId="164" fontId="0" fillId="13" borderId="0" xfId="1" applyNumberFormat="1" applyFont="1" applyFill="1" applyAlignment="1">
      <alignment vertical="center"/>
    </xf>
    <xf numFmtId="164" fontId="38" fillId="13" borderId="0" xfId="1" applyNumberFormat="1" applyFont="1" applyFill="1" applyAlignment="1">
      <alignment vertical="center"/>
    </xf>
    <xf numFmtId="164" fontId="38" fillId="13" borderId="1" xfId="1" applyNumberFormat="1" applyFont="1" applyFill="1" applyBorder="1" applyAlignment="1">
      <alignment horizontal="center" vertical="center"/>
    </xf>
    <xf numFmtId="164" fontId="38" fillId="13" borderId="0" xfId="1" applyNumberFormat="1" applyFont="1" applyFill="1" applyAlignment="1">
      <alignment horizontal="center" vertical="center"/>
    </xf>
    <xf numFmtId="0" fontId="39" fillId="13" borderId="0" xfId="0" applyFont="1" applyFill="1" applyAlignment="1">
      <alignment horizontal="left" vertical="center"/>
    </xf>
    <xf numFmtId="164" fontId="39" fillId="13" borderId="0" xfId="1" applyNumberFormat="1" applyFont="1" applyFill="1" applyAlignment="1">
      <alignment horizontal="left" vertical="center"/>
    </xf>
    <xf numFmtId="0" fontId="0" fillId="13" borderId="0" xfId="0" applyFill="1" applyAlignment="1">
      <alignment vertical="center"/>
    </xf>
    <xf numFmtId="0" fontId="40" fillId="13" borderId="0" xfId="0" applyFont="1" applyFill="1" applyAlignment="1">
      <alignment horizontal="center" vertical="center"/>
    </xf>
    <xf numFmtId="164" fontId="34" fillId="13" borderId="0" xfId="1" applyNumberFormat="1" applyFont="1" applyFill="1" applyAlignment="1">
      <alignment vertical="center"/>
    </xf>
    <xf numFmtId="0" fontId="25" fillId="13" borderId="0" xfId="0" applyFont="1" applyFill="1" applyAlignment="1">
      <alignment vertical="center"/>
    </xf>
    <xf numFmtId="164" fontId="25" fillId="13" borderId="0" xfId="1" applyNumberFormat="1" applyFont="1" applyFill="1" applyAlignment="1">
      <alignment vertical="center"/>
    </xf>
    <xf numFmtId="0" fontId="40" fillId="0" borderId="0" xfId="0" applyFont="1" applyAlignment="1">
      <alignment horizontal="center" vertical="center"/>
    </xf>
    <xf numFmtId="0" fontId="34" fillId="12" borderId="0" xfId="0" applyFont="1" applyFill="1" applyAlignment="1">
      <alignment horizontal="left" vertical="center"/>
    </xf>
    <xf numFmtId="164" fontId="34" fillId="12" borderId="0" xfId="1" applyNumberFormat="1" applyFont="1" applyFill="1" applyAlignment="1">
      <alignment horizontal="left" vertical="center"/>
    </xf>
    <xf numFmtId="164" fontId="43" fillId="5" borderId="0" xfId="1" applyNumberFormat="1" applyFont="1" applyFill="1" applyAlignment="1">
      <alignment vertical="center"/>
    </xf>
    <xf numFmtId="0" fontId="34" fillId="10" borderId="0" xfId="0" applyFont="1" applyFill="1" applyAlignment="1">
      <alignment horizontal="left" vertical="center"/>
    </xf>
    <xf numFmtId="164" fontId="34" fillId="10" borderId="0" xfId="1" applyNumberFormat="1" applyFont="1" applyFill="1" applyAlignment="1">
      <alignment horizontal="right" vertical="center"/>
    </xf>
    <xf numFmtId="0" fontId="40" fillId="13" borderId="0" xfId="0" applyFont="1" applyFill="1" applyAlignment="1">
      <alignment vertical="center"/>
    </xf>
    <xf numFmtId="164" fontId="40" fillId="13" borderId="0" xfId="1" applyNumberFormat="1" applyFont="1" applyFill="1" applyAlignment="1">
      <alignment vertical="center"/>
    </xf>
    <xf numFmtId="0" fontId="27" fillId="13" borderId="0" xfId="0" applyFont="1" applyFill="1" applyAlignment="1">
      <alignment vertical="center"/>
    </xf>
    <xf numFmtId="164" fontId="27" fillId="13" borderId="0" xfId="1" applyNumberFormat="1" applyFont="1" applyFill="1" applyAlignment="1">
      <alignment vertical="center"/>
    </xf>
    <xf numFmtId="0" fontId="60" fillId="0" borderId="0" xfId="0" applyFont="1" applyAlignment="1">
      <alignment vertical="center"/>
    </xf>
    <xf numFmtId="0" fontId="7" fillId="8" borderId="0" xfId="0" applyFont="1" applyFill="1" applyAlignment="1">
      <alignment horizontal="center" vertical="center"/>
    </xf>
    <xf numFmtId="0" fontId="21" fillId="14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5" fillId="13" borderId="0" xfId="0" applyFont="1" applyFill="1" applyAlignment="1">
      <alignment vertical="center"/>
    </xf>
    <xf numFmtId="49" fontId="29" fillId="9" borderId="0" xfId="0" applyNumberFormat="1" applyFont="1" applyFill="1" applyAlignment="1">
      <alignment horizontal="left" vertical="center"/>
    </xf>
    <xf numFmtId="49" fontId="29" fillId="9" borderId="0" xfId="0" applyNumberFormat="1" applyFont="1" applyFill="1" applyAlignment="1">
      <alignment horizontal="center" vertical="center"/>
    </xf>
    <xf numFmtId="0" fontId="33" fillId="16" borderId="0" xfId="0" applyFont="1" applyFill="1" applyAlignment="1">
      <alignment horizontal="left" vertical="center"/>
    </xf>
    <xf numFmtId="0" fontId="36" fillId="13" borderId="5" xfId="0" applyFont="1" applyFill="1" applyBorder="1" applyAlignment="1">
      <alignment vertical="center"/>
    </xf>
    <xf numFmtId="0" fontId="36" fillId="13" borderId="0" xfId="0" applyFont="1" applyFill="1" applyAlignment="1">
      <alignment horizontal="center" vertical="center"/>
    </xf>
    <xf numFmtId="164" fontId="67" fillId="13" borderId="0" xfId="0" applyNumberFormat="1" applyFont="1" applyFill="1" applyAlignment="1">
      <alignment vertical="center"/>
    </xf>
    <xf numFmtId="164" fontId="29" fillId="9" borderId="0" xfId="0" applyNumberFormat="1" applyFont="1" applyFill="1" applyAlignment="1">
      <alignment vertical="center"/>
    </xf>
    <xf numFmtId="164" fontId="33" fillId="13" borderId="6" xfId="0" applyNumberFormat="1" applyFont="1" applyFill="1" applyBorder="1" applyAlignment="1">
      <alignment vertical="center"/>
    </xf>
    <xf numFmtId="164" fontId="63" fillId="13" borderId="6" xfId="0" applyNumberFormat="1" applyFont="1" applyFill="1" applyBorder="1" applyAlignment="1">
      <alignment vertical="center"/>
    </xf>
    <xf numFmtId="164" fontId="64" fillId="13" borderId="0" xfId="0" applyNumberFormat="1" applyFont="1" applyFill="1" applyAlignment="1">
      <alignment vertical="center"/>
    </xf>
    <xf numFmtId="0" fontId="63" fillId="17" borderId="0" xfId="0" applyFont="1" applyFill="1" applyAlignment="1">
      <alignment vertical="center"/>
    </xf>
    <xf numFmtId="164" fontId="64" fillId="13" borderId="6" xfId="0" applyNumberFormat="1" applyFont="1" applyFill="1" applyBorder="1" applyAlignment="1">
      <alignment vertical="center"/>
    </xf>
    <xf numFmtId="0" fontId="65" fillId="17" borderId="0" xfId="0" applyFont="1" applyFill="1" applyAlignment="1">
      <alignment vertical="center"/>
    </xf>
    <xf numFmtId="41" fontId="33" fillId="13" borderId="6" xfId="0" applyNumberFormat="1" applyFont="1" applyFill="1" applyBorder="1" applyAlignment="1">
      <alignment vertical="center"/>
    </xf>
    <xf numFmtId="164" fontId="33" fillId="13" borderId="0" xfId="0" applyNumberFormat="1" applyFont="1" applyFill="1" applyAlignment="1">
      <alignment vertical="center"/>
    </xf>
    <xf numFmtId="0" fontId="37" fillId="5" borderId="1" xfId="1" applyNumberFormat="1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center" vertical="center"/>
    </xf>
    <xf numFmtId="0" fontId="51" fillId="17" borderId="0" xfId="0" applyFont="1" applyFill="1" applyAlignment="1">
      <alignment horizontal="left" vertical="center"/>
    </xf>
    <xf numFmtId="41" fontId="51" fillId="17" borderId="0" xfId="0" applyNumberFormat="1" applyFont="1" applyFill="1" applyAlignment="1">
      <alignment horizontal="left" vertical="center"/>
    </xf>
    <xf numFmtId="41" fontId="3" fillId="0" borderId="0" xfId="1" applyNumberFormat="1" applyFont="1" applyAlignment="1">
      <alignment vertical="center"/>
    </xf>
    <xf numFmtId="170" fontId="3" fillId="0" borderId="1" xfId="2" applyNumberFormat="1" applyFont="1" applyBorder="1" applyAlignment="1">
      <alignment vertical="center"/>
    </xf>
    <xf numFmtId="170" fontId="3" fillId="0" borderId="0" xfId="2" applyNumberFormat="1" applyFont="1" applyAlignment="1">
      <alignment vertical="center"/>
    </xf>
    <xf numFmtId="170" fontId="10" fillId="5" borderId="1" xfId="2" applyNumberFormat="1" applyFont="1" applyFill="1" applyBorder="1" applyAlignment="1">
      <alignment vertical="center"/>
    </xf>
    <xf numFmtId="43" fontId="3" fillId="5" borderId="1" xfId="1" applyFont="1" applyFill="1" applyBorder="1" applyAlignment="1">
      <alignment vertical="center"/>
    </xf>
    <xf numFmtId="43" fontId="3" fillId="0" borderId="1" xfId="1" applyFont="1" applyFill="1" applyBorder="1" applyAlignment="1">
      <alignment vertical="center"/>
    </xf>
    <xf numFmtId="164" fontId="28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2" fillId="0" borderId="0" xfId="0" applyFont="1"/>
    <xf numFmtId="0" fontId="5" fillId="9" borderId="0" xfId="0" applyFont="1" applyFill="1"/>
    <xf numFmtId="0" fontId="22" fillId="13" borderId="0" xfId="0" applyFont="1" applyFill="1"/>
    <xf numFmtId="170" fontId="22" fillId="13" borderId="0" xfId="0" applyNumberFormat="1" applyFont="1" applyFill="1"/>
    <xf numFmtId="0" fontId="51" fillId="13" borderId="0" xfId="0" applyFont="1" applyFill="1"/>
    <xf numFmtId="0" fontId="4" fillId="13" borderId="0" xfId="0" applyFont="1" applyFill="1"/>
    <xf numFmtId="0" fontId="51" fillId="12" borderId="0" xfId="0" applyFont="1" applyFill="1" applyAlignment="1">
      <alignment horizontal="center"/>
    </xf>
    <xf numFmtId="0" fontId="51" fillId="10" borderId="0" xfId="0" applyFont="1" applyFill="1"/>
    <xf numFmtId="4" fontId="51" fillId="10" borderId="0" xfId="0" applyNumberFormat="1" applyFont="1" applyFill="1"/>
    <xf numFmtId="170" fontId="51" fillId="10" borderId="0" xfId="0" applyNumberFormat="1" applyFont="1" applyFill="1"/>
    <xf numFmtId="0" fontId="22" fillId="13" borderId="0" xfId="0" applyFont="1" applyFill="1" applyAlignment="1">
      <alignment horizontal="left"/>
    </xf>
    <xf numFmtId="43" fontId="22" fillId="13" borderId="0" xfId="0" applyNumberFormat="1" applyFont="1" applyFill="1"/>
    <xf numFmtId="43" fontId="51" fillId="10" borderId="0" xfId="0" applyNumberFormat="1" applyFont="1" applyFill="1"/>
    <xf numFmtId="164" fontId="22" fillId="13" borderId="0" xfId="0" applyNumberFormat="1" applyFont="1" applyFill="1"/>
    <xf numFmtId="164" fontId="51" fillId="10" borderId="0" xfId="0" applyNumberFormat="1" applyFont="1" applyFill="1"/>
    <xf numFmtId="43" fontId="10" fillId="13" borderId="0" xfId="0" applyNumberFormat="1" applyFont="1" applyFill="1"/>
    <xf numFmtId="0" fontId="4" fillId="13" borderId="0" xfId="0" applyFont="1" applyFill="1" applyAlignment="1">
      <alignment horizontal="left"/>
    </xf>
    <xf numFmtId="0" fontId="73" fillId="13" borderId="0" xfId="0" applyFont="1" applyFill="1" applyAlignment="1">
      <alignment horizontal="left"/>
    </xf>
    <xf numFmtId="0" fontId="70" fillId="16" borderId="0" xfId="0" applyFont="1" applyFill="1"/>
    <xf numFmtId="4" fontId="70" fillId="16" borderId="0" xfId="0" applyNumberFormat="1" applyFont="1" applyFill="1"/>
    <xf numFmtId="3" fontId="70" fillId="16" borderId="0" xfId="0" applyNumberFormat="1" applyFont="1" applyFill="1"/>
    <xf numFmtId="0" fontId="51" fillId="12" borderId="0" xfId="0" applyFont="1" applyFill="1" applyAlignment="1">
      <alignment horizontal="left"/>
    </xf>
    <xf numFmtId="164" fontId="35" fillId="13" borderId="0" xfId="1" applyNumberFormat="1" applyFont="1" applyFill="1" applyAlignment="1">
      <alignment horizontal="left" vertical="center"/>
    </xf>
    <xf numFmtId="164" fontId="67" fillId="5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45" fillId="5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164" fontId="16" fillId="5" borderId="10" xfId="0" applyNumberFormat="1" applyFont="1" applyFill="1" applyBorder="1" applyAlignment="1">
      <alignment vertical="center"/>
    </xf>
    <xf numFmtId="164" fontId="16" fillId="5" borderId="1" xfId="0" applyNumberFormat="1" applyFont="1" applyFill="1" applyBorder="1" applyAlignment="1">
      <alignment vertical="center"/>
    </xf>
    <xf numFmtId="171" fontId="10" fillId="5" borderId="1" xfId="0" applyNumberFormat="1" applyFont="1" applyFill="1" applyBorder="1" applyAlignment="1">
      <alignment horizontal="center" vertical="center"/>
    </xf>
    <xf numFmtId="164" fontId="10" fillId="5" borderId="11" xfId="0" applyNumberFormat="1" applyFont="1" applyFill="1" applyBorder="1" applyAlignment="1">
      <alignment vertical="center"/>
    </xf>
    <xf numFmtId="164" fontId="10" fillId="5" borderId="12" xfId="0" applyNumberFormat="1" applyFont="1" applyFill="1" applyBorder="1" applyAlignment="1">
      <alignment vertical="center"/>
    </xf>
    <xf numFmtId="164" fontId="14" fillId="0" borderId="1" xfId="0" applyNumberFormat="1" applyFont="1" applyBorder="1" applyAlignment="1">
      <alignment vertical="center"/>
    </xf>
    <xf numFmtId="164" fontId="14" fillId="0" borderId="11" xfId="0" applyNumberFormat="1" applyFont="1" applyBorder="1" applyAlignment="1">
      <alignment vertical="center"/>
    </xf>
    <xf numFmtId="164" fontId="24" fillId="0" borderId="12" xfId="0" applyNumberFormat="1" applyFont="1" applyBorder="1" applyAlignment="1">
      <alignment vertical="center"/>
    </xf>
    <xf numFmtId="164" fontId="24" fillId="0" borderId="1" xfId="0" applyNumberFormat="1" applyFont="1" applyBorder="1" applyAlignment="1">
      <alignment vertical="center"/>
    </xf>
    <xf numFmtId="168" fontId="10" fillId="5" borderId="1" xfId="0" applyNumberFormat="1" applyFont="1" applyFill="1" applyBorder="1" applyAlignment="1">
      <alignment vertical="center"/>
    </xf>
    <xf numFmtId="164" fontId="10" fillId="5" borderId="10" xfId="0" applyNumberFormat="1" applyFont="1" applyFill="1" applyBorder="1" applyAlignment="1">
      <alignment vertical="center"/>
    </xf>
    <xf numFmtId="164" fontId="24" fillId="5" borderId="1" xfId="0" applyNumberFormat="1" applyFont="1" applyFill="1" applyBorder="1" applyAlignment="1">
      <alignment vertical="center"/>
    </xf>
    <xf numFmtId="164" fontId="74" fillId="0" borderId="0" xfId="0" applyNumberFormat="1" applyFont="1" applyAlignment="1">
      <alignment horizontal="right" vertical="center"/>
    </xf>
    <xf numFmtId="0" fontId="49" fillId="13" borderId="0" xfId="0" applyFont="1" applyFill="1" applyAlignment="1">
      <alignment vertical="center"/>
    </xf>
    <xf numFmtId="0" fontId="64" fillId="13" borderId="0" xfId="0" applyFont="1" applyFill="1" applyAlignment="1">
      <alignment vertical="center"/>
    </xf>
    <xf numFmtId="0" fontId="66" fillId="13" borderId="0" xfId="0" applyFont="1" applyFill="1" applyAlignment="1">
      <alignment vertical="center"/>
    </xf>
    <xf numFmtId="0" fontId="33" fillId="13" borderId="0" xfId="0" applyFont="1" applyFill="1" applyAlignment="1">
      <alignment vertical="center"/>
    </xf>
    <xf numFmtId="171" fontId="37" fillId="5" borderId="2" xfId="0" applyNumberFormat="1" applyFont="1" applyFill="1" applyBorder="1" applyAlignment="1">
      <alignment horizontal="right" vertical="center"/>
    </xf>
    <xf numFmtId="164" fontId="37" fillId="5" borderId="2" xfId="0" applyNumberFormat="1" applyFont="1" applyFill="1" applyBorder="1" applyAlignment="1">
      <alignment horizontal="right" vertical="center"/>
    </xf>
    <xf numFmtId="0" fontId="37" fillId="5" borderId="2" xfId="0" applyFont="1" applyFill="1" applyBorder="1" applyAlignment="1">
      <alignment horizontal="center" vertical="center"/>
    </xf>
    <xf numFmtId="0" fontId="36" fillId="13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10" fillId="5" borderId="1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51" fillId="10" borderId="0" xfId="0" applyFont="1" applyFill="1" applyAlignment="1">
      <alignment horizontal="center" vertical="center"/>
    </xf>
    <xf numFmtId="0" fontId="51" fillId="12" borderId="0" xfId="0" applyFont="1" applyFill="1" applyAlignment="1">
      <alignment horizontal="center" vertical="center"/>
    </xf>
    <xf numFmtId="0" fontId="51" fillId="10" borderId="3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3" fillId="12" borderId="0" xfId="0" applyFont="1" applyFill="1" applyAlignment="1">
      <alignment vertical="center"/>
    </xf>
    <xf numFmtId="164" fontId="33" fillId="10" borderId="0" xfId="0" applyNumberFormat="1" applyFont="1" applyFill="1" applyAlignment="1">
      <alignment vertical="center"/>
    </xf>
    <xf numFmtId="0" fontId="33" fillId="10" borderId="0" xfId="0" applyFont="1" applyFill="1" applyAlignment="1">
      <alignment horizontal="center" vertical="center"/>
    </xf>
    <xf numFmtId="164" fontId="76" fillId="10" borderId="0" xfId="0" applyNumberFormat="1" applyFont="1" applyFill="1" applyAlignment="1">
      <alignment vertical="center"/>
    </xf>
    <xf numFmtId="0" fontId="69" fillId="13" borderId="0" xfId="0" applyFont="1" applyFill="1" applyAlignment="1">
      <alignment vertical="center"/>
    </xf>
    <xf numFmtId="0" fontId="68" fillId="13" borderId="0" xfId="0" applyFont="1" applyFill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168" fontId="16" fillId="5" borderId="1" xfId="0" applyNumberFormat="1" applyFont="1" applyFill="1" applyBorder="1" applyAlignment="1">
      <alignment horizontal="center" vertical="center"/>
    </xf>
    <xf numFmtId="171" fontId="28" fillId="5" borderId="1" xfId="0" applyNumberFormat="1" applyFont="1" applyFill="1" applyBorder="1" applyAlignment="1">
      <alignment horizontal="center" vertical="center"/>
    </xf>
    <xf numFmtId="171" fontId="28" fillId="5" borderId="1" xfId="2" applyNumberFormat="1" applyFont="1" applyFill="1" applyBorder="1" applyAlignment="1">
      <alignment vertical="center"/>
    </xf>
    <xf numFmtId="170" fontId="16" fillId="0" borderId="0" xfId="2" applyNumberFormat="1" applyFont="1" applyAlignment="1">
      <alignment horizontal="right" vertical="center"/>
    </xf>
    <xf numFmtId="165" fontId="16" fillId="0" borderId="1" xfId="0" applyNumberFormat="1" applyFont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165" fontId="6" fillId="0" borderId="1" xfId="0" applyNumberFormat="1" applyFont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64" fontId="11" fillId="6" borderId="1" xfId="0" applyNumberFormat="1" applyFont="1" applyFill="1" applyBorder="1" applyAlignment="1">
      <alignment vertical="center"/>
    </xf>
    <xf numFmtId="164" fontId="11" fillId="0" borderId="11" xfId="0" applyNumberFormat="1" applyFont="1" applyBorder="1" applyAlignment="1">
      <alignment vertical="center"/>
    </xf>
    <xf numFmtId="164" fontId="3" fillId="0" borderId="11" xfId="0" applyNumberFormat="1" applyFont="1" applyBorder="1" applyAlignment="1">
      <alignment vertical="center"/>
    </xf>
    <xf numFmtId="164" fontId="79" fillId="6" borderId="1" xfId="0" applyNumberFormat="1" applyFont="1" applyFill="1" applyBorder="1" applyAlignment="1">
      <alignment vertical="center"/>
    </xf>
    <xf numFmtId="0" fontId="33" fillId="10" borderId="0" xfId="0" applyFont="1" applyFill="1" applyAlignment="1">
      <alignment vertical="center"/>
    </xf>
    <xf numFmtId="0" fontId="33" fillId="12" borderId="0" xfId="0" applyFont="1" applyFill="1" applyAlignment="1">
      <alignment horizontal="right" vertical="center"/>
    </xf>
    <xf numFmtId="0" fontId="0" fillId="10" borderId="0" xfId="0" applyFill="1" applyAlignment="1">
      <alignment vertical="center"/>
    </xf>
    <xf numFmtId="0" fontId="75" fillId="10" borderId="0" xfId="0" applyFont="1" applyFill="1" applyAlignment="1">
      <alignment vertical="center"/>
    </xf>
    <xf numFmtId="0" fontId="33" fillId="0" borderId="0" xfId="0" applyFont="1" applyAlignment="1">
      <alignment vertical="center"/>
    </xf>
    <xf numFmtId="164" fontId="76" fillId="0" borderId="0" xfId="0" applyNumberFormat="1" applyFont="1" applyAlignment="1">
      <alignment vertical="center"/>
    </xf>
    <xf numFmtId="0" fontId="78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164" fontId="43" fillId="0" borderId="0" xfId="0" applyNumberFormat="1" applyFont="1" applyAlignment="1">
      <alignment vertical="center"/>
    </xf>
    <xf numFmtId="164" fontId="77" fillId="0" borderId="0" xfId="0" applyNumberFormat="1" applyFont="1" applyAlignment="1">
      <alignment vertical="center"/>
    </xf>
    <xf numFmtId="164" fontId="37" fillId="0" borderId="0" xfId="0" applyNumberFormat="1" applyFont="1" applyAlignment="1">
      <alignment vertical="center"/>
    </xf>
    <xf numFmtId="164" fontId="67" fillId="0" borderId="0" xfId="0" applyNumberFormat="1" applyFont="1" applyAlignment="1">
      <alignment vertical="center"/>
    </xf>
    <xf numFmtId="0" fontId="34" fillId="10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41" fillId="21" borderId="0" xfId="0" applyFont="1" applyFill="1" applyAlignment="1">
      <alignment vertical="center"/>
    </xf>
    <xf numFmtId="0" fontId="0" fillId="21" borderId="0" xfId="0" applyFill="1" applyAlignment="1">
      <alignment vertical="center"/>
    </xf>
    <xf numFmtId="9" fontId="7" fillId="0" borderId="0" xfId="0" applyNumberFormat="1" applyFont="1" applyAlignment="1">
      <alignment horizontal="left" vertical="center"/>
    </xf>
    <xf numFmtId="9" fontId="6" fillId="3" borderId="0" xfId="0" applyNumberFormat="1" applyFont="1" applyFill="1" applyAlignment="1">
      <alignment vertical="center"/>
    </xf>
    <xf numFmtId="0" fontId="28" fillId="5" borderId="2" xfId="0" applyFont="1" applyFill="1" applyBorder="1" applyAlignment="1">
      <alignment horizontal="center" vertical="center"/>
    </xf>
    <xf numFmtId="164" fontId="28" fillId="13" borderId="6" xfId="0" applyNumberFormat="1" applyFont="1" applyFill="1" applyBorder="1" applyAlignment="1">
      <alignment vertical="center"/>
    </xf>
    <xf numFmtId="164" fontId="28" fillId="13" borderId="0" xfId="0" applyNumberFormat="1" applyFont="1" applyFill="1" applyAlignment="1">
      <alignment vertical="center"/>
    </xf>
    <xf numFmtId="0" fontId="45" fillId="17" borderId="0" xfId="0" applyFont="1" applyFill="1" applyAlignment="1">
      <alignment vertical="center"/>
    </xf>
    <xf numFmtId="0" fontId="28" fillId="13" borderId="0" xfId="0" applyFont="1" applyFill="1" applyAlignment="1">
      <alignment vertical="center"/>
    </xf>
    <xf numFmtId="0" fontId="28" fillId="13" borderId="6" xfId="0" applyFont="1" applyFill="1" applyBorder="1" applyAlignment="1">
      <alignment horizontal="center" vertical="center"/>
    </xf>
    <xf numFmtId="164" fontId="45" fillId="13" borderId="6" xfId="0" applyNumberFormat="1" applyFont="1" applyFill="1" applyBorder="1" applyAlignment="1">
      <alignment vertical="center"/>
    </xf>
    <xf numFmtId="0" fontId="81" fillId="0" borderId="0" xfId="0" applyFont="1" applyAlignment="1">
      <alignment vertical="center"/>
    </xf>
    <xf numFmtId="0" fontId="80" fillId="0" borderId="0" xfId="0" applyFont="1" applyAlignment="1">
      <alignment vertical="center"/>
    </xf>
    <xf numFmtId="164" fontId="82" fillId="0" borderId="0" xfId="0" applyNumberFormat="1" applyFont="1" applyAlignment="1">
      <alignment vertical="center"/>
    </xf>
    <xf numFmtId="164" fontId="81" fillId="0" borderId="0" xfId="0" applyNumberFormat="1" applyFont="1" applyAlignment="1">
      <alignment vertical="center"/>
    </xf>
    <xf numFmtId="0" fontId="67" fillId="0" borderId="0" xfId="0" applyFont="1" applyAlignment="1">
      <alignment vertical="center"/>
    </xf>
    <xf numFmtId="0" fontId="83" fillId="0" borderId="0" xfId="0" applyFont="1" applyAlignment="1">
      <alignment vertical="center"/>
    </xf>
    <xf numFmtId="164" fontId="43" fillId="13" borderId="1" xfId="1" applyNumberFormat="1" applyFont="1" applyFill="1" applyBorder="1" applyAlignment="1">
      <alignment horizontal="center" vertical="center"/>
    </xf>
    <xf numFmtId="0" fontId="86" fillId="10" borderId="0" xfId="0" applyFont="1" applyFill="1" applyAlignment="1">
      <alignment vertical="center"/>
    </xf>
    <xf numFmtId="0" fontId="87" fillId="13" borderId="0" xfId="0" applyFont="1" applyFill="1" applyAlignment="1">
      <alignment vertical="center"/>
    </xf>
    <xf numFmtId="0" fontId="91" fillId="13" borderId="0" xfId="0" applyFont="1" applyFill="1" applyAlignment="1">
      <alignment vertical="center"/>
    </xf>
    <xf numFmtId="170" fontId="88" fillId="13" borderId="0" xfId="0" applyNumberFormat="1" applyFont="1" applyFill="1" applyAlignment="1">
      <alignment vertical="center"/>
    </xf>
    <xf numFmtId="170" fontId="89" fillId="13" borderId="0" xfId="0" applyNumberFormat="1" applyFont="1" applyFill="1" applyAlignment="1">
      <alignment vertical="center"/>
    </xf>
    <xf numFmtId="170" fontId="90" fillId="13" borderId="0" xfId="0" applyNumberFormat="1" applyFont="1" applyFill="1" applyAlignment="1">
      <alignment vertical="center"/>
    </xf>
    <xf numFmtId="0" fontId="92" fillId="0" borderId="0" xfId="0" applyFont="1"/>
    <xf numFmtId="43" fontId="3" fillId="0" borderId="1" xfId="1" applyFont="1" applyBorder="1" applyAlignment="1">
      <alignment vertical="center"/>
    </xf>
    <xf numFmtId="0" fontId="0" fillId="0" borderId="8" xfId="0" applyBorder="1" applyAlignment="1">
      <alignment horizontal="left"/>
    </xf>
    <xf numFmtId="0" fontId="92" fillId="0" borderId="8" xfId="0" applyFont="1" applyBorder="1" applyAlignment="1">
      <alignment horizontal="left"/>
    </xf>
    <xf numFmtId="164" fontId="3" fillId="0" borderId="8" xfId="0" applyNumberFormat="1" applyFont="1" applyBorder="1" applyAlignment="1">
      <alignment horizontal="left" vertical="center"/>
    </xf>
    <xf numFmtId="164" fontId="11" fillId="0" borderId="8" xfId="0" applyNumberFormat="1" applyFont="1" applyBorder="1" applyAlignment="1">
      <alignment horizontal="left" vertical="center"/>
    </xf>
    <xf numFmtId="0" fontId="92" fillId="0" borderId="8" xfId="0" applyFont="1" applyBorder="1" applyAlignment="1">
      <alignment horizontal="right"/>
    </xf>
    <xf numFmtId="0" fontId="49" fillId="13" borderId="0" xfId="0" applyFont="1" applyFill="1" applyAlignment="1">
      <alignment vertical="center"/>
    </xf>
    <xf numFmtId="0" fontId="51" fillId="13" borderId="0" xfId="0" applyFont="1" applyFill="1" applyAlignment="1">
      <alignment vertical="center"/>
    </xf>
    <xf numFmtId="166" fontId="3" fillId="13" borderId="0" xfId="0" applyNumberFormat="1" applyFont="1" applyFill="1" applyAlignment="1">
      <alignment vertical="center"/>
    </xf>
  </cellXfs>
  <cellStyles count="8">
    <cellStyle name="Calc 1" xfId="3" xr:uid="{0BAEF18F-0547-4DA7-96C2-540715A61784}"/>
    <cellStyle name="Comma" xfId="1" builtinId="3"/>
    <cellStyle name="Input - Manual" xfId="6" xr:uid="{F2AD9359-2E06-4AEA-A90E-4B5FABCBD845}"/>
    <cellStyle name="Inputs_Dropdown" xfId="7" xr:uid="{75D9D70C-ED0A-46A6-A020-93A88DBF73FB}"/>
    <cellStyle name="Normal" xfId="0" builtinId="0"/>
    <cellStyle name="Normal 2" xfId="4" xr:uid="{0746CF16-C531-4E29-BDF3-32DB3833BA24}"/>
    <cellStyle name="Normal 5" xfId="5" xr:uid="{B888B527-5B29-424D-A7E0-C3E7EB656419}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pmgindia365-my.sharepoint.com/aaa%20Office%20Documents/Projects/Delta%20Feasibility%20Study/Works/Financial%20Analysis/Delta%20Internal%20Financial%20Model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SFA\0%20SFA%20Clients\8%20-%20DIH\1%20Real%20Estate%20&amp;%20Hospitality\1%20Maad\Maad%20April%202026\MAAD%20Financial%20Model_Feasibility%20-%20Scenario%207.0.xlsx" TargetMode="External"/><Relationship Id="rId1" Type="http://schemas.openxmlformats.org/officeDocument/2006/relationships/externalLinkPath" Target="MAAD%20Financial%20Model_Feasibility%20-%20Scenario%207.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pmgindia365-my.sharepoint.com/Users/zelghosh/Desktop/Projects/Najran%20Final%20business%20Plan%20Ziad/Copy%20of%20Copy%20of%20Copy%20of%20Najran_Hotel_v1%2039%20-%20SCTA%205%20Star%20Hotel%20-%20120%20Rooms-%2030%20rooms%20to%20Government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pmgindia365-my.sharepoint.com/Users/aparua/Documents/Work_Folder/KPMG_Assignments/Projects/Roiya/Rewaq%20Qurtubah%20Hotel%20Project%20(Rental%20Scenario)v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Development Brief"/>
      <sheetName val="Details"/>
      <sheetName val="ProgramPlan"/>
      <sheetName val="Land Lease Cost"/>
      <sheetName val="Summary"/>
      <sheetName val="ConsoCF-ProjLevel"/>
      <sheetName val="ConsoCF-LandDebt"/>
      <sheetName val="ConsoCF-Group"/>
      <sheetName val="Sensitivity"/>
      <sheetName val="Check"/>
      <sheetName val="Output 1"/>
      <sheetName val="Output 2"/>
      <sheetName val="Graph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S-Curv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tle"/>
      <sheetName val="Model_Map"/>
      <sheetName val="User Guide"/>
      <sheetName val="TOC"/>
      <sheetName val="Input&gt;"/>
      <sheetName val="SNB Repayment_V8_NEW"/>
      <sheetName val="General Input"/>
      <sheetName val="Headings"/>
      <sheetName val="Global"/>
      <sheetName val="Business Inputs"/>
      <sheetName val="Output&gt;"/>
      <sheetName val="Phase 1_Projected Revenues"/>
      <sheetName val="Consol_Financial Statements"/>
      <sheetName val="Analysis"/>
      <sheetName val="_TM_Dashboard"/>
      <sheetName val="Returns"/>
      <sheetName val="EB Analysis"/>
      <sheetName val="Dashboard"/>
      <sheetName val="Graph data"/>
      <sheetName val="Calculation&gt;"/>
      <sheetName val="Calc_Retail &amp; Resi."/>
      <sheetName val="Debt_Phasing"/>
      <sheetName val="Financing"/>
      <sheetName val="Calc_Hosp,Office &amp; Civ"/>
      <sheetName val="Calc_Other Assets"/>
      <sheetName val="Capex&amp;WC"/>
      <sheetName val="Calc_L&amp;E, Misc &amp; Common"/>
    </sheetNames>
    <sheetDataSet>
      <sheetData sheetId="0"/>
      <sheetData sheetId="1"/>
      <sheetData sheetId="2"/>
      <sheetData sheetId="3">
        <row r="8">
          <cell r="F8" t="str">
            <v>J4</v>
          </cell>
        </row>
        <row r="12">
          <cell r="E12">
            <v>0</v>
          </cell>
        </row>
      </sheetData>
      <sheetData sheetId="4"/>
      <sheetData sheetId="5"/>
      <sheetData sheetId="6">
        <row r="6">
          <cell r="R6">
            <v>46022</v>
          </cell>
        </row>
        <row r="17">
          <cell r="J17">
            <v>48</v>
          </cell>
        </row>
      </sheetData>
      <sheetData sheetId="7">
        <row r="513">
          <cell r="G513" t="str">
            <v>Yes</v>
          </cell>
        </row>
        <row r="514">
          <cell r="G514" t="str">
            <v>No</v>
          </cell>
        </row>
        <row r="517">
          <cell r="G517" t="str">
            <v>Annuity</v>
          </cell>
        </row>
        <row r="518">
          <cell r="G518" t="str">
            <v>Manual</v>
          </cell>
        </row>
        <row r="519">
          <cell r="G519" t="str">
            <v>Linear</v>
          </cell>
        </row>
        <row r="522">
          <cell r="G522" t="str">
            <v>Mid Year</v>
          </cell>
        </row>
        <row r="523">
          <cell r="G523" t="str">
            <v>Year End</v>
          </cell>
        </row>
        <row r="526">
          <cell r="G526" t="str">
            <v>Calculated</v>
          </cell>
        </row>
        <row r="527">
          <cell r="G527" t="str">
            <v>Input</v>
          </cell>
        </row>
        <row r="530">
          <cell r="G530" t="str">
            <v>Land Area</v>
          </cell>
          <cell r="I530" t="str">
            <v>Percentage</v>
          </cell>
        </row>
        <row r="531">
          <cell r="G531" t="str">
            <v>Build Up Area</v>
          </cell>
          <cell r="I531" t="str">
            <v>Area values</v>
          </cell>
        </row>
        <row r="534">
          <cell r="G534" t="str">
            <v>Floor Area Ratio</v>
          </cell>
        </row>
        <row r="535">
          <cell r="G535" t="str">
            <v>Number of Floors</v>
          </cell>
        </row>
        <row r="542">
          <cell r="G542" t="str">
            <v>Parking lot</v>
          </cell>
        </row>
        <row r="543">
          <cell r="G543" t="str">
            <v>Number of floor</v>
          </cell>
        </row>
        <row r="552">
          <cell r="G552" t="str">
            <v>Equity</v>
          </cell>
        </row>
        <row r="553">
          <cell r="G553" t="str">
            <v>Debt</v>
          </cell>
        </row>
        <row r="556">
          <cell r="G556" t="str">
            <v>Capitalised</v>
          </cell>
        </row>
        <row r="557">
          <cell r="G557" t="str">
            <v>Expensed</v>
          </cell>
        </row>
        <row r="560">
          <cell r="G560">
            <v>-1</v>
          </cell>
          <cell r="H560">
            <v>-0.99</v>
          </cell>
          <cell r="I560">
            <v>-0.98</v>
          </cell>
          <cell r="J560">
            <v>-0.97</v>
          </cell>
          <cell r="K560">
            <v>-0.96</v>
          </cell>
          <cell r="L560">
            <v>-0.95</v>
          </cell>
          <cell r="M560">
            <v>-0.94</v>
          </cell>
          <cell r="N560">
            <v>-0.92999999999999994</v>
          </cell>
          <cell r="O560">
            <v>-0.91999999999999993</v>
          </cell>
          <cell r="P560">
            <v>-0.90999999999999992</v>
          </cell>
          <cell r="Q560">
            <v>-0.89999999999999991</v>
          </cell>
          <cell r="R560">
            <v>-0.8899999999999999</v>
          </cell>
          <cell r="S560">
            <v>-0.87999999999999989</v>
          </cell>
          <cell r="T560">
            <v>-0.86999999999999988</v>
          </cell>
          <cell r="U560">
            <v>-0.85999999999999988</v>
          </cell>
          <cell r="V560">
            <v>-0.84999999999999987</v>
          </cell>
          <cell r="W560">
            <v>-0.83999999999999986</v>
          </cell>
          <cell r="X560">
            <v>-0.82999999999999985</v>
          </cell>
          <cell r="Y560">
            <v>-0.81999999999999984</v>
          </cell>
          <cell r="Z560">
            <v>-0.80999999999999983</v>
          </cell>
          <cell r="AA560">
            <v>-0.79999999999999982</v>
          </cell>
          <cell r="AB560">
            <v>-0.78999999999999981</v>
          </cell>
          <cell r="AC560">
            <v>-0.7799999999999998</v>
          </cell>
          <cell r="AD560">
            <v>-0.7699999999999998</v>
          </cell>
          <cell r="AE560">
            <v>-0.75999999999999979</v>
          </cell>
          <cell r="AF560">
            <v>-0.74999999999999978</v>
          </cell>
          <cell r="AG560">
            <v>-0.73999999999999977</v>
          </cell>
          <cell r="AH560">
            <v>-0.72999999999999976</v>
          </cell>
          <cell r="AI560">
            <v>-0.71999999999999975</v>
          </cell>
          <cell r="AJ560">
            <v>-0.70999999999999974</v>
          </cell>
          <cell r="AK560">
            <v>-0.69999999999999973</v>
          </cell>
          <cell r="AL560">
            <v>-0.68999999999999972</v>
          </cell>
          <cell r="AM560">
            <v>-0.67999999999999972</v>
          </cell>
          <cell r="AN560">
            <v>-0.66999999999999971</v>
          </cell>
          <cell r="AO560">
            <v>-0.6599999999999997</v>
          </cell>
          <cell r="AP560">
            <v>-0.64999999999999969</v>
          </cell>
          <cell r="AQ560">
            <v>-0.63999999999999968</v>
          </cell>
          <cell r="AR560">
            <v>-0.62999999999999967</v>
          </cell>
          <cell r="AS560">
            <v>-0.61999999999999966</v>
          </cell>
          <cell r="AT560">
            <v>-0.60999999999999965</v>
          </cell>
          <cell r="AU560">
            <v>-0.59999999999999964</v>
          </cell>
          <cell r="AV560">
            <v>-0.58999999999999964</v>
          </cell>
          <cell r="AW560">
            <v>-0.57999999999999963</v>
          </cell>
          <cell r="AX560">
            <v>-0.56999999999999962</v>
          </cell>
          <cell r="AY560">
            <v>-0.55999999999999961</v>
          </cell>
          <cell r="AZ560">
            <v>-0.5499999999999996</v>
          </cell>
          <cell r="BA560">
            <v>-0.53999999999999959</v>
          </cell>
          <cell r="BB560">
            <v>-0.52999999999999958</v>
          </cell>
          <cell r="BC560">
            <v>-0.51999999999999957</v>
          </cell>
          <cell r="BD560">
            <v>-0.50999999999999956</v>
          </cell>
          <cell r="BE560">
            <v>-0.49999999999999956</v>
          </cell>
          <cell r="BF560">
            <v>-0.48999999999999955</v>
          </cell>
          <cell r="BG560">
            <v>-0.47999999999999954</v>
          </cell>
          <cell r="BH560">
            <v>-0.46999999999999953</v>
          </cell>
          <cell r="BI560">
            <v>-0.45999999999999952</v>
          </cell>
          <cell r="BJ560">
            <v>-0.44999999999999951</v>
          </cell>
          <cell r="BK560">
            <v>-0.4399999999999995</v>
          </cell>
          <cell r="BL560">
            <v>-0.43</v>
          </cell>
          <cell r="BM560">
            <v>-0.42</v>
          </cell>
          <cell r="BN560">
            <v>-0.41</v>
          </cell>
          <cell r="BO560">
            <v>-0.39999999999999997</v>
          </cell>
          <cell r="BP560">
            <v>-0.38999999999999996</v>
          </cell>
          <cell r="BQ560">
            <v>-0.37999999999999995</v>
          </cell>
          <cell r="BR560">
            <v>-0.36999999999999994</v>
          </cell>
          <cell r="BS560">
            <v>-0.35999999999999993</v>
          </cell>
          <cell r="BT560">
            <v>-0.34999999999999992</v>
          </cell>
          <cell r="BU560">
            <v>-0.33999999999999991</v>
          </cell>
          <cell r="BV560">
            <v>-0.3299999999999999</v>
          </cell>
          <cell r="BW560">
            <v>-0.3199999999999999</v>
          </cell>
          <cell r="BX560">
            <v>-0.30999999999999989</v>
          </cell>
          <cell r="BY560">
            <v>-0.29999999999999988</v>
          </cell>
          <cell r="BZ560">
            <v>-0.28999999999999987</v>
          </cell>
          <cell r="CA560">
            <v>-0.27999999999999986</v>
          </cell>
          <cell r="CB560">
            <v>-0.26999999999999985</v>
          </cell>
          <cell r="CC560">
            <v>-0.25999999999999984</v>
          </cell>
          <cell r="CD560">
            <v>-0.24999999999999983</v>
          </cell>
          <cell r="CE560">
            <v>-0.23999999999999982</v>
          </cell>
          <cell r="CF560">
            <v>-0.22999999999999982</v>
          </cell>
          <cell r="CG560">
            <v>-0.21999999999999981</v>
          </cell>
          <cell r="CH560">
            <v>-0.2099999999999998</v>
          </cell>
          <cell r="CI560">
            <v>-0.19999999999999979</v>
          </cell>
          <cell r="CJ560">
            <v>-0.18999999999999978</v>
          </cell>
          <cell r="CK560">
            <v>-0.17999999999999977</v>
          </cell>
          <cell r="CL560">
            <v>-0.16999999999999976</v>
          </cell>
          <cell r="CM560">
            <v>-0.15999999999999975</v>
          </cell>
          <cell r="CN560">
            <v>-0.14999999999999974</v>
          </cell>
          <cell r="CO560">
            <v>-0.13999999999999974</v>
          </cell>
          <cell r="CP560">
            <v>-0.12999999999999973</v>
          </cell>
          <cell r="CQ560">
            <v>-0.11999999999999973</v>
          </cell>
          <cell r="CR560">
            <v>-0.10999999999999974</v>
          </cell>
          <cell r="CS560">
            <v>-0.1</v>
          </cell>
          <cell r="CT560">
            <v>-9.0000000000000011E-2</v>
          </cell>
          <cell r="CU560">
            <v>-8.0000000000000016E-2</v>
          </cell>
          <cell r="CV560">
            <v>-7.0000000000000021E-2</v>
          </cell>
          <cell r="CW560">
            <v>-6.0000000000000019E-2</v>
          </cell>
          <cell r="CX560">
            <v>-5.0000000000000017E-2</v>
          </cell>
          <cell r="CY560">
            <v>-4.0000000000000015E-2</v>
          </cell>
          <cell r="CZ560">
            <v>-3.0000000000000013E-2</v>
          </cell>
          <cell r="DA560">
            <v>-2.0000000000000011E-2</v>
          </cell>
          <cell r="DB560">
            <v>-1.0000000000000011E-2</v>
          </cell>
          <cell r="DC560">
            <v>0</v>
          </cell>
          <cell r="DD560">
            <v>0.01</v>
          </cell>
          <cell r="DE560">
            <v>0.02</v>
          </cell>
          <cell r="DF560">
            <v>0.03</v>
          </cell>
          <cell r="DG560">
            <v>0.04</v>
          </cell>
          <cell r="DH560">
            <v>0.05</v>
          </cell>
          <cell r="DI560">
            <v>6.0000000000000005E-2</v>
          </cell>
          <cell r="DJ560">
            <v>7.0000000000000007E-2</v>
          </cell>
          <cell r="DK560">
            <v>0.08</v>
          </cell>
          <cell r="DL560">
            <v>0.09</v>
          </cell>
          <cell r="DM560">
            <v>9.9999999999999992E-2</v>
          </cell>
          <cell r="DN560">
            <v>0.10999999999999999</v>
          </cell>
          <cell r="DO560">
            <v>0.11999999999999998</v>
          </cell>
          <cell r="DP560">
            <v>0.12999999999999998</v>
          </cell>
          <cell r="DQ560">
            <v>0.13999999999999999</v>
          </cell>
          <cell r="DR560">
            <v>0.15</v>
          </cell>
          <cell r="DS560">
            <v>0.16</v>
          </cell>
          <cell r="DT560">
            <v>0.17</v>
          </cell>
          <cell r="DU560">
            <v>0.18000000000000002</v>
          </cell>
          <cell r="DV560">
            <v>0.19000000000000003</v>
          </cell>
          <cell r="DW560">
            <v>0.20000000000000004</v>
          </cell>
          <cell r="DX560">
            <v>0.21000000000000005</v>
          </cell>
          <cell r="DY560">
            <v>0.22000000000000006</v>
          </cell>
          <cell r="DZ560">
            <v>0.23000000000000007</v>
          </cell>
          <cell r="EA560">
            <v>0.24000000000000007</v>
          </cell>
          <cell r="EB560">
            <v>0.25000000000000006</v>
          </cell>
          <cell r="EC560">
            <v>0.26000000000000006</v>
          </cell>
          <cell r="ED560">
            <v>0.27000000000000007</v>
          </cell>
          <cell r="EE560">
            <v>0.28000000000000008</v>
          </cell>
          <cell r="EF560">
            <v>0.29000000000000009</v>
          </cell>
          <cell r="EG560">
            <v>0.3000000000000001</v>
          </cell>
          <cell r="EH560">
            <v>0.31000000000000011</v>
          </cell>
          <cell r="EI560">
            <v>0.32000000000000012</v>
          </cell>
          <cell r="EJ560">
            <v>0.33000000000000013</v>
          </cell>
          <cell r="EK560">
            <v>0.34000000000000014</v>
          </cell>
          <cell r="EL560">
            <v>0.35000000000000014</v>
          </cell>
          <cell r="EM560">
            <v>0.36000000000000015</v>
          </cell>
          <cell r="EN560">
            <v>0.37000000000000016</v>
          </cell>
          <cell r="EO560">
            <v>0.38000000000000017</v>
          </cell>
          <cell r="EP560">
            <v>0.39000000000000018</v>
          </cell>
          <cell r="EQ560">
            <v>0.40000000000000019</v>
          </cell>
          <cell r="ER560">
            <v>0.4100000000000002</v>
          </cell>
          <cell r="ES560">
            <v>0.42000000000000021</v>
          </cell>
          <cell r="ET560">
            <v>0.43000000000000022</v>
          </cell>
          <cell r="EU560">
            <v>0.44000000000000022</v>
          </cell>
          <cell r="EV560">
            <v>0.45000000000000023</v>
          </cell>
          <cell r="EW560">
            <v>0.46000000000000024</v>
          </cell>
          <cell r="EX560">
            <v>0.47000000000000025</v>
          </cell>
          <cell r="EY560">
            <v>0.48000000000000026</v>
          </cell>
          <cell r="EZ560">
            <v>0.49000000000000027</v>
          </cell>
          <cell r="FA560">
            <v>0.50000000000000022</v>
          </cell>
          <cell r="FB560">
            <v>0.51000000000000023</v>
          </cell>
          <cell r="FC560">
            <v>0.52000000000000024</v>
          </cell>
          <cell r="FD560">
            <v>0.53000000000000025</v>
          </cell>
          <cell r="FE560">
            <v>0.54000000000000026</v>
          </cell>
          <cell r="FF560">
            <v>0.55000000000000027</v>
          </cell>
          <cell r="FG560">
            <v>0.56000000000000028</v>
          </cell>
          <cell r="FH560">
            <v>0.57000000000000028</v>
          </cell>
          <cell r="FI560">
            <v>0.58000000000000029</v>
          </cell>
          <cell r="FJ560">
            <v>0.5900000000000003</v>
          </cell>
          <cell r="FK560">
            <v>0.60000000000000031</v>
          </cell>
          <cell r="FL560">
            <v>0.61000000000000032</v>
          </cell>
          <cell r="FM560">
            <v>0.62000000000000033</v>
          </cell>
          <cell r="FN560">
            <v>0.63000000000000034</v>
          </cell>
          <cell r="FO560">
            <v>0.64000000000000035</v>
          </cell>
          <cell r="FP560">
            <v>0.65000000000000036</v>
          </cell>
          <cell r="FQ560">
            <v>0.66000000000000036</v>
          </cell>
          <cell r="FR560">
            <v>0.67000000000000037</v>
          </cell>
          <cell r="FS560">
            <v>0.68000000000000038</v>
          </cell>
          <cell r="FT560">
            <v>0.69000000000000039</v>
          </cell>
          <cell r="FU560">
            <v>0.7000000000000004</v>
          </cell>
          <cell r="FV560">
            <v>0.71000000000000041</v>
          </cell>
          <cell r="FW560">
            <v>0.72000000000000042</v>
          </cell>
          <cell r="FX560">
            <v>0.73000000000000043</v>
          </cell>
          <cell r="FY560">
            <v>0.74000000000000044</v>
          </cell>
          <cell r="FZ560">
            <v>0.75000000000000044</v>
          </cell>
          <cell r="GA560">
            <v>0.76000000000000045</v>
          </cell>
          <cell r="GB560">
            <v>0.77000000000000046</v>
          </cell>
          <cell r="GC560">
            <v>0.78000000000000047</v>
          </cell>
          <cell r="GD560">
            <v>0.79000000000000048</v>
          </cell>
          <cell r="GE560">
            <v>0.80000000000000049</v>
          </cell>
          <cell r="GF560">
            <v>0.8100000000000005</v>
          </cell>
          <cell r="GG560">
            <v>0.82</v>
          </cell>
          <cell r="GH560">
            <v>0.83</v>
          </cell>
          <cell r="GI560">
            <v>0.84</v>
          </cell>
          <cell r="GJ560">
            <v>0.85</v>
          </cell>
          <cell r="GK560">
            <v>0.86</v>
          </cell>
          <cell r="GL560">
            <v>0.87</v>
          </cell>
          <cell r="GM560">
            <v>0.88</v>
          </cell>
          <cell r="GN560">
            <v>0.89</v>
          </cell>
          <cell r="GO560">
            <v>0.9</v>
          </cell>
          <cell r="GP560">
            <v>0.91</v>
          </cell>
          <cell r="GQ560">
            <v>0.92</v>
          </cell>
          <cell r="GR560">
            <v>0.93</v>
          </cell>
          <cell r="GS560">
            <v>0.94000000000000006</v>
          </cell>
          <cell r="GT560">
            <v>0.95000000000000007</v>
          </cell>
          <cell r="GU560">
            <v>0.96000000000000008</v>
          </cell>
          <cell r="GV560">
            <v>0.97000000000000008</v>
          </cell>
          <cell r="GW560">
            <v>0.98000000000000009</v>
          </cell>
          <cell r="GX560">
            <v>0.9900000000000001</v>
          </cell>
          <cell r="GY560">
            <v>1</v>
          </cell>
        </row>
        <row r="563">
          <cell r="G563" t="str">
            <v>Overall level</v>
          </cell>
        </row>
        <row r="564">
          <cell r="G564" t="str">
            <v>Sub-component</v>
          </cell>
        </row>
        <row r="574">
          <cell r="G574" t="str">
            <v>Sale</v>
          </cell>
          <cell r="H574" t="str">
            <v>Develop</v>
          </cell>
          <cell r="I574" t="str">
            <v>Sale</v>
          </cell>
        </row>
        <row r="575">
          <cell r="G575" t="str">
            <v>Lease</v>
          </cell>
          <cell r="H575" t="str">
            <v>Land</v>
          </cell>
          <cell r="I575" t="str">
            <v>Lease</v>
          </cell>
        </row>
        <row r="576">
          <cell r="I576" t="str">
            <v>Operate</v>
          </cell>
        </row>
      </sheetData>
      <sheetData sheetId="8">
        <row r="12">
          <cell r="F12" t="str">
            <v>Maad Project (Phase 2&amp;3)</v>
          </cell>
        </row>
        <row r="13">
          <cell r="F13" t="str">
            <v>Maad International Limited</v>
          </cell>
        </row>
        <row r="14">
          <cell r="F14"/>
        </row>
        <row r="15">
          <cell r="F15" t="str">
            <v>Real Estate Project</v>
          </cell>
        </row>
        <row r="20">
          <cell r="F20">
            <v>46140</v>
          </cell>
        </row>
        <row r="21">
          <cell r="F21" t="str">
            <v>Draft : Real Estate</v>
          </cell>
        </row>
        <row r="28">
          <cell r="A28"/>
          <cell r="B28"/>
          <cell r="C28"/>
          <cell r="D28"/>
          <cell r="E28"/>
          <cell r="F28" t="str">
            <v>Type</v>
          </cell>
          <cell r="G28" t="str">
            <v>zPerType</v>
          </cell>
          <cell r="I28"/>
          <cell r="J28"/>
          <cell r="K28"/>
          <cell r="L28"/>
          <cell r="M28"/>
          <cell r="N28"/>
          <cell r="O28"/>
          <cell r="P28"/>
          <cell r="Q28"/>
          <cell r="R28" t="str">
            <v>Forecast</v>
          </cell>
          <cell r="S28" t="str">
            <v>Forecast</v>
          </cell>
          <cell r="T28" t="str">
            <v>Forecast</v>
          </cell>
          <cell r="U28" t="str">
            <v>Forecast</v>
          </cell>
          <cell r="V28" t="str">
            <v>Forecast</v>
          </cell>
          <cell r="W28" t="str">
            <v>Forecast</v>
          </cell>
          <cell r="X28" t="str">
            <v>Forecast</v>
          </cell>
          <cell r="Y28" t="str">
            <v>Forecast</v>
          </cell>
          <cell r="Z28" t="str">
            <v>Forecast</v>
          </cell>
          <cell r="AA28" t="str">
            <v>Forecast</v>
          </cell>
          <cell r="AB28" t="str">
            <v>Forecast</v>
          </cell>
          <cell r="AC28" t="str">
            <v>Forecast</v>
          </cell>
          <cell r="AD28" t="str">
            <v>Forecast</v>
          </cell>
          <cell r="AE28" t="str">
            <v>Forecast</v>
          </cell>
          <cell r="AF28" t="str">
            <v>Forecast</v>
          </cell>
          <cell r="AG28" t="str">
            <v>Forecast</v>
          </cell>
          <cell r="AH28" t="str">
            <v>Forecast</v>
          </cell>
          <cell r="AI28" t="str">
            <v>Forecast</v>
          </cell>
          <cell r="AJ28" t="str">
            <v>Forecast</v>
          </cell>
          <cell r="AK28" t="str">
            <v>Forecast</v>
          </cell>
          <cell r="AL28" t="str">
            <v>Forecast</v>
          </cell>
          <cell r="AM28" t="str">
            <v>Forecast</v>
          </cell>
          <cell r="AN28" t="str">
            <v>Forecast</v>
          </cell>
          <cell r="AO28" t="str">
            <v>Forecast</v>
          </cell>
          <cell r="AP28" t="str">
            <v>Forecast</v>
          </cell>
          <cell r="AQ28" t="str">
            <v>Forecast</v>
          </cell>
          <cell r="AR28" t="str">
            <v>Forecast</v>
          </cell>
          <cell r="AS28" t="str">
            <v>Forecast</v>
          </cell>
          <cell r="AT28" t="str">
            <v>Forecast</v>
          </cell>
          <cell r="AU28" t="str">
            <v>Forecast</v>
          </cell>
          <cell r="AV28" t="str">
            <v>Forecast</v>
          </cell>
        </row>
        <row r="29">
          <cell r="A29"/>
          <cell r="B29"/>
          <cell r="C29"/>
          <cell r="D29"/>
          <cell r="E29"/>
          <cell r="F29" t="str">
            <v>Start Date</v>
          </cell>
          <cell r="G29" t="str">
            <v>zStartDates</v>
          </cell>
          <cell r="I29"/>
          <cell r="J29"/>
          <cell r="K29"/>
          <cell r="L29"/>
          <cell r="M29"/>
          <cell r="N29"/>
          <cell r="O29"/>
          <cell r="P29"/>
          <cell r="Q29"/>
          <cell r="R29">
            <v>45658</v>
          </cell>
          <cell r="S29">
            <v>46023</v>
          </cell>
          <cell r="T29">
            <v>46388</v>
          </cell>
          <cell r="U29">
            <v>46753</v>
          </cell>
          <cell r="V29">
            <v>47119</v>
          </cell>
          <cell r="W29">
            <v>47484</v>
          </cell>
          <cell r="X29">
            <v>47849</v>
          </cell>
          <cell r="Y29">
            <v>48214</v>
          </cell>
          <cell r="Z29">
            <v>48580</v>
          </cell>
          <cell r="AA29">
            <v>48945</v>
          </cell>
          <cell r="AB29">
            <v>49310</v>
          </cell>
          <cell r="AC29">
            <v>49675</v>
          </cell>
          <cell r="AD29">
            <v>50041</v>
          </cell>
          <cell r="AE29">
            <v>50406</v>
          </cell>
          <cell r="AF29">
            <v>50771</v>
          </cell>
          <cell r="AG29">
            <v>51136</v>
          </cell>
          <cell r="AH29">
            <v>51502</v>
          </cell>
          <cell r="AI29">
            <v>51867</v>
          </cell>
          <cell r="AJ29">
            <v>52232</v>
          </cell>
          <cell r="AK29">
            <v>52597</v>
          </cell>
          <cell r="AL29">
            <v>52963</v>
          </cell>
          <cell r="AM29">
            <v>53328</v>
          </cell>
          <cell r="AN29">
            <v>53693</v>
          </cell>
          <cell r="AO29">
            <v>54058</v>
          </cell>
          <cell r="AP29">
            <v>54424</v>
          </cell>
          <cell r="AQ29">
            <v>54789</v>
          </cell>
          <cell r="AR29">
            <v>55154</v>
          </cell>
          <cell r="AS29">
            <v>55519</v>
          </cell>
          <cell r="AT29">
            <v>55885</v>
          </cell>
          <cell r="AU29">
            <v>56250</v>
          </cell>
          <cell r="AV29">
            <v>56615</v>
          </cell>
        </row>
        <row r="30">
          <cell r="A30"/>
          <cell r="B30"/>
          <cell r="C30"/>
          <cell r="D30"/>
          <cell r="E30"/>
          <cell r="F30" t="str">
            <v>End Date</v>
          </cell>
          <cell r="G30" t="str">
            <v>zEndDates</v>
          </cell>
          <cell r="I30"/>
          <cell r="J30"/>
          <cell r="K30"/>
          <cell r="L30"/>
          <cell r="M30"/>
          <cell r="N30"/>
          <cell r="O30"/>
          <cell r="P30"/>
          <cell r="Q30"/>
          <cell r="R30">
            <v>46022</v>
          </cell>
          <cell r="S30">
            <v>46387</v>
          </cell>
          <cell r="T30">
            <v>46752</v>
          </cell>
          <cell r="U30">
            <v>47118</v>
          </cell>
          <cell r="V30">
            <v>47483</v>
          </cell>
          <cell r="W30">
            <v>47848</v>
          </cell>
          <cell r="X30">
            <v>48213</v>
          </cell>
          <cell r="Y30">
            <v>48579</v>
          </cell>
          <cell r="Z30">
            <v>48944</v>
          </cell>
          <cell r="AA30">
            <v>49309</v>
          </cell>
          <cell r="AB30">
            <v>49674</v>
          </cell>
          <cell r="AC30">
            <v>50040</v>
          </cell>
          <cell r="AD30">
            <v>50405</v>
          </cell>
          <cell r="AE30">
            <v>50770</v>
          </cell>
          <cell r="AF30">
            <v>51135</v>
          </cell>
          <cell r="AG30">
            <v>51501</v>
          </cell>
          <cell r="AH30">
            <v>51866</v>
          </cell>
          <cell r="AI30">
            <v>52231</v>
          </cell>
          <cell r="AJ30">
            <v>52596</v>
          </cell>
          <cell r="AK30">
            <v>52962</v>
          </cell>
          <cell r="AL30">
            <v>53327</v>
          </cell>
          <cell r="AM30">
            <v>53692</v>
          </cell>
          <cell r="AN30">
            <v>54057</v>
          </cell>
          <cell r="AO30">
            <v>54423</v>
          </cell>
          <cell r="AP30">
            <v>54788</v>
          </cell>
          <cell r="AQ30">
            <v>55153</v>
          </cell>
          <cell r="AR30">
            <v>55518</v>
          </cell>
          <cell r="AS30">
            <v>55884</v>
          </cell>
          <cell r="AT30">
            <v>56249</v>
          </cell>
          <cell r="AU30">
            <v>56614</v>
          </cell>
          <cell r="AV30">
            <v>56979</v>
          </cell>
        </row>
        <row r="31">
          <cell r="A31"/>
          <cell r="B31"/>
          <cell r="C31"/>
          <cell r="D31"/>
          <cell r="E31"/>
          <cell r="F31" t="str">
            <v>Date heading</v>
          </cell>
          <cell r="G31" t="str">
            <v>zDate_Headings</v>
          </cell>
          <cell r="I31"/>
          <cell r="J31"/>
          <cell r="K31"/>
          <cell r="L31"/>
          <cell r="M31"/>
          <cell r="N31"/>
          <cell r="O31"/>
          <cell r="P31"/>
          <cell r="Q31"/>
          <cell r="R31">
            <v>46022</v>
          </cell>
          <cell r="S31">
            <v>46387</v>
          </cell>
          <cell r="T31">
            <v>46752</v>
          </cell>
          <cell r="U31">
            <v>47118</v>
          </cell>
          <cell r="V31">
            <v>47483</v>
          </cell>
          <cell r="W31">
            <v>47848</v>
          </cell>
          <cell r="X31">
            <v>48213</v>
          </cell>
          <cell r="Y31">
            <v>48579</v>
          </cell>
          <cell r="Z31">
            <v>48944</v>
          </cell>
          <cell r="AA31">
            <v>49309</v>
          </cell>
          <cell r="AB31">
            <v>49674</v>
          </cell>
          <cell r="AC31">
            <v>50040</v>
          </cell>
          <cell r="AD31">
            <v>50405</v>
          </cell>
          <cell r="AE31">
            <v>50770</v>
          </cell>
          <cell r="AF31">
            <v>51135</v>
          </cell>
          <cell r="AG31">
            <v>51501</v>
          </cell>
          <cell r="AH31">
            <v>51866</v>
          </cell>
          <cell r="AI31">
            <v>52231</v>
          </cell>
          <cell r="AJ31">
            <v>52596</v>
          </cell>
          <cell r="AK31">
            <v>52962</v>
          </cell>
          <cell r="AL31">
            <v>53327</v>
          </cell>
          <cell r="AM31">
            <v>53692</v>
          </cell>
          <cell r="AN31">
            <v>54057</v>
          </cell>
          <cell r="AO31">
            <v>54423</v>
          </cell>
          <cell r="AP31">
            <v>54788</v>
          </cell>
          <cell r="AQ31">
            <v>55153</v>
          </cell>
          <cell r="AR31">
            <v>55518</v>
          </cell>
          <cell r="AS31">
            <v>55884</v>
          </cell>
          <cell r="AT31">
            <v>56249</v>
          </cell>
          <cell r="AU31">
            <v>56614</v>
          </cell>
          <cell r="AV31">
            <v>56979</v>
          </cell>
        </row>
        <row r="33">
          <cell r="J33">
            <v>1</v>
          </cell>
        </row>
        <row r="34">
          <cell r="J34">
            <v>365</v>
          </cell>
        </row>
        <row r="36">
          <cell r="J36">
            <v>51135</v>
          </cell>
        </row>
        <row r="37">
          <cell r="J37">
            <v>47118</v>
          </cell>
        </row>
        <row r="38">
          <cell r="J38">
            <v>7</v>
          </cell>
        </row>
        <row r="40">
          <cell r="J40">
            <v>1000</v>
          </cell>
        </row>
        <row r="43">
          <cell r="J43" t="str">
            <v>Historical</v>
          </cell>
          <cell r="L43"/>
        </row>
        <row r="44">
          <cell r="L44"/>
        </row>
        <row r="45">
          <cell r="L45"/>
        </row>
        <row r="46">
          <cell r="L46">
            <v>45658</v>
          </cell>
        </row>
        <row r="63">
          <cell r="A63"/>
          <cell r="B63"/>
          <cell r="C63"/>
          <cell r="D63"/>
          <cell r="E63"/>
          <cell r="F63" t="str">
            <v>Model period</v>
          </cell>
          <cell r="G63" t="str">
            <v>zModelPerNo</v>
          </cell>
          <cell r="I63"/>
          <cell r="J63"/>
          <cell r="K63"/>
          <cell r="L63"/>
          <cell r="M63"/>
          <cell r="N63" t="str">
            <v>zFirstModelPeriod</v>
          </cell>
          <cell r="O63"/>
          <cell r="P63"/>
          <cell r="Q63"/>
          <cell r="R63">
            <v>1</v>
          </cell>
          <cell r="S63">
            <v>2</v>
          </cell>
          <cell r="T63">
            <v>3</v>
          </cell>
          <cell r="U63">
            <v>4</v>
          </cell>
          <cell r="V63">
            <v>5</v>
          </cell>
          <cell r="W63">
            <v>6</v>
          </cell>
          <cell r="X63">
            <v>7</v>
          </cell>
          <cell r="Y63">
            <v>8</v>
          </cell>
          <cell r="Z63">
            <v>9</v>
          </cell>
          <cell r="AA63">
            <v>10</v>
          </cell>
          <cell r="AB63">
            <v>11</v>
          </cell>
          <cell r="AC63">
            <v>12</v>
          </cell>
          <cell r="AD63">
            <v>13</v>
          </cell>
          <cell r="AE63">
            <v>14</v>
          </cell>
          <cell r="AF63">
            <v>15</v>
          </cell>
          <cell r="AG63">
            <v>16</v>
          </cell>
          <cell r="AH63">
            <v>17</v>
          </cell>
          <cell r="AI63">
            <v>18</v>
          </cell>
          <cell r="AJ63">
            <v>19</v>
          </cell>
          <cell r="AK63">
            <v>20</v>
          </cell>
          <cell r="AL63">
            <v>21</v>
          </cell>
          <cell r="AM63">
            <v>22</v>
          </cell>
          <cell r="AN63">
            <v>23</v>
          </cell>
          <cell r="AO63">
            <v>24</v>
          </cell>
          <cell r="AP63">
            <v>25</v>
          </cell>
          <cell r="AQ63">
            <v>26</v>
          </cell>
          <cell r="AR63">
            <v>27</v>
          </cell>
          <cell r="AS63">
            <v>28</v>
          </cell>
          <cell r="AT63">
            <v>29</v>
          </cell>
          <cell r="AU63">
            <v>30</v>
          </cell>
          <cell r="AV63">
            <v>31</v>
          </cell>
        </row>
        <row r="66">
          <cell r="J66">
            <v>1</v>
          </cell>
        </row>
        <row r="67">
          <cell r="J67">
            <v>2</v>
          </cell>
        </row>
        <row r="68">
          <cell r="J68">
            <v>4</v>
          </cell>
        </row>
        <row r="69">
          <cell r="J69">
            <v>12</v>
          </cell>
        </row>
        <row r="70">
          <cell r="J70">
            <v>52</v>
          </cell>
        </row>
        <row r="76">
          <cell r="A76"/>
          <cell r="B76"/>
          <cell r="C76"/>
          <cell r="D76"/>
          <cell r="E76"/>
          <cell r="F76" t="str">
            <v>Month (Financial year)</v>
          </cell>
          <cell r="G76" t="str">
            <v>zMnthFY</v>
          </cell>
          <cell r="I76"/>
          <cell r="J76"/>
          <cell r="K76"/>
          <cell r="L76"/>
          <cell r="M76"/>
          <cell r="N76"/>
          <cell r="O76"/>
          <cell r="P76"/>
          <cell r="Q76"/>
          <cell r="R76">
            <v>12</v>
          </cell>
          <cell r="S76">
            <v>12</v>
          </cell>
          <cell r="T76">
            <v>12</v>
          </cell>
          <cell r="U76">
            <v>12</v>
          </cell>
          <cell r="V76">
            <v>12</v>
          </cell>
          <cell r="W76">
            <v>12</v>
          </cell>
          <cell r="X76">
            <v>12</v>
          </cell>
          <cell r="Y76">
            <v>12</v>
          </cell>
          <cell r="Z76">
            <v>12</v>
          </cell>
          <cell r="AA76">
            <v>12</v>
          </cell>
          <cell r="AB76">
            <v>12</v>
          </cell>
          <cell r="AC76">
            <v>12</v>
          </cell>
          <cell r="AD76">
            <v>12</v>
          </cell>
          <cell r="AE76">
            <v>12</v>
          </cell>
          <cell r="AF76">
            <v>12</v>
          </cell>
          <cell r="AG76">
            <v>12</v>
          </cell>
          <cell r="AH76">
            <v>12</v>
          </cell>
          <cell r="AI76">
            <v>12</v>
          </cell>
          <cell r="AJ76">
            <v>12</v>
          </cell>
          <cell r="AK76">
            <v>12</v>
          </cell>
          <cell r="AL76">
            <v>12</v>
          </cell>
          <cell r="AM76">
            <v>12</v>
          </cell>
          <cell r="AN76">
            <v>12</v>
          </cell>
          <cell r="AO76">
            <v>12</v>
          </cell>
          <cell r="AP76">
            <v>12</v>
          </cell>
          <cell r="AQ76">
            <v>12</v>
          </cell>
          <cell r="AR76">
            <v>12</v>
          </cell>
          <cell r="AS76">
            <v>12</v>
          </cell>
          <cell r="AT76">
            <v>12</v>
          </cell>
          <cell r="AU76">
            <v>12</v>
          </cell>
          <cell r="AV76">
            <v>12</v>
          </cell>
        </row>
        <row r="80">
          <cell r="A80"/>
          <cell r="B80"/>
          <cell r="C80"/>
          <cell r="D80"/>
          <cell r="E80"/>
          <cell r="F80" t="str">
            <v>Financial year end - year</v>
          </cell>
          <cell r="G80" t="str">
            <v>zYrEnd</v>
          </cell>
          <cell r="I80"/>
          <cell r="J80"/>
          <cell r="K80"/>
          <cell r="L80"/>
          <cell r="M80"/>
          <cell r="N80"/>
          <cell r="O80"/>
          <cell r="P80"/>
          <cell r="Q80"/>
          <cell r="R80">
            <v>2025</v>
          </cell>
          <cell r="S80">
            <v>2026</v>
          </cell>
          <cell r="T80">
            <v>2027</v>
          </cell>
          <cell r="U80">
            <v>2028</v>
          </cell>
          <cell r="V80">
            <v>2029</v>
          </cell>
          <cell r="W80">
            <v>2030</v>
          </cell>
          <cell r="X80">
            <v>2031</v>
          </cell>
          <cell r="Y80">
            <v>2032</v>
          </cell>
          <cell r="Z80">
            <v>2033</v>
          </cell>
          <cell r="AA80">
            <v>2034</v>
          </cell>
          <cell r="AB80">
            <v>2035</v>
          </cell>
          <cell r="AC80">
            <v>2036</v>
          </cell>
          <cell r="AD80">
            <v>2037</v>
          </cell>
          <cell r="AE80">
            <v>2038</v>
          </cell>
          <cell r="AF80">
            <v>2039</v>
          </cell>
          <cell r="AG80">
            <v>2040</v>
          </cell>
          <cell r="AH80">
            <v>2041</v>
          </cell>
          <cell r="AI80">
            <v>2042</v>
          </cell>
          <cell r="AJ80">
            <v>2043</v>
          </cell>
          <cell r="AK80">
            <v>2044</v>
          </cell>
          <cell r="AL80">
            <v>2045</v>
          </cell>
          <cell r="AM80">
            <v>2046</v>
          </cell>
          <cell r="AN80">
            <v>2047</v>
          </cell>
          <cell r="AO80">
            <v>2048</v>
          </cell>
          <cell r="AP80">
            <v>2049</v>
          </cell>
          <cell r="AQ80">
            <v>2050</v>
          </cell>
          <cell r="AR80">
            <v>2051</v>
          </cell>
          <cell r="AS80">
            <v>2052</v>
          </cell>
          <cell r="AT80">
            <v>2053</v>
          </cell>
          <cell r="AU80">
            <v>2054</v>
          </cell>
          <cell r="AV80">
            <v>2055</v>
          </cell>
        </row>
        <row r="83">
          <cell r="J83">
            <v>6</v>
          </cell>
        </row>
        <row r="84">
          <cell r="J84">
            <v>3</v>
          </cell>
        </row>
      </sheetData>
      <sheetData sheetId="9">
        <row r="128">
          <cell r="J128">
            <v>7499.9999999999991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-1</v>
          </cell>
        </row>
        <row r="19">
          <cell r="N19">
            <v>0</v>
          </cell>
        </row>
        <row r="20">
          <cell r="C20">
            <v>0</v>
          </cell>
          <cell r="N20">
            <v>0</v>
          </cell>
        </row>
      </sheetData>
      <sheetData sheetId="18">
        <row r="6">
          <cell r="R6">
            <v>46022</v>
          </cell>
        </row>
        <row r="13">
          <cell r="Q13">
            <v>14</v>
          </cell>
        </row>
        <row r="16">
          <cell r="R16">
            <v>0</v>
          </cell>
        </row>
        <row r="17">
          <cell r="R17">
            <v>0</v>
          </cell>
        </row>
        <row r="18">
          <cell r="R18">
            <v>0</v>
          </cell>
        </row>
        <row r="19">
          <cell r="R19">
            <v>0</v>
          </cell>
        </row>
        <row r="20">
          <cell r="R20">
            <v>0</v>
          </cell>
        </row>
        <row r="21">
          <cell r="R21">
            <v>0</v>
          </cell>
        </row>
        <row r="22">
          <cell r="R22">
            <v>0</v>
          </cell>
        </row>
        <row r="23">
          <cell r="R23">
            <v>0</v>
          </cell>
        </row>
        <row r="24">
          <cell r="R24">
            <v>0</v>
          </cell>
        </row>
        <row r="25">
          <cell r="R25">
            <v>0</v>
          </cell>
        </row>
        <row r="29">
          <cell r="R29">
            <v>0</v>
          </cell>
        </row>
        <row r="31">
          <cell r="R31">
            <v>0</v>
          </cell>
        </row>
        <row r="32">
          <cell r="R32">
            <v>0</v>
          </cell>
        </row>
        <row r="33">
          <cell r="R33" t="str">
            <v>-</v>
          </cell>
        </row>
        <row r="34">
          <cell r="R34" t="str">
            <v>-</v>
          </cell>
        </row>
        <row r="35">
          <cell r="R35" t="str">
            <v>-</v>
          </cell>
        </row>
        <row r="36">
          <cell r="R36" t="str">
            <v>-</v>
          </cell>
        </row>
        <row r="39">
          <cell r="R39">
            <v>0</v>
          </cell>
        </row>
        <row r="40">
          <cell r="R40">
            <v>0</v>
          </cell>
        </row>
        <row r="41">
          <cell r="R41">
            <v>0</v>
          </cell>
        </row>
      </sheetData>
      <sheetData sheetId="19"/>
      <sheetData sheetId="20">
        <row r="6997">
          <cell r="L6997">
            <v>-76409.109713148879</v>
          </cell>
        </row>
      </sheetData>
      <sheetData sheetId="21"/>
      <sheetData sheetId="22">
        <row r="148">
          <cell r="L148">
            <v>112124.92709999142</v>
          </cell>
        </row>
      </sheetData>
      <sheetData sheetId="23">
        <row r="33">
          <cell r="E33" t="str">
            <v>Hospitality</v>
          </cell>
        </row>
        <row r="8915">
          <cell r="E8915" t="str">
            <v>Office</v>
          </cell>
        </row>
      </sheetData>
      <sheetData sheetId="24">
        <row r="33">
          <cell r="E33" t="str">
            <v>Leisure &amp; Recreational</v>
          </cell>
        </row>
        <row r="11257">
          <cell r="E11257" t="str">
            <v>Other Asset 7</v>
          </cell>
        </row>
      </sheetData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ntents"/>
      <sheetName val="OUTPUT &gt;&gt;&gt;"/>
      <sheetName val="Financial Statements"/>
      <sheetName val="Ratios &amp; KPI"/>
      <sheetName val="Valuation"/>
      <sheetName val="Sensitivities"/>
      <sheetName val="WORKINGS &gt;&gt;&gt;"/>
      <sheetName val="Area"/>
      <sheetName val="Revenue"/>
      <sheetName val="Costs"/>
      <sheetName val="Capex"/>
      <sheetName val="Financing"/>
      <sheetName val="INPUTS &gt;&gt;&gt;"/>
      <sheetName val="Inputs_Forecast"/>
      <sheetName val="Settings"/>
      <sheetName val="Tables for PPT"/>
      <sheetName val="Model Log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"/>
      <sheetName val="Global"/>
      <sheetName val="Inputs forecast"/>
      <sheetName val="Area &amp; Cost"/>
      <sheetName val="Operating Revenues"/>
      <sheetName val="Operating Costs"/>
      <sheetName val="CapEx"/>
      <sheetName val="Financing"/>
      <sheetName val="Zakat"/>
      <sheetName val="Income Statement"/>
      <sheetName val="Balance Sheet"/>
      <sheetName val="Cashflow Statement"/>
      <sheetName val="Analysis"/>
      <sheetName val="_TM_Tables"/>
      <sheetName val="Tables"/>
      <sheetName val="_TM_Workshop"/>
      <sheetName val="Workshop"/>
      <sheetName val="Cost Estimates from Cli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hmad Din" id="{B8E0909D-722A-41A8-B2B6-52B467ED84CA}" userId="S::Ahmad.din@pacemakersglobal.com::fe13f0c4-9187-4fdf-8508-502c964c5e3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37" dT="2026-04-29T12:15:59.12" personId="{B8E0909D-722A-41A8-B2B6-52B467ED84CA}" id="{DCF3E82E-D4DA-491B-951F-6F27159F99AF}">
    <text>Before 2030 Deducting Sold units, Adding Back in 2031 again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  <wetp:taskpane dockstate="right" visibility="0" width="438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EF368A4-E20F-425C-8E9B-F6F917707A56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db7b239b-7ea9-41da-aefd-954fc05f262a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CA2E390-11D3-4053-9CBA-307963C461C0}">
  <we:reference id="WA200010215" version="1.0.0.0" store="Omex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2C72-C896-4388-B937-07191676525A}">
  <dimension ref="B1:D55"/>
  <sheetViews>
    <sheetView showGridLines="0" tabSelected="1" topLeftCell="A4" zoomScale="80" zoomScaleNormal="80" workbookViewId="0">
      <selection activeCell="B19" sqref="B19"/>
    </sheetView>
  </sheetViews>
  <sheetFormatPr defaultRowHeight="12.6" x14ac:dyDescent="0.3"/>
  <cols>
    <col min="1" max="1" width="1.44140625" style="8" customWidth="1"/>
    <col min="2" max="2" width="44.44140625" style="8" customWidth="1"/>
    <col min="3" max="3" width="71.109375" style="8" bestFit="1" customWidth="1"/>
    <col min="4" max="4" width="18.5546875" style="8" customWidth="1"/>
    <col min="5" max="16384" width="8.88671875" style="8"/>
  </cols>
  <sheetData>
    <row r="1" spans="2:4" ht="15" customHeight="1" x14ac:dyDescent="0.3"/>
    <row r="2" spans="2:4" ht="15" customHeight="1" x14ac:dyDescent="0.3">
      <c r="B2" s="52" t="s">
        <v>332</v>
      </c>
      <c r="C2" s="13"/>
      <c r="D2" s="13"/>
    </row>
    <row r="3" spans="2:4" ht="15" customHeight="1" x14ac:dyDescent="0.3">
      <c r="B3" s="14" t="s">
        <v>333</v>
      </c>
      <c r="C3" s="13"/>
      <c r="D3" s="13"/>
    </row>
    <row r="4" spans="2:4" ht="15" customHeight="1" x14ac:dyDescent="0.3"/>
    <row r="5" spans="2:4" ht="15" customHeight="1" x14ac:dyDescent="0.3">
      <c r="B5" s="52" t="s">
        <v>334</v>
      </c>
      <c r="C5" s="52"/>
      <c r="D5" s="52"/>
    </row>
    <row r="6" spans="2:4" ht="15" customHeight="1" x14ac:dyDescent="0.3">
      <c r="B6" s="37" t="s">
        <v>335</v>
      </c>
      <c r="C6" s="37" t="s">
        <v>353</v>
      </c>
    </row>
    <row r="7" spans="2:4" ht="15" customHeight="1" x14ac:dyDescent="0.3">
      <c r="B7" s="37" t="s">
        <v>336</v>
      </c>
      <c r="C7" s="53" t="s">
        <v>354</v>
      </c>
    </row>
    <row r="8" spans="2:4" ht="15" customHeight="1" x14ac:dyDescent="0.3">
      <c r="B8" s="37" t="s">
        <v>337</v>
      </c>
      <c r="C8" s="53" t="s">
        <v>272</v>
      </c>
    </row>
    <row r="9" spans="2:4" ht="15" customHeight="1" x14ac:dyDescent="0.3">
      <c r="B9" s="37" t="s">
        <v>338</v>
      </c>
      <c r="C9" s="53" t="s">
        <v>355</v>
      </c>
    </row>
    <row r="10" spans="2:4" ht="15" customHeight="1" x14ac:dyDescent="0.3">
      <c r="B10" s="37" t="s">
        <v>339</v>
      </c>
      <c r="C10" s="53" t="s">
        <v>356</v>
      </c>
    </row>
    <row r="11" spans="2:4" ht="15" customHeight="1" x14ac:dyDescent="0.3">
      <c r="B11" s="37" t="s">
        <v>340</v>
      </c>
      <c r="C11" s="53" t="s">
        <v>357</v>
      </c>
    </row>
    <row r="12" spans="2:4" ht="15" customHeight="1" x14ac:dyDescent="0.3">
      <c r="C12" s="53"/>
    </row>
    <row r="13" spans="2:4" ht="15" customHeight="1" x14ac:dyDescent="0.3">
      <c r="B13" s="52" t="s">
        <v>341</v>
      </c>
      <c r="C13" s="191"/>
      <c r="D13" s="191"/>
    </row>
    <row r="14" spans="2:4" ht="15" customHeight="1" x14ac:dyDescent="0.3">
      <c r="B14" s="193" t="s">
        <v>342</v>
      </c>
      <c r="C14" s="194" t="s">
        <v>343</v>
      </c>
      <c r="D14" s="194"/>
    </row>
    <row r="15" spans="2:4" ht="15" customHeight="1" x14ac:dyDescent="0.3">
      <c r="B15" s="37" t="s">
        <v>344</v>
      </c>
      <c r="C15" s="53" t="s">
        <v>352</v>
      </c>
    </row>
    <row r="16" spans="2:4" ht="15" customHeight="1" x14ac:dyDescent="0.3">
      <c r="B16" s="37" t="s">
        <v>89</v>
      </c>
      <c r="C16" s="53" t="s">
        <v>572</v>
      </c>
    </row>
    <row r="17" spans="2:4" ht="15" customHeight="1" x14ac:dyDescent="0.3">
      <c r="B17" s="37" t="s">
        <v>359</v>
      </c>
      <c r="C17" s="53" t="s">
        <v>573</v>
      </c>
    </row>
    <row r="18" spans="2:4" ht="15" customHeight="1" x14ac:dyDescent="0.3">
      <c r="B18" s="37" t="s">
        <v>308</v>
      </c>
      <c r="C18" s="53" t="s">
        <v>574</v>
      </c>
    </row>
    <row r="19" spans="2:4" ht="15" customHeight="1" x14ac:dyDescent="0.3">
      <c r="B19" s="37" t="s">
        <v>309</v>
      </c>
      <c r="C19" s="53" t="s">
        <v>575</v>
      </c>
    </row>
    <row r="20" spans="2:4" ht="15" customHeight="1" x14ac:dyDescent="0.3">
      <c r="B20" s="37" t="s">
        <v>576</v>
      </c>
      <c r="C20" s="53" t="s">
        <v>577</v>
      </c>
    </row>
    <row r="21" spans="2:4" ht="15" customHeight="1" x14ac:dyDescent="0.3">
      <c r="B21" s="37" t="s">
        <v>578</v>
      </c>
      <c r="C21" s="53" t="s">
        <v>579</v>
      </c>
    </row>
    <row r="22" spans="2:4" ht="15" customHeight="1" x14ac:dyDescent="0.3">
      <c r="B22" s="37" t="s">
        <v>580</v>
      </c>
      <c r="C22" s="8" t="s">
        <v>581</v>
      </c>
    </row>
    <row r="23" spans="2:4" ht="15" customHeight="1" x14ac:dyDescent="0.3">
      <c r="B23" s="241" t="s">
        <v>707</v>
      </c>
      <c r="C23" s="55" t="s">
        <v>708</v>
      </c>
    </row>
    <row r="24" spans="2:4" ht="15" customHeight="1" x14ac:dyDescent="0.3">
      <c r="B24" s="8" t="s">
        <v>345</v>
      </c>
      <c r="C24" s="8" t="s">
        <v>741</v>
      </c>
    </row>
    <row r="25" spans="2:4" ht="15" customHeight="1" x14ac:dyDescent="0.3">
      <c r="B25" s="52"/>
      <c r="C25" s="13"/>
      <c r="D25" s="13"/>
    </row>
    <row r="26" spans="2:4" ht="15" customHeight="1" x14ac:dyDescent="0.3">
      <c r="B26" s="52" t="s">
        <v>346</v>
      </c>
      <c r="C26" s="192"/>
      <c r="D26" s="52"/>
    </row>
    <row r="27" spans="2:4" ht="15" customHeight="1" x14ac:dyDescent="0.3">
      <c r="B27" s="193" t="s">
        <v>347</v>
      </c>
      <c r="C27" s="195" t="s">
        <v>70</v>
      </c>
      <c r="D27" s="196" t="s">
        <v>311</v>
      </c>
    </row>
    <row r="28" spans="2:4" ht="15" customHeight="1" x14ac:dyDescent="0.3">
      <c r="B28" s="8" t="s">
        <v>582</v>
      </c>
      <c r="C28" s="23">
        <f>CF!E21</f>
        <v>14527965.262984239</v>
      </c>
      <c r="D28" s="198" t="s">
        <v>313</v>
      </c>
    </row>
    <row r="29" spans="2:4" ht="15" customHeight="1" x14ac:dyDescent="0.3">
      <c r="B29" s="8" t="s">
        <v>317</v>
      </c>
      <c r="C29" s="23">
        <f ca="1">CF!E37</f>
        <v>-4506729.4916184852</v>
      </c>
      <c r="D29" s="198" t="s">
        <v>554</v>
      </c>
    </row>
    <row r="30" spans="2:4" ht="15" customHeight="1" x14ac:dyDescent="0.3">
      <c r="B30" s="49" t="s">
        <v>318</v>
      </c>
      <c r="C30" s="54">
        <f ca="1">CF!E39</f>
        <v>4996382.7041905588</v>
      </c>
      <c r="D30" s="199" t="s">
        <v>583</v>
      </c>
    </row>
    <row r="31" spans="2:4" ht="15" customHeight="1" x14ac:dyDescent="0.3">
      <c r="B31" s="8" t="s">
        <v>584</v>
      </c>
      <c r="C31" s="23">
        <f>CF!E40</f>
        <v>15819784.521657599</v>
      </c>
      <c r="D31" s="198" t="s">
        <v>585</v>
      </c>
    </row>
    <row r="32" spans="2:4" ht="15" customHeight="1" x14ac:dyDescent="0.3">
      <c r="B32" s="8" t="s">
        <v>319</v>
      </c>
      <c r="C32" s="23">
        <f ca="1">'P&amp;L'!D45</f>
        <v>5703056.6927596824</v>
      </c>
      <c r="D32" s="198" t="s">
        <v>555</v>
      </c>
    </row>
    <row r="33" spans="2:4" ht="15" customHeight="1" x14ac:dyDescent="0.3">
      <c r="B33" s="8" t="s">
        <v>586</v>
      </c>
      <c r="C33" s="23">
        <f ca="1">'P&amp;L'!D49</f>
        <v>5475571.7929540444</v>
      </c>
      <c r="D33" s="198" t="s">
        <v>587</v>
      </c>
    </row>
    <row r="34" spans="2:4" ht="15" customHeight="1" x14ac:dyDescent="0.3">
      <c r="B34" s="49" t="s">
        <v>588</v>
      </c>
      <c r="C34" s="54">
        <f ca="1">'P&amp;L'!D55</f>
        <v>4388524.1877585622</v>
      </c>
      <c r="D34" s="199" t="s">
        <v>556</v>
      </c>
    </row>
    <row r="35" spans="2:4" ht="15" customHeight="1" x14ac:dyDescent="0.3">
      <c r="B35" s="8" t="s">
        <v>589</v>
      </c>
      <c r="C35" s="23">
        <f ca="1">'P&amp;L'!D59</f>
        <v>4278811.083064599</v>
      </c>
      <c r="D35" s="198" t="s">
        <v>557</v>
      </c>
    </row>
    <row r="36" spans="2:4" ht="15" customHeight="1" x14ac:dyDescent="0.3">
      <c r="B36" s="8" t="s">
        <v>348</v>
      </c>
      <c r="C36" s="23">
        <f>Capex!K197</f>
        <v>3561464.4974854346</v>
      </c>
      <c r="D36" s="198" t="s">
        <v>590</v>
      </c>
    </row>
    <row r="37" spans="2:4" ht="15" customHeight="1" x14ac:dyDescent="0.3">
      <c r="B37" s="49" t="s">
        <v>306</v>
      </c>
      <c r="C37" s="54">
        <f>Capex!K210</f>
        <v>1350681.9178846832</v>
      </c>
      <c r="D37" s="199" t="s">
        <v>591</v>
      </c>
    </row>
    <row r="38" spans="2:4" ht="15" customHeight="1" x14ac:dyDescent="0.3">
      <c r="B38" s="8" t="s">
        <v>349</v>
      </c>
      <c r="C38" s="23">
        <f>Capex!K223</f>
        <v>4912146.4153701188</v>
      </c>
      <c r="D38" s="198" t="s">
        <v>558</v>
      </c>
    </row>
    <row r="39" spans="2:4" ht="15" customHeight="1" x14ac:dyDescent="0.3">
      <c r="B39" s="55" t="s">
        <v>703</v>
      </c>
      <c r="C39" s="23">
        <f>Debt!F9</f>
        <v>2408188.9700000002</v>
      </c>
      <c r="D39" s="408" t="s">
        <v>326</v>
      </c>
    </row>
    <row r="40" spans="2:4" ht="15" customHeight="1" x14ac:dyDescent="0.3">
      <c r="B40" s="382" t="s">
        <v>742</v>
      </c>
      <c r="C40" s="23">
        <f>Debt!F10</f>
        <v>1350681.9178846832</v>
      </c>
      <c r="D40" s="408" t="s">
        <v>743</v>
      </c>
    </row>
    <row r="41" spans="2:4" ht="15" customHeight="1" x14ac:dyDescent="0.3">
      <c r="B41" s="382" t="s">
        <v>744</v>
      </c>
      <c r="C41" s="23">
        <f>Debt!F11</f>
        <v>1057507.052115317</v>
      </c>
      <c r="D41" s="408" t="s">
        <v>745</v>
      </c>
    </row>
    <row r="42" spans="2:4" ht="15" customHeight="1" x14ac:dyDescent="0.3">
      <c r="B42" s="55" t="s">
        <v>621</v>
      </c>
      <c r="C42" s="23">
        <f>Debt!F12</f>
        <v>2624543.9670000002</v>
      </c>
      <c r="D42" s="408" t="s">
        <v>746</v>
      </c>
    </row>
    <row r="43" spans="2:4" ht="15" customHeight="1" x14ac:dyDescent="0.3">
      <c r="B43" s="115" t="s">
        <v>747</v>
      </c>
      <c r="C43" s="54">
        <f>Debt!F13</f>
        <v>3682051.0191153171</v>
      </c>
      <c r="D43" s="199" t="s">
        <v>748</v>
      </c>
    </row>
    <row r="44" spans="2:4" ht="15" customHeight="1" x14ac:dyDescent="0.3">
      <c r="B44" s="8" t="s">
        <v>350</v>
      </c>
      <c r="C44" s="23">
        <f>Debt!F15</f>
        <v>2400000</v>
      </c>
      <c r="D44" s="198" t="s">
        <v>725</v>
      </c>
    </row>
    <row r="45" spans="2:4" ht="15" customHeight="1" x14ac:dyDescent="0.3">
      <c r="B45" s="8" t="s">
        <v>351</v>
      </c>
      <c r="C45" s="23">
        <f ca="1">Debt!F89</f>
        <v>381060.67755455611</v>
      </c>
      <c r="D45" s="198" t="s">
        <v>592</v>
      </c>
    </row>
    <row r="46" spans="2:4" ht="15" customHeight="1" x14ac:dyDescent="0.3">
      <c r="B46" s="49" t="s">
        <v>559</v>
      </c>
      <c r="C46" s="54">
        <f ca="1">Debt!F79</f>
        <v>381060.67755455611</v>
      </c>
      <c r="D46" s="199" t="s">
        <v>562</v>
      </c>
    </row>
    <row r="47" spans="2:4" ht="15" customHeight="1" x14ac:dyDescent="0.3">
      <c r="B47" s="241" t="s">
        <v>749</v>
      </c>
      <c r="C47" s="47">
        <f>Debt!F14</f>
        <v>1282051.0191153171</v>
      </c>
      <c r="D47" s="407" t="s">
        <v>750</v>
      </c>
    </row>
    <row r="48" spans="2:4" ht="15" customHeight="1" x14ac:dyDescent="0.3">
      <c r="B48" s="8" t="s">
        <v>593</v>
      </c>
      <c r="C48" s="23">
        <f>'Wafi Escrow'!F21</f>
        <v>195739.7937181255</v>
      </c>
      <c r="D48" s="198" t="s">
        <v>560</v>
      </c>
    </row>
    <row r="49" spans="2:4" ht="15" customHeight="1" x14ac:dyDescent="0.3">
      <c r="B49" s="189" t="s">
        <v>553</v>
      </c>
      <c r="C49" s="190">
        <f ca="1">CF!T71</f>
        <v>7870265.1074645901</v>
      </c>
      <c r="D49" s="201" t="s">
        <v>561</v>
      </c>
    </row>
    <row r="50" spans="2:4" ht="15" customHeight="1" x14ac:dyDescent="0.3"/>
    <row r="51" spans="2:4" ht="15" customHeight="1" x14ac:dyDescent="0.3">
      <c r="B51" s="21" t="s">
        <v>193</v>
      </c>
      <c r="C51" s="197"/>
      <c r="D51" s="200"/>
    </row>
    <row r="52" spans="2:4" ht="15" customHeight="1" x14ac:dyDescent="0.3"/>
    <row r="53" spans="2:4" ht="15" customHeight="1" x14ac:dyDescent="0.3"/>
    <row r="54" spans="2:4" ht="15" customHeight="1" x14ac:dyDescent="0.3"/>
    <row r="55" spans="2:4" ht="1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13E8-7185-454E-8C78-D9D35A27A002}">
  <sheetPr codeName="Sheet1"/>
  <dimension ref="A1:AI353"/>
  <sheetViews>
    <sheetView showGridLines="0" zoomScale="80" zoomScaleNormal="80" workbookViewId="0">
      <pane xSplit="4" ySplit="4" topLeftCell="E306" activePane="bottomRight" state="frozen"/>
      <selection pane="topRight" activeCell="C1" sqref="C1"/>
      <selection pane="bottomLeft" activeCell="A4" sqref="A4"/>
      <selection pane="bottomRight" activeCell="P331" sqref="P331"/>
    </sheetView>
  </sheetViews>
  <sheetFormatPr defaultRowHeight="12.6" outlineLevelRow="1" x14ac:dyDescent="0.3"/>
  <cols>
    <col min="1" max="2" width="2.5546875" style="8" customWidth="1"/>
    <col min="3" max="3" width="36.6640625" style="8" bestFit="1" customWidth="1"/>
    <col min="4" max="4" width="8.88671875" style="8"/>
    <col min="5" max="5" width="8.88671875" style="22"/>
    <col min="6" max="6" width="3.33203125" style="8" customWidth="1"/>
    <col min="7" max="7" width="11.109375" style="8" bestFit="1" customWidth="1"/>
    <col min="8" max="8" width="9.6640625" style="8" bestFit="1" customWidth="1"/>
    <col min="9" max="9" width="3.33203125" style="8" customWidth="1"/>
    <col min="10" max="10" width="12.44140625" style="8" bestFit="1" customWidth="1"/>
    <col min="11" max="11" width="3.33203125" style="8" customWidth="1"/>
    <col min="12" max="26" width="13" style="8" customWidth="1"/>
    <col min="27" max="16384" width="8.88671875" style="8"/>
  </cols>
  <sheetData>
    <row r="1" spans="2:26" ht="15" customHeight="1" x14ac:dyDescent="0.3">
      <c r="B1" s="15" t="s">
        <v>421</v>
      </c>
      <c r="C1" s="15"/>
      <c r="E1" s="8"/>
    </row>
    <row r="2" spans="2:26" ht="15" customHeight="1" x14ac:dyDescent="0.3">
      <c r="B2" s="73" t="s">
        <v>564</v>
      </c>
      <c r="C2" s="73"/>
    </row>
    <row r="3" spans="2:26" ht="15" customHeight="1" x14ac:dyDescent="0.3">
      <c r="B3" s="141" t="s">
        <v>565</v>
      </c>
    </row>
    <row r="4" spans="2:26" ht="15" customHeight="1" x14ac:dyDescent="0.3">
      <c r="B4" s="109"/>
      <c r="C4" s="74" t="s">
        <v>0</v>
      </c>
      <c r="D4" s="74" t="s">
        <v>43</v>
      </c>
      <c r="E4" s="75" t="s">
        <v>64</v>
      </c>
      <c r="F4" s="75"/>
      <c r="G4" s="74"/>
      <c r="H4" s="74"/>
      <c r="I4" s="74"/>
      <c r="J4" s="74" t="s">
        <v>23</v>
      </c>
      <c r="K4" s="74"/>
      <c r="L4" s="74">
        <v>2025</v>
      </c>
      <c r="M4" s="74">
        <f t="shared" ref="M4:Z4" si="0">L4+1</f>
        <v>2026</v>
      </c>
      <c r="N4" s="74">
        <f t="shared" si="0"/>
        <v>2027</v>
      </c>
      <c r="O4" s="74">
        <f t="shared" si="0"/>
        <v>2028</v>
      </c>
      <c r="P4" s="74">
        <f t="shared" si="0"/>
        <v>2029</v>
      </c>
      <c r="Q4" s="74">
        <f t="shared" si="0"/>
        <v>2030</v>
      </c>
      <c r="R4" s="74">
        <f t="shared" si="0"/>
        <v>2031</v>
      </c>
      <c r="S4" s="74">
        <f t="shared" si="0"/>
        <v>2032</v>
      </c>
      <c r="T4" s="74">
        <f t="shared" si="0"/>
        <v>2033</v>
      </c>
      <c r="U4" s="74">
        <f t="shared" si="0"/>
        <v>2034</v>
      </c>
      <c r="V4" s="74">
        <f t="shared" si="0"/>
        <v>2035</v>
      </c>
      <c r="W4" s="74">
        <f t="shared" si="0"/>
        <v>2036</v>
      </c>
      <c r="X4" s="74">
        <f t="shared" si="0"/>
        <v>2037</v>
      </c>
      <c r="Y4" s="74">
        <f t="shared" si="0"/>
        <v>2038</v>
      </c>
      <c r="Z4" s="74">
        <f t="shared" si="0"/>
        <v>2039</v>
      </c>
    </row>
    <row r="5" spans="2:26" ht="15" customHeight="1" x14ac:dyDescent="0.3"/>
    <row r="6" spans="2:26" ht="15" customHeight="1" x14ac:dyDescent="0.3">
      <c r="C6" s="8" t="s">
        <v>69</v>
      </c>
      <c r="E6" s="76" t="s">
        <v>70</v>
      </c>
      <c r="G6" s="30">
        <v>1000</v>
      </c>
      <c r="L6" s="23">
        <f t="shared" ref="L6:Z6" si="1">K6+1</f>
        <v>1</v>
      </c>
      <c r="M6" s="23">
        <f t="shared" si="1"/>
        <v>2</v>
      </c>
      <c r="N6" s="23">
        <f t="shared" si="1"/>
        <v>3</v>
      </c>
      <c r="O6" s="23">
        <f t="shared" si="1"/>
        <v>4</v>
      </c>
      <c r="P6" s="23">
        <f t="shared" si="1"/>
        <v>5</v>
      </c>
      <c r="Q6" s="23">
        <f t="shared" si="1"/>
        <v>6</v>
      </c>
      <c r="R6" s="23">
        <f t="shared" si="1"/>
        <v>7</v>
      </c>
      <c r="S6" s="23">
        <f t="shared" si="1"/>
        <v>8</v>
      </c>
      <c r="T6" s="23">
        <f t="shared" si="1"/>
        <v>9</v>
      </c>
      <c r="U6" s="23">
        <f t="shared" si="1"/>
        <v>10</v>
      </c>
      <c r="V6" s="23">
        <f t="shared" si="1"/>
        <v>11</v>
      </c>
      <c r="W6" s="23">
        <f t="shared" si="1"/>
        <v>12</v>
      </c>
      <c r="X6" s="23">
        <f t="shared" si="1"/>
        <v>13</v>
      </c>
      <c r="Y6" s="23">
        <f t="shared" si="1"/>
        <v>14</v>
      </c>
      <c r="Z6" s="23">
        <f t="shared" si="1"/>
        <v>15</v>
      </c>
    </row>
    <row r="7" spans="2:26" ht="15" customHeight="1" x14ac:dyDescent="0.3">
      <c r="B7" s="77" t="s">
        <v>194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 spans="2:26" ht="15" customHeight="1" x14ac:dyDescent="0.3">
      <c r="C8" s="8" t="s">
        <v>4</v>
      </c>
      <c r="J8" s="23">
        <f>SUM(L8:Z8)</f>
        <v>6408977.0494751623</v>
      </c>
      <c r="L8" s="24">
        <f t="shared" ref="L8:Z8" si="2">L22</f>
        <v>0</v>
      </c>
      <c r="M8" s="24">
        <f t="shared" si="2"/>
        <v>37769.535652202489</v>
      </c>
      <c r="N8" s="24">
        <f t="shared" si="2"/>
        <v>725615.38563715992</v>
      </c>
      <c r="O8" s="24">
        <f t="shared" si="2"/>
        <v>1719744.3242277876</v>
      </c>
      <c r="P8" s="24">
        <f t="shared" si="2"/>
        <v>2002224.1627883306</v>
      </c>
      <c r="Q8" s="24">
        <f t="shared" si="2"/>
        <v>1578069.7911696818</v>
      </c>
      <c r="R8" s="24">
        <f t="shared" si="2"/>
        <v>345553.85</v>
      </c>
      <c r="S8" s="24">
        <f t="shared" si="2"/>
        <v>0</v>
      </c>
      <c r="T8" s="24">
        <f t="shared" si="2"/>
        <v>0</v>
      </c>
      <c r="U8" s="24">
        <f t="shared" si="2"/>
        <v>0</v>
      </c>
      <c r="V8" s="24">
        <f t="shared" si="2"/>
        <v>0</v>
      </c>
      <c r="W8" s="24">
        <f t="shared" si="2"/>
        <v>0</v>
      </c>
      <c r="X8" s="24">
        <f t="shared" si="2"/>
        <v>0</v>
      </c>
      <c r="Y8" s="24">
        <f t="shared" si="2"/>
        <v>0</v>
      </c>
      <c r="Z8" s="24">
        <f t="shared" si="2"/>
        <v>0</v>
      </c>
    </row>
    <row r="9" spans="2:26" ht="15" customHeight="1" x14ac:dyDescent="0.3">
      <c r="C9" s="8" t="s">
        <v>5</v>
      </c>
      <c r="J9" s="23">
        <f>SUM(L9:Z9)</f>
        <v>7782977.7151146149</v>
      </c>
      <c r="L9" s="24">
        <f t="shared" ref="L9:Z9" si="3">L226</f>
        <v>0</v>
      </c>
      <c r="M9" s="24">
        <f t="shared" si="3"/>
        <v>323867.37000000005</v>
      </c>
      <c r="N9" s="24">
        <f t="shared" si="3"/>
        <v>336217.37000000017</v>
      </c>
      <c r="O9" s="24">
        <f t="shared" si="3"/>
        <v>348567.37000000005</v>
      </c>
      <c r="P9" s="24">
        <f t="shared" si="3"/>
        <v>472864.73377488408</v>
      </c>
      <c r="Q9" s="24">
        <f t="shared" si="3"/>
        <v>505432.65358618955</v>
      </c>
      <c r="R9" s="24">
        <f t="shared" si="3"/>
        <v>555815.7058109144</v>
      </c>
      <c r="S9" s="24">
        <f t="shared" si="3"/>
        <v>589664.30482348357</v>
      </c>
      <c r="T9" s="24">
        <f t="shared" si="3"/>
        <v>606854.87730644003</v>
      </c>
      <c r="U9" s="24">
        <f t="shared" si="3"/>
        <v>625060.52362563321</v>
      </c>
      <c r="V9" s="24">
        <f t="shared" si="3"/>
        <v>643812.33933440223</v>
      </c>
      <c r="W9" s="24">
        <f t="shared" si="3"/>
        <v>663672.37002135639</v>
      </c>
      <c r="X9" s="24">
        <f t="shared" si="3"/>
        <v>683020.51079986757</v>
      </c>
      <c r="Y9" s="24">
        <f t="shared" si="3"/>
        <v>703511.12612386316</v>
      </c>
      <c r="Z9" s="24">
        <f t="shared" si="3"/>
        <v>724616.45990757982</v>
      </c>
    </row>
    <row r="10" spans="2:26" ht="15" customHeight="1" x14ac:dyDescent="0.3">
      <c r="C10" s="8" t="s">
        <v>9</v>
      </c>
      <c r="J10" s="23">
        <f>SUM(L10:Z10)</f>
        <v>336010.49839446048</v>
      </c>
      <c r="L10" s="24">
        <f t="shared" ref="L10:Z10" si="4">L326</f>
        <v>0</v>
      </c>
      <c r="M10" s="24">
        <f t="shared" si="4"/>
        <v>0</v>
      </c>
      <c r="N10" s="24">
        <f t="shared" si="4"/>
        <v>0</v>
      </c>
      <c r="O10" s="24">
        <f t="shared" si="4"/>
        <v>0</v>
      </c>
      <c r="P10" s="24">
        <f t="shared" si="4"/>
        <v>14651.583754801461</v>
      </c>
      <c r="Q10" s="24">
        <f t="shared" si="4"/>
        <v>20023.831131561994</v>
      </c>
      <c r="R10" s="24">
        <f t="shared" si="4"/>
        <v>25655.533637313805</v>
      </c>
      <c r="S10" s="24">
        <f t="shared" si="4"/>
        <v>31556.30637389599</v>
      </c>
      <c r="T10" s="24">
        <f t="shared" si="4"/>
        <v>32345.214033243381</v>
      </c>
      <c r="U10" s="24">
        <f t="shared" si="4"/>
        <v>33153.844384074459</v>
      </c>
      <c r="V10" s="24">
        <f t="shared" si="4"/>
        <v>33982.690493676324</v>
      </c>
      <c r="W10" s="24">
        <f t="shared" si="4"/>
        <v>34832.257756018233</v>
      </c>
      <c r="X10" s="24">
        <f t="shared" si="4"/>
        <v>35703.064199918685</v>
      </c>
      <c r="Y10" s="24">
        <f t="shared" si="4"/>
        <v>36595.640804916642</v>
      </c>
      <c r="Z10" s="24">
        <f t="shared" si="4"/>
        <v>37510.531825039558</v>
      </c>
    </row>
    <row r="11" spans="2:26" ht="15" customHeight="1" x14ac:dyDescent="0.3">
      <c r="B11" s="78" t="s">
        <v>195</v>
      </c>
      <c r="C11" s="78"/>
      <c r="D11" s="78"/>
      <c r="E11" s="79"/>
      <c r="F11" s="78"/>
      <c r="G11" s="78"/>
      <c r="H11" s="78"/>
      <c r="I11" s="78"/>
      <c r="J11" s="160">
        <f>SUM(J7:J10)</f>
        <v>14527965.262984239</v>
      </c>
      <c r="K11" s="25"/>
      <c r="L11" s="160">
        <f t="shared" ref="L11:Z11" si="5">SUM(L7:L10)</f>
        <v>0</v>
      </c>
      <c r="M11" s="160">
        <f t="shared" si="5"/>
        <v>361636.90565220255</v>
      </c>
      <c r="N11" s="160">
        <f t="shared" si="5"/>
        <v>1061832.75563716</v>
      </c>
      <c r="O11" s="160">
        <f t="shared" si="5"/>
        <v>2068311.6942277877</v>
      </c>
      <c r="P11" s="160">
        <f t="shared" si="5"/>
        <v>2489740.4803180164</v>
      </c>
      <c r="Q11" s="160">
        <f t="shared" si="5"/>
        <v>2103526.2758874334</v>
      </c>
      <c r="R11" s="160">
        <f t="shared" si="5"/>
        <v>927025.08944822813</v>
      </c>
      <c r="S11" s="160">
        <f t="shared" si="5"/>
        <v>621220.61119737953</v>
      </c>
      <c r="T11" s="160">
        <f t="shared" si="5"/>
        <v>639200.09133968339</v>
      </c>
      <c r="U11" s="160">
        <f t="shared" si="5"/>
        <v>658214.36800970766</v>
      </c>
      <c r="V11" s="160">
        <f t="shared" si="5"/>
        <v>677795.02982807858</v>
      </c>
      <c r="W11" s="160">
        <f t="shared" si="5"/>
        <v>698504.62777737458</v>
      </c>
      <c r="X11" s="160">
        <f t="shared" si="5"/>
        <v>718723.57499978621</v>
      </c>
      <c r="Y11" s="160">
        <f t="shared" si="5"/>
        <v>740106.76692877978</v>
      </c>
      <c r="Z11" s="160">
        <f t="shared" si="5"/>
        <v>762126.99173261935</v>
      </c>
    </row>
    <row r="12" spans="2:26" ht="15" customHeight="1" x14ac:dyDescent="0.3">
      <c r="L12" s="80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spans="2:26" ht="15" customHeight="1" x14ac:dyDescent="0.3">
      <c r="B13" s="77" t="s">
        <v>4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spans="2:26" ht="15" customHeight="1" outlineLevel="1" x14ac:dyDescent="0.3">
      <c r="E14" s="8"/>
    </row>
    <row r="15" spans="2:26" ht="15" customHeight="1" outlineLevel="1" x14ac:dyDescent="0.3">
      <c r="B15" s="82" t="s">
        <v>81</v>
      </c>
      <c r="C15" s="82"/>
      <c r="D15" s="82"/>
      <c r="E15" s="83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2:26" ht="15" customHeight="1" outlineLevel="1" x14ac:dyDescent="0.3">
      <c r="C16" s="84" t="s">
        <v>57</v>
      </c>
      <c r="D16" s="161">
        <v>2</v>
      </c>
      <c r="J16" s="23">
        <f t="shared" ref="J16:J21" si="6">SUM(L16:Z16)</f>
        <v>2539826.8929531374</v>
      </c>
      <c r="K16" s="19"/>
      <c r="L16" s="23">
        <f t="shared" ref="L16:Z16" si="7">L51</f>
        <v>0</v>
      </c>
      <c r="M16" s="23">
        <f t="shared" si="7"/>
        <v>28221.41565220249</v>
      </c>
      <c r="N16" s="23">
        <f t="shared" si="7"/>
        <v>465636.60563715996</v>
      </c>
      <c r="O16" s="23">
        <f t="shared" si="7"/>
        <v>973601.98422778747</v>
      </c>
      <c r="P16" s="23">
        <f t="shared" si="7"/>
        <v>945375.5427883307</v>
      </c>
      <c r="Q16" s="23">
        <f t="shared" si="7"/>
        <v>126991.34464765688</v>
      </c>
      <c r="R16" s="23">
        <f t="shared" si="7"/>
        <v>0</v>
      </c>
      <c r="S16" s="23">
        <f t="shared" si="7"/>
        <v>0</v>
      </c>
      <c r="T16" s="23">
        <f t="shared" si="7"/>
        <v>0</v>
      </c>
      <c r="U16" s="23">
        <f t="shared" si="7"/>
        <v>0</v>
      </c>
      <c r="V16" s="23">
        <f t="shared" si="7"/>
        <v>0</v>
      </c>
      <c r="W16" s="23">
        <f t="shared" si="7"/>
        <v>0</v>
      </c>
      <c r="X16" s="23">
        <f t="shared" si="7"/>
        <v>0</v>
      </c>
      <c r="Y16" s="23">
        <f t="shared" si="7"/>
        <v>0</v>
      </c>
      <c r="Z16" s="23">
        <f t="shared" si="7"/>
        <v>0</v>
      </c>
    </row>
    <row r="17" spans="2:26" ht="15" customHeight="1" outlineLevel="1" x14ac:dyDescent="0.3">
      <c r="C17" s="84" t="s">
        <v>56</v>
      </c>
      <c r="D17" s="161">
        <v>3</v>
      </c>
      <c r="J17" s="23">
        <f t="shared" si="6"/>
        <v>1594797.0000000002</v>
      </c>
      <c r="K17" s="19"/>
      <c r="L17" s="23">
        <f t="shared" ref="L17:Z17" si="8">L80</f>
        <v>0</v>
      </c>
      <c r="M17" s="23">
        <f t="shared" si="8"/>
        <v>0</v>
      </c>
      <c r="N17" s="23">
        <f t="shared" si="8"/>
        <v>106319.8</v>
      </c>
      <c r="O17" s="23">
        <f t="shared" si="8"/>
        <v>425279.19999999995</v>
      </c>
      <c r="P17" s="23">
        <f t="shared" si="8"/>
        <v>744238.6</v>
      </c>
      <c r="Q17" s="23">
        <f t="shared" si="8"/>
        <v>239219.55</v>
      </c>
      <c r="R17" s="23">
        <f t="shared" si="8"/>
        <v>79739.850000000006</v>
      </c>
      <c r="S17" s="23">
        <f t="shared" si="8"/>
        <v>0</v>
      </c>
      <c r="T17" s="23">
        <f t="shared" si="8"/>
        <v>0</v>
      </c>
      <c r="U17" s="23">
        <f t="shared" si="8"/>
        <v>0</v>
      </c>
      <c r="V17" s="23">
        <f t="shared" si="8"/>
        <v>0</v>
      </c>
      <c r="W17" s="23">
        <f t="shared" si="8"/>
        <v>0</v>
      </c>
      <c r="X17" s="23">
        <f t="shared" si="8"/>
        <v>0</v>
      </c>
      <c r="Y17" s="23">
        <f t="shared" si="8"/>
        <v>0</v>
      </c>
      <c r="Z17" s="23">
        <f t="shared" si="8"/>
        <v>0</v>
      </c>
    </row>
    <row r="18" spans="2:26" ht="15" customHeight="1" outlineLevel="1" x14ac:dyDescent="0.3">
      <c r="C18" s="84" t="s">
        <v>358</v>
      </c>
      <c r="D18" s="161">
        <v>2</v>
      </c>
      <c r="J18" s="23">
        <f t="shared" si="6"/>
        <v>838610.8</v>
      </c>
      <c r="K18" s="19"/>
      <c r="L18" s="23">
        <f t="shared" ref="L18:Z18" si="9">L112</f>
        <v>0</v>
      </c>
      <c r="M18" s="23">
        <f t="shared" si="9"/>
        <v>9548.1200000000008</v>
      </c>
      <c r="N18" s="23">
        <f t="shared" si="9"/>
        <v>153658.97999999998</v>
      </c>
      <c r="O18" s="23">
        <f t="shared" si="9"/>
        <v>320863.14</v>
      </c>
      <c r="P18" s="23">
        <f t="shared" si="9"/>
        <v>312610.02</v>
      </c>
      <c r="Q18" s="23">
        <f t="shared" si="9"/>
        <v>41930.54</v>
      </c>
      <c r="R18" s="23">
        <f t="shared" si="9"/>
        <v>0</v>
      </c>
      <c r="S18" s="23">
        <f t="shared" si="9"/>
        <v>0</v>
      </c>
      <c r="T18" s="23">
        <f t="shared" si="9"/>
        <v>0</v>
      </c>
      <c r="U18" s="23">
        <f t="shared" si="9"/>
        <v>0</v>
      </c>
      <c r="V18" s="23">
        <f t="shared" si="9"/>
        <v>0</v>
      </c>
      <c r="W18" s="23">
        <f t="shared" si="9"/>
        <v>0</v>
      </c>
      <c r="X18" s="23">
        <f t="shared" si="9"/>
        <v>0</v>
      </c>
      <c r="Y18" s="23">
        <f t="shared" si="9"/>
        <v>0</v>
      </c>
      <c r="Z18" s="23">
        <f t="shared" si="9"/>
        <v>0</v>
      </c>
    </row>
    <row r="19" spans="2:26" ht="15" customHeight="1" outlineLevel="1" x14ac:dyDescent="0.3">
      <c r="C19" s="84" t="s">
        <v>52</v>
      </c>
      <c r="D19" s="161">
        <v>2</v>
      </c>
      <c r="J19" s="23">
        <f t="shared" si="6"/>
        <v>282214.15652202489</v>
      </c>
      <c r="K19" s="19"/>
      <c r="L19" s="23">
        <f t="shared" ref="L19:Z19" si="10">L129</f>
        <v>0</v>
      </c>
      <c r="M19" s="23">
        <f t="shared" si="10"/>
        <v>0</v>
      </c>
      <c r="N19" s="23">
        <f t="shared" si="10"/>
        <v>0</v>
      </c>
      <c r="O19" s="23">
        <f t="shared" si="10"/>
        <v>0</v>
      </c>
      <c r="P19" s="23">
        <f t="shared" si="10"/>
        <v>0</v>
      </c>
      <c r="Q19" s="23">
        <f t="shared" si="10"/>
        <v>282214.15652202489</v>
      </c>
      <c r="R19" s="23">
        <f t="shared" si="10"/>
        <v>0</v>
      </c>
      <c r="S19" s="23">
        <f t="shared" si="10"/>
        <v>0</v>
      </c>
      <c r="T19" s="23">
        <f t="shared" si="10"/>
        <v>0</v>
      </c>
      <c r="U19" s="23">
        <f t="shared" si="10"/>
        <v>0</v>
      </c>
      <c r="V19" s="23">
        <f t="shared" si="10"/>
        <v>0</v>
      </c>
      <c r="W19" s="23">
        <f t="shared" si="10"/>
        <v>0</v>
      </c>
      <c r="X19" s="23">
        <f t="shared" si="10"/>
        <v>0</v>
      </c>
      <c r="Y19" s="23">
        <f t="shared" si="10"/>
        <v>0</v>
      </c>
      <c r="Z19" s="23">
        <f t="shared" si="10"/>
        <v>0</v>
      </c>
    </row>
    <row r="20" spans="2:26" ht="15" customHeight="1" outlineLevel="1" x14ac:dyDescent="0.3">
      <c r="C20" s="84" t="s">
        <v>47</v>
      </c>
      <c r="D20" s="161">
        <v>3</v>
      </c>
      <c r="J20" s="23">
        <f t="shared" si="6"/>
        <v>1063227</v>
      </c>
      <c r="K20" s="19"/>
      <c r="L20" s="23">
        <f t="shared" ref="L20:Z20" si="11">L144</f>
        <v>0</v>
      </c>
      <c r="M20" s="23">
        <f t="shared" si="11"/>
        <v>0</v>
      </c>
      <c r="N20" s="23">
        <f t="shared" si="11"/>
        <v>0</v>
      </c>
      <c r="O20" s="23">
        <f t="shared" si="11"/>
        <v>0</v>
      </c>
      <c r="P20" s="23">
        <f t="shared" si="11"/>
        <v>0</v>
      </c>
      <c r="Q20" s="23">
        <f t="shared" si="11"/>
        <v>797413</v>
      </c>
      <c r="R20" s="23">
        <f t="shared" si="11"/>
        <v>265814</v>
      </c>
      <c r="S20" s="23">
        <f t="shared" si="11"/>
        <v>0</v>
      </c>
      <c r="T20" s="23">
        <f t="shared" si="11"/>
        <v>0</v>
      </c>
      <c r="U20" s="23">
        <f t="shared" si="11"/>
        <v>0</v>
      </c>
      <c r="V20" s="23">
        <f t="shared" si="11"/>
        <v>0</v>
      </c>
      <c r="W20" s="23">
        <f t="shared" si="11"/>
        <v>0</v>
      </c>
      <c r="X20" s="23">
        <f t="shared" si="11"/>
        <v>0</v>
      </c>
      <c r="Y20" s="23">
        <f t="shared" si="11"/>
        <v>0</v>
      </c>
      <c r="Z20" s="23">
        <f t="shared" si="11"/>
        <v>0</v>
      </c>
    </row>
    <row r="21" spans="2:26" ht="15" customHeight="1" outlineLevel="1" x14ac:dyDescent="0.3">
      <c r="C21" s="84" t="s">
        <v>91</v>
      </c>
      <c r="D21" s="161">
        <v>3</v>
      </c>
      <c r="J21" s="23">
        <f t="shared" si="6"/>
        <v>90301.2</v>
      </c>
      <c r="K21" s="19"/>
      <c r="L21" s="23">
        <f>L162</f>
        <v>0</v>
      </c>
      <c r="M21" s="23">
        <f t="shared" ref="M21:Z21" si="12">M162</f>
        <v>0</v>
      </c>
      <c r="N21" s="23">
        <f t="shared" si="12"/>
        <v>0</v>
      </c>
      <c r="O21" s="23">
        <f t="shared" si="12"/>
        <v>0</v>
      </c>
      <c r="P21" s="23">
        <f t="shared" si="12"/>
        <v>0</v>
      </c>
      <c r="Q21" s="23">
        <f t="shared" si="12"/>
        <v>90301.2</v>
      </c>
      <c r="R21" s="23">
        <f t="shared" si="12"/>
        <v>0</v>
      </c>
      <c r="S21" s="23">
        <f t="shared" si="12"/>
        <v>0</v>
      </c>
      <c r="T21" s="23">
        <f t="shared" si="12"/>
        <v>0</v>
      </c>
      <c r="U21" s="23">
        <f t="shared" si="12"/>
        <v>0</v>
      </c>
      <c r="V21" s="23">
        <f t="shared" si="12"/>
        <v>0</v>
      </c>
      <c r="W21" s="23">
        <f t="shared" si="12"/>
        <v>0</v>
      </c>
      <c r="X21" s="23">
        <f t="shared" si="12"/>
        <v>0</v>
      </c>
      <c r="Y21" s="23">
        <f t="shared" si="12"/>
        <v>0</v>
      </c>
      <c r="Z21" s="23">
        <f t="shared" si="12"/>
        <v>0</v>
      </c>
    </row>
    <row r="22" spans="2:26" ht="15" customHeight="1" outlineLevel="1" x14ac:dyDescent="0.3">
      <c r="C22" s="78" t="s">
        <v>82</v>
      </c>
      <c r="D22" s="78"/>
      <c r="E22" s="79"/>
      <c r="F22" s="78"/>
      <c r="G22" s="78"/>
      <c r="H22" s="78"/>
      <c r="I22" s="78"/>
      <c r="J22" s="160">
        <f>SUM(J16:J21)</f>
        <v>6408977.0494751623</v>
      </c>
      <c r="K22" s="160"/>
      <c r="L22" s="160">
        <f>SUM(L16:L21)</f>
        <v>0</v>
      </c>
      <c r="M22" s="160">
        <f t="shared" ref="M22:Z22" si="13">SUM(M16:M21)</f>
        <v>37769.535652202489</v>
      </c>
      <c r="N22" s="160">
        <f t="shared" si="13"/>
        <v>725615.38563715992</v>
      </c>
      <c r="O22" s="160">
        <f t="shared" si="13"/>
        <v>1719744.3242277876</v>
      </c>
      <c r="P22" s="160">
        <f t="shared" si="13"/>
        <v>2002224.1627883306</v>
      </c>
      <c r="Q22" s="160">
        <f t="shared" si="13"/>
        <v>1578069.7911696818</v>
      </c>
      <c r="R22" s="160">
        <f t="shared" si="13"/>
        <v>345553.85</v>
      </c>
      <c r="S22" s="160">
        <f t="shared" si="13"/>
        <v>0</v>
      </c>
      <c r="T22" s="160">
        <f t="shared" si="13"/>
        <v>0</v>
      </c>
      <c r="U22" s="160">
        <f t="shared" si="13"/>
        <v>0</v>
      </c>
      <c r="V22" s="160">
        <f t="shared" si="13"/>
        <v>0</v>
      </c>
      <c r="W22" s="160">
        <f t="shared" si="13"/>
        <v>0</v>
      </c>
      <c r="X22" s="160">
        <f t="shared" si="13"/>
        <v>0</v>
      </c>
      <c r="Y22" s="160">
        <f t="shared" si="13"/>
        <v>0</v>
      </c>
      <c r="Z22" s="160">
        <f t="shared" si="13"/>
        <v>0</v>
      </c>
    </row>
    <row r="23" spans="2:26" ht="15" customHeight="1" outlineLevel="1" x14ac:dyDescent="0.3"/>
    <row r="24" spans="2:26" ht="15" customHeight="1" outlineLevel="1" x14ac:dyDescent="0.3">
      <c r="B24" s="82" t="s">
        <v>57</v>
      </c>
      <c r="C24" s="85"/>
      <c r="D24" s="162">
        <v>2</v>
      </c>
      <c r="E24" s="86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spans="2:26" ht="15" customHeight="1" outlineLevel="1" x14ac:dyDescent="0.3">
      <c r="C25" s="8" t="s">
        <v>67</v>
      </c>
      <c r="E25" s="76" t="s">
        <v>68</v>
      </c>
      <c r="G25" s="88">
        <v>0</v>
      </c>
      <c r="L25" s="464">
        <f t="shared" ref="L25:Z25" si="14">(1+$G25)^L$6</f>
        <v>1</v>
      </c>
      <c r="M25" s="464">
        <f t="shared" si="14"/>
        <v>1</v>
      </c>
      <c r="N25" s="464">
        <f t="shared" si="14"/>
        <v>1</v>
      </c>
      <c r="O25" s="464">
        <f t="shared" si="14"/>
        <v>1</v>
      </c>
      <c r="P25" s="464">
        <f t="shared" si="14"/>
        <v>1</v>
      </c>
      <c r="Q25" s="464">
        <f t="shared" si="14"/>
        <v>1</v>
      </c>
      <c r="R25" s="464">
        <f t="shared" si="14"/>
        <v>1</v>
      </c>
      <c r="S25" s="464">
        <f t="shared" si="14"/>
        <v>1</v>
      </c>
      <c r="T25" s="464">
        <f t="shared" si="14"/>
        <v>1</v>
      </c>
      <c r="U25" s="464">
        <f t="shared" si="14"/>
        <v>1</v>
      </c>
      <c r="V25" s="464">
        <f t="shared" si="14"/>
        <v>1</v>
      </c>
      <c r="W25" s="464">
        <f t="shared" si="14"/>
        <v>1</v>
      </c>
      <c r="X25" s="464">
        <f t="shared" si="14"/>
        <v>1</v>
      </c>
      <c r="Y25" s="464">
        <f t="shared" si="14"/>
        <v>1</v>
      </c>
      <c r="Z25" s="464">
        <f t="shared" si="14"/>
        <v>1</v>
      </c>
    </row>
    <row r="26" spans="2:26" ht="15" customHeight="1" outlineLevel="1" x14ac:dyDescent="0.3"/>
    <row r="27" spans="2:26" ht="15" customHeight="1" outlineLevel="1" x14ac:dyDescent="0.3">
      <c r="C27" s="89" t="s">
        <v>57</v>
      </c>
      <c r="G27" s="90" t="s">
        <v>63</v>
      </c>
      <c r="H27" s="90" t="s">
        <v>62</v>
      </c>
      <c r="I27" s="91"/>
    </row>
    <row r="28" spans="2:26" ht="15" customHeight="1" outlineLevel="1" x14ac:dyDescent="0.3">
      <c r="C28" s="84" t="s">
        <v>58</v>
      </c>
      <c r="G28" s="30">
        <v>47800</v>
      </c>
      <c r="H28" s="30">
        <v>33456.066945606697</v>
      </c>
      <c r="I28" s="91"/>
      <c r="L28" s="5">
        <v>0</v>
      </c>
      <c r="M28" s="5">
        <v>0.05</v>
      </c>
      <c r="N28" s="5">
        <v>0.3</v>
      </c>
      <c r="O28" s="5">
        <v>0.3</v>
      </c>
      <c r="P28" s="5">
        <v>0.25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</row>
    <row r="29" spans="2:26" ht="15" customHeight="1" outlineLevel="1" x14ac:dyDescent="0.3">
      <c r="C29" s="84" t="s">
        <v>59</v>
      </c>
      <c r="G29" s="30">
        <v>36497.1</v>
      </c>
      <c r="H29" s="30">
        <v>33505.248362198603</v>
      </c>
      <c r="I29" s="91"/>
      <c r="L29" s="5">
        <v>0</v>
      </c>
      <c r="M29" s="5">
        <v>0.05</v>
      </c>
      <c r="N29" s="5">
        <v>0.3</v>
      </c>
      <c r="O29" s="5">
        <v>0.3</v>
      </c>
      <c r="P29" s="5">
        <v>0.25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</row>
    <row r="30" spans="2:26" ht="15" customHeight="1" outlineLevel="1" x14ac:dyDescent="0.3">
      <c r="C30" s="89"/>
    </row>
    <row r="31" spans="2:26" ht="15" customHeight="1" outlineLevel="1" x14ac:dyDescent="0.3">
      <c r="C31" s="89" t="s">
        <v>60</v>
      </c>
    </row>
    <row r="32" spans="2:26" ht="15" customHeight="1" outlineLevel="1" x14ac:dyDescent="0.3">
      <c r="C32" s="84" t="s">
        <v>58</v>
      </c>
      <c r="E32" s="76" t="s">
        <v>63</v>
      </c>
      <c r="G32" s="33" cm="1">
        <f t="array" ref="G32">SUM($L28:$Z28*$G28)</f>
        <v>43020</v>
      </c>
      <c r="H32" s="26"/>
      <c r="I32" s="26"/>
      <c r="J32" s="48">
        <f>SUM(L32:Z32)</f>
        <v>43020</v>
      </c>
      <c r="K32" s="26"/>
      <c r="L32" s="23">
        <f t="shared" ref="L32:Z32" si="15">ROUND($G28*L28,0)</f>
        <v>0</v>
      </c>
      <c r="M32" s="23">
        <f t="shared" si="15"/>
        <v>2390</v>
      </c>
      <c r="N32" s="23">
        <f t="shared" si="15"/>
        <v>14340</v>
      </c>
      <c r="O32" s="23">
        <f t="shared" si="15"/>
        <v>14340</v>
      </c>
      <c r="P32" s="23">
        <f t="shared" si="15"/>
        <v>11950</v>
      </c>
      <c r="Q32" s="23">
        <f t="shared" si="15"/>
        <v>0</v>
      </c>
      <c r="R32" s="23">
        <f t="shared" si="15"/>
        <v>0</v>
      </c>
      <c r="S32" s="23">
        <f t="shared" si="15"/>
        <v>0</v>
      </c>
      <c r="T32" s="23">
        <f t="shared" si="15"/>
        <v>0</v>
      </c>
      <c r="U32" s="23">
        <f t="shared" si="15"/>
        <v>0</v>
      </c>
      <c r="V32" s="23">
        <f t="shared" si="15"/>
        <v>0</v>
      </c>
      <c r="W32" s="23">
        <f t="shared" si="15"/>
        <v>0</v>
      </c>
      <c r="X32" s="23">
        <f t="shared" si="15"/>
        <v>0</v>
      </c>
      <c r="Y32" s="23">
        <f t="shared" si="15"/>
        <v>0</v>
      </c>
      <c r="Z32" s="23">
        <f t="shared" si="15"/>
        <v>0</v>
      </c>
    </row>
    <row r="33" spans="3:26" ht="15" customHeight="1" outlineLevel="1" x14ac:dyDescent="0.3">
      <c r="C33" s="84" t="s">
        <v>59</v>
      </c>
      <c r="E33" s="76" t="s">
        <v>63</v>
      </c>
      <c r="G33" s="33" cm="1">
        <f t="array" ref="G33">SUM($L29:$Z29*$G29)</f>
        <v>32847.39</v>
      </c>
      <c r="H33" s="26"/>
      <c r="I33" s="26"/>
      <c r="J33" s="48">
        <f>SUM(L33:Z33)</f>
        <v>32847</v>
      </c>
      <c r="K33" s="26"/>
      <c r="L33" s="23">
        <f t="shared" ref="L33:Z33" si="16">ROUND($G29*L29,0)</f>
        <v>0</v>
      </c>
      <c r="M33" s="23">
        <f t="shared" si="16"/>
        <v>1825</v>
      </c>
      <c r="N33" s="23">
        <f t="shared" si="16"/>
        <v>10949</v>
      </c>
      <c r="O33" s="23">
        <f t="shared" si="16"/>
        <v>10949</v>
      </c>
      <c r="P33" s="23">
        <f t="shared" si="16"/>
        <v>9124</v>
      </c>
      <c r="Q33" s="23">
        <f t="shared" si="16"/>
        <v>0</v>
      </c>
      <c r="R33" s="23">
        <f t="shared" si="16"/>
        <v>0</v>
      </c>
      <c r="S33" s="23">
        <f t="shared" si="16"/>
        <v>0</v>
      </c>
      <c r="T33" s="23">
        <f t="shared" si="16"/>
        <v>0</v>
      </c>
      <c r="U33" s="23">
        <f t="shared" si="16"/>
        <v>0</v>
      </c>
      <c r="V33" s="23">
        <f t="shared" si="16"/>
        <v>0</v>
      </c>
      <c r="W33" s="23">
        <f t="shared" si="16"/>
        <v>0</v>
      </c>
      <c r="X33" s="23">
        <f t="shared" si="16"/>
        <v>0</v>
      </c>
      <c r="Y33" s="23">
        <f t="shared" si="16"/>
        <v>0</v>
      </c>
      <c r="Z33" s="23">
        <f t="shared" si="16"/>
        <v>0</v>
      </c>
    </row>
    <row r="34" spans="3:26" ht="15" customHeight="1" outlineLevel="1" x14ac:dyDescent="0.3">
      <c r="C34" s="78" t="s">
        <v>65</v>
      </c>
      <c r="D34" s="92"/>
      <c r="E34" s="93" t="s">
        <v>63</v>
      </c>
      <c r="F34" s="92"/>
      <c r="G34" s="36">
        <f>SUM(G32:G33)</f>
        <v>75867.39</v>
      </c>
      <c r="H34" s="27"/>
      <c r="I34" s="27"/>
      <c r="J34" s="163">
        <f>SUM(J32:J33)</f>
        <v>75867</v>
      </c>
      <c r="K34" s="27"/>
      <c r="L34" s="163">
        <f t="shared" ref="L34:Z34" si="17">SUM(L32:L33)</f>
        <v>0</v>
      </c>
      <c r="M34" s="163">
        <f t="shared" si="17"/>
        <v>4215</v>
      </c>
      <c r="N34" s="163">
        <f t="shared" si="17"/>
        <v>25289</v>
      </c>
      <c r="O34" s="163">
        <f t="shared" si="17"/>
        <v>25289</v>
      </c>
      <c r="P34" s="163">
        <f t="shared" si="17"/>
        <v>21074</v>
      </c>
      <c r="Q34" s="163">
        <f t="shared" si="17"/>
        <v>0</v>
      </c>
      <c r="R34" s="163">
        <f t="shared" si="17"/>
        <v>0</v>
      </c>
      <c r="S34" s="163">
        <f t="shared" si="17"/>
        <v>0</v>
      </c>
      <c r="T34" s="163">
        <f t="shared" si="17"/>
        <v>0</v>
      </c>
      <c r="U34" s="163">
        <f t="shared" si="17"/>
        <v>0</v>
      </c>
      <c r="V34" s="163">
        <f t="shared" si="17"/>
        <v>0</v>
      </c>
      <c r="W34" s="163">
        <f t="shared" si="17"/>
        <v>0</v>
      </c>
      <c r="X34" s="163">
        <f t="shared" si="17"/>
        <v>0</v>
      </c>
      <c r="Y34" s="163">
        <f t="shared" si="17"/>
        <v>0</v>
      </c>
      <c r="Z34" s="163">
        <f t="shared" si="17"/>
        <v>0</v>
      </c>
    </row>
    <row r="35" spans="3:26" ht="15" customHeight="1" outlineLevel="1" x14ac:dyDescent="0.3"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3:26" ht="15" customHeight="1" outlineLevel="1" x14ac:dyDescent="0.3">
      <c r="C36" s="89" t="s">
        <v>61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3:26" ht="15" customHeight="1" outlineLevel="1" x14ac:dyDescent="0.3">
      <c r="C37" s="84" t="s">
        <v>58</v>
      </c>
      <c r="E37" s="76" t="s">
        <v>70</v>
      </c>
      <c r="G37" s="23">
        <f>$H28</f>
        <v>33456.066945606697</v>
      </c>
      <c r="H37" s="19"/>
      <c r="I37" s="19"/>
      <c r="J37" s="164">
        <f>SUM(L37:Z37)</f>
        <v>1439280</v>
      </c>
      <c r="K37" s="19"/>
      <c r="L37" s="24">
        <f t="shared" ref="L37:Z37" si="18">(($G37*L$25)*L32)/$G$6</f>
        <v>0</v>
      </c>
      <c r="M37" s="24">
        <f>(($G37*M$25)*M32)/$G$6</f>
        <v>79960</v>
      </c>
      <c r="N37" s="24">
        <f t="shared" si="18"/>
        <v>479760.00000000006</v>
      </c>
      <c r="O37" s="24">
        <f t="shared" si="18"/>
        <v>479760.00000000006</v>
      </c>
      <c r="P37" s="24">
        <f t="shared" si="18"/>
        <v>399800.00000000006</v>
      </c>
      <c r="Q37" s="24">
        <f t="shared" si="18"/>
        <v>0</v>
      </c>
      <c r="R37" s="24">
        <f t="shared" si="18"/>
        <v>0</v>
      </c>
      <c r="S37" s="24">
        <f t="shared" si="18"/>
        <v>0</v>
      </c>
      <c r="T37" s="24">
        <f t="shared" si="18"/>
        <v>0</v>
      </c>
      <c r="U37" s="24">
        <f t="shared" si="18"/>
        <v>0</v>
      </c>
      <c r="V37" s="24">
        <f t="shared" si="18"/>
        <v>0</v>
      </c>
      <c r="W37" s="24">
        <f t="shared" si="18"/>
        <v>0</v>
      </c>
      <c r="X37" s="24">
        <f t="shared" si="18"/>
        <v>0</v>
      </c>
      <c r="Y37" s="24">
        <f t="shared" si="18"/>
        <v>0</v>
      </c>
      <c r="Z37" s="24">
        <f t="shared" si="18"/>
        <v>0</v>
      </c>
    </row>
    <row r="38" spans="3:26" ht="15" customHeight="1" outlineLevel="1" x14ac:dyDescent="0.3">
      <c r="C38" s="84" t="s">
        <v>59</v>
      </c>
      <c r="E38" s="76" t="s">
        <v>70</v>
      </c>
      <c r="G38" s="23">
        <f>$H29</f>
        <v>33505.248362198603</v>
      </c>
      <c r="H38" s="19"/>
      <c r="I38" s="19"/>
      <c r="J38" s="164">
        <f>SUM(L38:Z38)</f>
        <v>1100546.8929531374</v>
      </c>
      <c r="K38" s="19"/>
      <c r="L38" s="24">
        <f t="shared" ref="L38:Z38" si="19">(($G38*L$25)*L33)/$G$6</f>
        <v>0</v>
      </c>
      <c r="M38" s="24">
        <f t="shared" si="19"/>
        <v>61147.078261012452</v>
      </c>
      <c r="N38" s="24">
        <f t="shared" si="19"/>
        <v>366848.96431771247</v>
      </c>
      <c r="O38" s="24">
        <f t="shared" si="19"/>
        <v>366848.96431771247</v>
      </c>
      <c r="P38" s="24">
        <f t="shared" si="19"/>
        <v>305701.88605670002</v>
      </c>
      <c r="Q38" s="24">
        <f t="shared" si="19"/>
        <v>0</v>
      </c>
      <c r="R38" s="24">
        <f t="shared" si="19"/>
        <v>0</v>
      </c>
      <c r="S38" s="24">
        <f t="shared" si="19"/>
        <v>0</v>
      </c>
      <c r="T38" s="24">
        <f t="shared" si="19"/>
        <v>0</v>
      </c>
      <c r="U38" s="24">
        <f t="shared" si="19"/>
        <v>0</v>
      </c>
      <c r="V38" s="24">
        <f t="shared" si="19"/>
        <v>0</v>
      </c>
      <c r="W38" s="24">
        <f t="shared" si="19"/>
        <v>0</v>
      </c>
      <c r="X38" s="24">
        <f t="shared" si="19"/>
        <v>0</v>
      </c>
      <c r="Y38" s="24">
        <f t="shared" si="19"/>
        <v>0</v>
      </c>
      <c r="Z38" s="24">
        <f t="shared" si="19"/>
        <v>0</v>
      </c>
    </row>
    <row r="39" spans="3:26" ht="15" customHeight="1" outlineLevel="1" x14ac:dyDescent="0.3">
      <c r="C39" s="78" t="s">
        <v>66</v>
      </c>
      <c r="D39" s="92"/>
      <c r="E39" s="93" t="s">
        <v>70</v>
      </c>
      <c r="F39" s="92"/>
      <c r="G39" s="36">
        <f>AVERAGE(G37:G38)</f>
        <v>33480.65765390265</v>
      </c>
      <c r="H39" s="27"/>
      <c r="I39" s="27"/>
      <c r="J39" s="165">
        <f>SUM(L39:Z39)</f>
        <v>2539826.8929531374</v>
      </c>
      <c r="K39" s="27"/>
      <c r="L39" s="165">
        <f t="shared" ref="L39:Z39" si="20">SUM(L37:L38)</f>
        <v>0</v>
      </c>
      <c r="M39" s="165">
        <f t="shared" si="20"/>
        <v>141107.07826101244</v>
      </c>
      <c r="N39" s="165">
        <f t="shared" si="20"/>
        <v>846608.96431771247</v>
      </c>
      <c r="O39" s="165">
        <f t="shared" si="20"/>
        <v>846608.96431771247</v>
      </c>
      <c r="P39" s="165">
        <f t="shared" si="20"/>
        <v>705501.88605670002</v>
      </c>
      <c r="Q39" s="165">
        <f t="shared" si="20"/>
        <v>0</v>
      </c>
      <c r="R39" s="165">
        <f t="shared" si="20"/>
        <v>0</v>
      </c>
      <c r="S39" s="165">
        <f t="shared" si="20"/>
        <v>0</v>
      </c>
      <c r="T39" s="165">
        <f t="shared" si="20"/>
        <v>0</v>
      </c>
      <c r="U39" s="165">
        <f t="shared" si="20"/>
        <v>0</v>
      </c>
      <c r="V39" s="165">
        <f t="shared" si="20"/>
        <v>0</v>
      </c>
      <c r="W39" s="165">
        <f t="shared" si="20"/>
        <v>0</v>
      </c>
      <c r="X39" s="165">
        <f t="shared" si="20"/>
        <v>0</v>
      </c>
      <c r="Y39" s="165">
        <f t="shared" si="20"/>
        <v>0</v>
      </c>
      <c r="Z39" s="165">
        <f t="shared" si="20"/>
        <v>0</v>
      </c>
    </row>
    <row r="40" spans="3:26" ht="15" customHeight="1" outlineLevel="1" x14ac:dyDescent="0.3"/>
    <row r="41" spans="3:26" ht="15" customHeight="1" outlineLevel="1" x14ac:dyDescent="0.3">
      <c r="C41" s="94" t="s">
        <v>71</v>
      </c>
    </row>
    <row r="42" spans="3:26" ht="15" customHeight="1" outlineLevel="1" x14ac:dyDescent="0.3">
      <c r="C42" s="84" t="s">
        <v>72</v>
      </c>
      <c r="E42" s="76" t="s">
        <v>68</v>
      </c>
      <c r="L42" s="5">
        <v>0</v>
      </c>
      <c r="M42" s="5">
        <v>0.2</v>
      </c>
      <c r="N42" s="5">
        <v>0.3</v>
      </c>
      <c r="O42" s="5">
        <v>0.3</v>
      </c>
      <c r="P42" s="5">
        <v>0.15</v>
      </c>
      <c r="Q42" s="5">
        <v>0.05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</row>
    <row r="43" spans="3:26" ht="15" customHeight="1" outlineLevel="1" x14ac:dyDescent="0.3">
      <c r="C43" s="84" t="s">
        <v>73</v>
      </c>
      <c r="E43" s="76" t="s">
        <v>68</v>
      </c>
      <c r="L43" s="4">
        <f t="shared" ref="L43:Z43" si="21">K43+L42</f>
        <v>0</v>
      </c>
      <c r="M43" s="4">
        <f t="shared" si="21"/>
        <v>0.2</v>
      </c>
      <c r="N43" s="4">
        <f t="shared" si="21"/>
        <v>0.5</v>
      </c>
      <c r="O43" s="4">
        <f t="shared" si="21"/>
        <v>0.8</v>
      </c>
      <c r="P43" s="4">
        <f t="shared" si="21"/>
        <v>0.95000000000000007</v>
      </c>
      <c r="Q43" s="4">
        <f t="shared" si="21"/>
        <v>1</v>
      </c>
      <c r="R43" s="4">
        <f t="shared" si="21"/>
        <v>1</v>
      </c>
      <c r="S43" s="4">
        <f t="shared" si="21"/>
        <v>1</v>
      </c>
      <c r="T43" s="4">
        <f t="shared" si="21"/>
        <v>1</v>
      </c>
      <c r="U43" s="4">
        <f t="shared" si="21"/>
        <v>1</v>
      </c>
      <c r="V43" s="4">
        <f t="shared" si="21"/>
        <v>1</v>
      </c>
      <c r="W43" s="4">
        <f t="shared" si="21"/>
        <v>1</v>
      </c>
      <c r="X43" s="4">
        <f t="shared" si="21"/>
        <v>1</v>
      </c>
      <c r="Y43" s="4">
        <f t="shared" si="21"/>
        <v>1</v>
      </c>
      <c r="Z43" s="4">
        <f t="shared" si="21"/>
        <v>1</v>
      </c>
    </row>
    <row r="44" spans="3:26" ht="15" customHeight="1" outlineLevel="1" x14ac:dyDescent="0.3">
      <c r="M44" s="28"/>
    </row>
    <row r="45" spans="3:26" ht="15" customHeight="1" outlineLevel="1" x14ac:dyDescent="0.3">
      <c r="C45" s="66">
        <v>2025</v>
      </c>
      <c r="E45" s="76" t="s">
        <v>70</v>
      </c>
      <c r="G45" s="33">
        <f t="shared" ref="G45:G50" si="22">SUMIF($L$4:$Z$4,$C45,$L$39:$Z$39)</f>
        <v>0</v>
      </c>
      <c r="H45" s="19"/>
      <c r="I45" s="19"/>
      <c r="J45" s="164">
        <f t="shared" ref="J45:J50" si="23">SUM(L45:Z45)</f>
        <v>0</v>
      </c>
      <c r="K45" s="19"/>
      <c r="L45" s="24" cm="1">
        <f t="array" ref="L45">IF(L$4&lt;$C45,0,IF(L$4=$C45,SUMIF($L$4:$Z$4,$C45,$L$39:$Z$39)*INDEX($L$43:$Z$43,$C45-$L$4+1),SUMIF($L$4:$Z$4,$C45,$L$39:$Z$39)*L$42))</f>
        <v>0</v>
      </c>
      <c r="M45" s="24" cm="1">
        <f t="array" ref="M45">IF(M$4&lt;$C45,0,IF(M$4=$C45,SUMIF($L$4:$Z$4,$C45,$L$39:$Z$39)*INDEX($L$43:$Z$43,$C45-$L$4+1),SUMIF($L$4:$Z$4,$C45,$L$39:$Z$39)*M$42))</f>
        <v>0</v>
      </c>
      <c r="N45" s="24" cm="1">
        <f t="array" ref="N45">IF(N$4&lt;$C45,0,IF(N$4=$C45,SUMIF($L$4:$Z$4,$C45,$L$39:$Z$39)*INDEX($L$43:$Z$43,$C45-$L$4+1),SUMIF($L$4:$Z$4,$C45,$L$39:$Z$39)*N$42))</f>
        <v>0</v>
      </c>
      <c r="O45" s="24" cm="1">
        <f t="array" ref="O45">IF(O$4&lt;$C45,0,IF(O$4=$C45,SUMIF($L$4:$Z$4,$C45,$L$39:$Z$39)*INDEX($L$43:$Z$43,$C45-$L$4+1),SUMIF($L$4:$Z$4,$C45,$L$39:$Z$39)*O$42))</f>
        <v>0</v>
      </c>
      <c r="P45" s="24" cm="1">
        <f t="array" ref="P45">IF(P$4&lt;$C45,0,IF(P$4=$C45,SUMIF($L$4:$Z$4,$C45,$L$39:$Z$39)*INDEX($L$43:$Z$43,$C45-$L$4+1),SUMIF($L$4:$Z$4,$C45,$L$39:$Z$39)*P$42))</f>
        <v>0</v>
      </c>
      <c r="Q45" s="24" cm="1">
        <f t="array" ref="Q45">IF(Q$4&lt;$C45,0,IF(Q$4=$C45,SUMIF($L$4:$Z$4,$C45,$L$39:$Z$39)*INDEX($L$43:$Z$43,$C45-$L$4+1),SUMIF($L$4:$Z$4,$C45,$L$39:$Z$39)*Q$42))</f>
        <v>0</v>
      </c>
      <c r="R45" s="24" cm="1">
        <f t="array" ref="R45">IF(R$4&lt;$C45,0,IF(R$4=$C45,SUMIF($L$4:$Z$4,$C45,$L$39:$Z$39)*INDEX($L$43:$Z$43,$C45-$L$4+1),SUMIF($L$4:$Z$4,$C45,$L$39:$Z$39)*R$42))</f>
        <v>0</v>
      </c>
      <c r="S45" s="24" cm="1">
        <f t="array" ref="S45">IF(S$4&lt;$C45,0,IF(S$4=$C45,SUMIF($L$4:$Z$4,$C45,$L$39:$Z$39)*INDEX($L$43:$Z$43,$C45-$L$4+1),SUMIF($L$4:$Z$4,$C45,$L$39:$Z$39)*S$42))</f>
        <v>0</v>
      </c>
      <c r="T45" s="24" cm="1">
        <f t="array" ref="T45">IF(T$4&lt;$C45,0,IF(T$4=$C45,SUMIF($L$4:$Z$4,$C45,$L$39:$Z$39)*INDEX($L$43:$Z$43,$C45-$L$4+1),SUMIF($L$4:$Z$4,$C45,$L$39:$Z$39)*T$42))</f>
        <v>0</v>
      </c>
      <c r="U45" s="24" cm="1">
        <f t="array" ref="U45">IF(U$4&lt;$C45,0,IF(U$4=$C45,SUMIF($L$4:$Z$4,$C45,$L$39:$Z$39)*INDEX($L$43:$Z$43,$C45-$L$4+1),SUMIF($L$4:$Z$4,$C45,$L$39:$Z$39)*U$42))</f>
        <v>0</v>
      </c>
      <c r="V45" s="24" cm="1">
        <f t="array" ref="V45">IF(V$4&lt;$C45,0,IF(V$4=$C45,SUMIF($L$4:$Z$4,$C45,$L$39:$Z$39)*INDEX($L$43:$Z$43,$C45-$L$4+1),SUMIF($L$4:$Z$4,$C45,$L$39:$Z$39)*V$42))</f>
        <v>0</v>
      </c>
      <c r="W45" s="24" cm="1">
        <f t="array" ref="W45">IF(W$4&lt;$C45,0,IF(W$4=$C45,SUMIF($L$4:$Z$4,$C45,$L$39:$Z$39)*INDEX($L$43:$Z$43,$C45-$L$4+1),SUMIF($L$4:$Z$4,$C45,$L$39:$Z$39)*W$42))</f>
        <v>0</v>
      </c>
      <c r="X45" s="24" cm="1">
        <f t="array" ref="X45">IF(X$4&lt;$C45,0,IF(X$4=$C45,SUMIF($L$4:$Z$4,$C45,$L$39:$Z$39)*INDEX($L$43:$Z$43,$C45-$L$4+1),SUMIF($L$4:$Z$4,$C45,$L$39:$Z$39)*X$42))</f>
        <v>0</v>
      </c>
      <c r="Y45" s="24" cm="1">
        <f t="array" ref="Y45">IF(Y$4&lt;$C45,0,IF(Y$4=$C45,SUMIF($L$4:$Z$4,$C45,$L$39:$Z$39)*INDEX($L$43:$Z$43,$C45-$L$4+1),SUMIF($L$4:$Z$4,$C45,$L$39:$Z$39)*Y$42))</f>
        <v>0</v>
      </c>
      <c r="Z45" s="24" cm="1">
        <f t="array" ref="Z45">IF(Z$4&lt;$C45,0,IF(Z$4=$C45,SUMIF($L$4:$Z$4,$C45,$L$39:$Z$39)*INDEX($L$43:$Z$43,$C45-$L$4+1),SUMIF($L$4:$Z$4,$C45,$L$39:$Z$39)*Z$42))</f>
        <v>0</v>
      </c>
    </row>
    <row r="46" spans="3:26" ht="15" customHeight="1" outlineLevel="1" x14ac:dyDescent="0.3">
      <c r="C46" s="23">
        <f>C45+1</f>
        <v>2026</v>
      </c>
      <c r="E46" s="76" t="s">
        <v>70</v>
      </c>
      <c r="G46" s="33">
        <f t="shared" si="22"/>
        <v>141107.07826101244</v>
      </c>
      <c r="H46" s="19"/>
      <c r="I46" s="19"/>
      <c r="J46" s="164">
        <f t="shared" si="23"/>
        <v>141107.07826101242</v>
      </c>
      <c r="K46" s="19"/>
      <c r="L46" s="24" cm="1">
        <f t="array" ref="L46">IF(L$4&lt;$C46,0,IF(L$4=$C46,SUMIF($L$4:$Z$4,$C46,$L$39:$Z$39)*INDEX($L$43:$Z$43,$C46-$L$4+1),SUMIF($L$4:$Z$4,$C46,$L$39:$Z$39)*L$42))</f>
        <v>0</v>
      </c>
      <c r="M46" s="24" cm="1">
        <f t="array" ref="M46">IF(M$4&lt;$C46,0,IF(M$4=$C46,SUMIF($L$4:$Z$4,$C46,$L$39:$Z$39)*INDEX($L$43:$Z$43,$C46-$L$4+1),SUMIF($L$4:$Z$4,$C46,$L$39:$Z$39)*M$42))</f>
        <v>28221.41565220249</v>
      </c>
      <c r="N46" s="24" cm="1">
        <f t="array" ref="N46">IF(N$4&lt;$C46,0,IF(N$4=$C46,SUMIF($L$4:$Z$4,$C46,$L$39:$Z$39)*INDEX($L$43:$Z$43,$C46-$L$4+1),SUMIF($L$4:$Z$4,$C46,$L$39:$Z$39)*N$42))</f>
        <v>42332.123478303729</v>
      </c>
      <c r="O46" s="24" cm="1">
        <f t="array" ref="O46">IF(O$4&lt;$C46,0,IF(O$4=$C46,SUMIF($L$4:$Z$4,$C46,$L$39:$Z$39)*INDEX($L$43:$Z$43,$C46-$L$4+1),SUMIF($L$4:$Z$4,$C46,$L$39:$Z$39)*O$42))</f>
        <v>42332.123478303729</v>
      </c>
      <c r="P46" s="24" cm="1">
        <f t="array" ref="P46">IF(P$4&lt;$C46,0,IF(P$4=$C46,SUMIF($L$4:$Z$4,$C46,$L$39:$Z$39)*INDEX($L$43:$Z$43,$C46-$L$4+1),SUMIF($L$4:$Z$4,$C46,$L$39:$Z$39)*P$42))</f>
        <v>21166.061739151864</v>
      </c>
      <c r="Q46" s="24" cm="1">
        <f t="array" ref="Q46">IF(Q$4&lt;$C46,0,IF(Q$4=$C46,SUMIF($L$4:$Z$4,$C46,$L$39:$Z$39)*INDEX($L$43:$Z$43,$C46-$L$4+1),SUMIF($L$4:$Z$4,$C46,$L$39:$Z$39)*Q$42))</f>
        <v>7055.3539130506224</v>
      </c>
      <c r="R46" s="24" cm="1">
        <f t="array" ref="R46">IF(R$4&lt;$C46,0,IF(R$4=$C46,SUMIF($L$4:$Z$4,$C46,$L$39:$Z$39)*INDEX($L$43:$Z$43,$C46-$L$4+1),SUMIF($L$4:$Z$4,$C46,$L$39:$Z$39)*R$42))</f>
        <v>0</v>
      </c>
      <c r="S46" s="24" cm="1">
        <f t="array" ref="S46">IF(S$4&lt;$C46,0,IF(S$4=$C46,SUMIF($L$4:$Z$4,$C46,$L$39:$Z$39)*INDEX($L$43:$Z$43,$C46-$L$4+1),SUMIF($L$4:$Z$4,$C46,$L$39:$Z$39)*S$42))</f>
        <v>0</v>
      </c>
      <c r="T46" s="24" cm="1">
        <f t="array" ref="T46">IF(T$4&lt;$C46,0,IF(T$4=$C46,SUMIF($L$4:$Z$4,$C46,$L$39:$Z$39)*INDEX($L$43:$Z$43,$C46-$L$4+1),SUMIF($L$4:$Z$4,$C46,$L$39:$Z$39)*T$42))</f>
        <v>0</v>
      </c>
      <c r="U46" s="24" cm="1">
        <f t="array" ref="U46">IF(U$4&lt;$C46,0,IF(U$4=$C46,SUMIF($L$4:$Z$4,$C46,$L$39:$Z$39)*INDEX($L$43:$Z$43,$C46-$L$4+1),SUMIF($L$4:$Z$4,$C46,$L$39:$Z$39)*U$42))</f>
        <v>0</v>
      </c>
      <c r="V46" s="24" cm="1">
        <f t="array" ref="V46">IF(V$4&lt;$C46,0,IF(V$4=$C46,SUMIF($L$4:$Z$4,$C46,$L$39:$Z$39)*INDEX($L$43:$Z$43,$C46-$L$4+1),SUMIF($L$4:$Z$4,$C46,$L$39:$Z$39)*V$42))</f>
        <v>0</v>
      </c>
      <c r="W46" s="24" cm="1">
        <f t="array" ref="W46">IF(W$4&lt;$C46,0,IF(W$4=$C46,SUMIF($L$4:$Z$4,$C46,$L$39:$Z$39)*INDEX($L$43:$Z$43,$C46-$L$4+1),SUMIF($L$4:$Z$4,$C46,$L$39:$Z$39)*W$42))</f>
        <v>0</v>
      </c>
      <c r="X46" s="24" cm="1">
        <f t="array" ref="X46">IF(X$4&lt;$C46,0,IF(X$4=$C46,SUMIF($L$4:$Z$4,$C46,$L$39:$Z$39)*INDEX($L$43:$Z$43,$C46-$L$4+1),SUMIF($L$4:$Z$4,$C46,$L$39:$Z$39)*X$42))</f>
        <v>0</v>
      </c>
      <c r="Y46" s="24" cm="1">
        <f t="array" ref="Y46">IF(Y$4&lt;$C46,0,IF(Y$4=$C46,SUMIF($L$4:$Z$4,$C46,$L$39:$Z$39)*INDEX($L$43:$Z$43,$C46-$L$4+1),SUMIF($L$4:$Z$4,$C46,$L$39:$Z$39)*Y$42))</f>
        <v>0</v>
      </c>
      <c r="Z46" s="24" cm="1">
        <f t="array" ref="Z46">IF(Z$4&lt;$C46,0,IF(Z$4=$C46,SUMIF($L$4:$Z$4,$C46,$L$39:$Z$39)*INDEX($L$43:$Z$43,$C46-$L$4+1),SUMIF($L$4:$Z$4,$C46,$L$39:$Z$39)*Z$42))</f>
        <v>0</v>
      </c>
    </row>
    <row r="47" spans="3:26" ht="15" customHeight="1" outlineLevel="1" x14ac:dyDescent="0.3">
      <c r="C47" s="23">
        <f>C46+1</f>
        <v>2027</v>
      </c>
      <c r="E47" s="76" t="s">
        <v>70</v>
      </c>
      <c r="G47" s="33">
        <f t="shared" si="22"/>
        <v>846608.96431771247</v>
      </c>
      <c r="H47" s="19"/>
      <c r="I47" s="19"/>
      <c r="J47" s="164">
        <f t="shared" si="23"/>
        <v>846608.96431771258</v>
      </c>
      <c r="K47" s="19"/>
      <c r="L47" s="24" cm="1">
        <f t="array" ref="L47">IF(L$4&lt;$C47,0,IF(L$4=$C47,SUMIF($L$4:$Z$4,$C47,$L$39:$Z$39)*INDEX($L$43:$Z$43,$C47-$L$4+1),SUMIF($L$4:$Z$4,$C47,$L$39:$Z$39)*L$42))</f>
        <v>0</v>
      </c>
      <c r="M47" s="24" cm="1">
        <f t="array" ref="M47">IF(M$4&lt;$C47,0,IF(M$4=$C47,SUMIF($L$4:$Z$4,$C47,$L$39:$Z$39)*INDEX($L$43:$Z$43,$C47-$L$4+1),SUMIF($L$4:$Z$4,$C47,$L$39:$Z$39)*M$42))</f>
        <v>0</v>
      </c>
      <c r="N47" s="24" cm="1">
        <f t="array" ref="N47">IF(N$4&lt;$C47,0,IF(N$4=$C47,SUMIF($L$4:$Z$4,$C47,$L$39:$Z$39)*INDEX($L$43:$Z$43,$C47-$L$4+1),SUMIF($L$4:$Z$4,$C47,$L$39:$Z$39)*N$42))</f>
        <v>423304.48215885623</v>
      </c>
      <c r="O47" s="24" cm="1">
        <f t="array" ref="O47">IF(O$4&lt;$C47,0,IF(O$4=$C47,SUMIF($L$4:$Z$4,$C47,$L$39:$Z$39)*INDEX($L$43:$Z$43,$C47-$L$4+1),SUMIF($L$4:$Z$4,$C47,$L$39:$Z$39)*O$42))</f>
        <v>253982.68929531373</v>
      </c>
      <c r="P47" s="24" cm="1">
        <f t="array" ref="P47">IF(P$4&lt;$C47,0,IF(P$4=$C47,SUMIF($L$4:$Z$4,$C47,$L$39:$Z$39)*INDEX($L$43:$Z$43,$C47-$L$4+1),SUMIF($L$4:$Z$4,$C47,$L$39:$Z$39)*P$42))</f>
        <v>126991.34464765686</v>
      </c>
      <c r="Q47" s="24" cm="1">
        <f t="array" ref="Q47">IF(Q$4&lt;$C47,0,IF(Q$4=$C47,SUMIF($L$4:$Z$4,$C47,$L$39:$Z$39)*INDEX($L$43:$Z$43,$C47-$L$4+1),SUMIF($L$4:$Z$4,$C47,$L$39:$Z$39)*Q$42))</f>
        <v>42330.448215885626</v>
      </c>
      <c r="R47" s="24" cm="1">
        <f t="array" ref="R47">IF(R$4&lt;$C47,0,IF(R$4=$C47,SUMIF($L$4:$Z$4,$C47,$L$39:$Z$39)*INDEX($L$43:$Z$43,$C47-$L$4+1),SUMIF($L$4:$Z$4,$C47,$L$39:$Z$39)*R$42))</f>
        <v>0</v>
      </c>
      <c r="S47" s="24" cm="1">
        <f t="array" ref="S47">IF(S$4&lt;$C47,0,IF(S$4=$C47,SUMIF($L$4:$Z$4,$C47,$L$39:$Z$39)*INDEX($L$43:$Z$43,$C47-$L$4+1),SUMIF($L$4:$Z$4,$C47,$L$39:$Z$39)*S$42))</f>
        <v>0</v>
      </c>
      <c r="T47" s="24" cm="1">
        <f t="array" ref="T47">IF(T$4&lt;$C47,0,IF(T$4=$C47,SUMIF($L$4:$Z$4,$C47,$L$39:$Z$39)*INDEX($L$43:$Z$43,$C47-$L$4+1),SUMIF($L$4:$Z$4,$C47,$L$39:$Z$39)*T$42))</f>
        <v>0</v>
      </c>
      <c r="U47" s="24" cm="1">
        <f t="array" ref="U47">IF(U$4&lt;$C47,0,IF(U$4=$C47,SUMIF($L$4:$Z$4,$C47,$L$39:$Z$39)*INDEX($L$43:$Z$43,$C47-$L$4+1),SUMIF($L$4:$Z$4,$C47,$L$39:$Z$39)*U$42))</f>
        <v>0</v>
      </c>
      <c r="V47" s="24" cm="1">
        <f t="array" ref="V47">IF(V$4&lt;$C47,0,IF(V$4=$C47,SUMIF($L$4:$Z$4,$C47,$L$39:$Z$39)*INDEX($L$43:$Z$43,$C47-$L$4+1),SUMIF($L$4:$Z$4,$C47,$L$39:$Z$39)*V$42))</f>
        <v>0</v>
      </c>
      <c r="W47" s="24" cm="1">
        <f t="array" ref="W47">IF(W$4&lt;$C47,0,IF(W$4=$C47,SUMIF($L$4:$Z$4,$C47,$L$39:$Z$39)*INDEX($L$43:$Z$43,$C47-$L$4+1),SUMIF($L$4:$Z$4,$C47,$L$39:$Z$39)*W$42))</f>
        <v>0</v>
      </c>
      <c r="X47" s="24" cm="1">
        <f t="array" ref="X47">IF(X$4&lt;$C47,0,IF(X$4=$C47,SUMIF($L$4:$Z$4,$C47,$L$39:$Z$39)*INDEX($L$43:$Z$43,$C47-$L$4+1),SUMIF($L$4:$Z$4,$C47,$L$39:$Z$39)*X$42))</f>
        <v>0</v>
      </c>
      <c r="Y47" s="24" cm="1">
        <f t="array" ref="Y47">IF(Y$4&lt;$C47,0,IF(Y$4=$C47,SUMIF($L$4:$Z$4,$C47,$L$39:$Z$39)*INDEX($L$43:$Z$43,$C47-$L$4+1),SUMIF($L$4:$Z$4,$C47,$L$39:$Z$39)*Y$42))</f>
        <v>0</v>
      </c>
      <c r="Z47" s="24" cm="1">
        <f t="array" ref="Z47">IF(Z$4&lt;$C47,0,IF(Z$4=$C47,SUMIF($L$4:$Z$4,$C47,$L$39:$Z$39)*INDEX($L$43:$Z$43,$C47-$L$4+1),SUMIF($L$4:$Z$4,$C47,$L$39:$Z$39)*Z$42))</f>
        <v>0</v>
      </c>
    </row>
    <row r="48" spans="3:26" ht="15" customHeight="1" outlineLevel="1" x14ac:dyDescent="0.3">
      <c r="C48" s="23">
        <f>C47+1</f>
        <v>2028</v>
      </c>
      <c r="E48" s="76" t="s">
        <v>70</v>
      </c>
      <c r="G48" s="33">
        <f t="shared" si="22"/>
        <v>846608.96431771247</v>
      </c>
      <c r="H48" s="19"/>
      <c r="I48" s="19"/>
      <c r="J48" s="164">
        <f t="shared" si="23"/>
        <v>846608.96431771258</v>
      </c>
      <c r="K48" s="19"/>
      <c r="L48" s="24" cm="1">
        <f t="array" ref="L48">IF(L$4&lt;$C48,0,IF(L$4=$C48,SUMIF($L$4:$Z$4,$C48,$L$39:$Z$39)*INDEX($L$43:$Z$43,$C48-$L$4+1),SUMIF($L$4:$Z$4,$C48,$L$39:$Z$39)*L$42))</f>
        <v>0</v>
      </c>
      <c r="M48" s="24" cm="1">
        <f t="array" ref="M48">IF(M$4&lt;$C48,0,IF(M$4=$C48,SUMIF($L$4:$Z$4,$C48,$L$39:$Z$39)*INDEX($L$43:$Z$43,$C48-$L$4+1),SUMIF($L$4:$Z$4,$C48,$L$39:$Z$39)*M$42))</f>
        <v>0</v>
      </c>
      <c r="N48" s="24" cm="1">
        <f t="array" ref="N48">IF(N$4&lt;$C48,0,IF(N$4=$C48,SUMIF($L$4:$Z$4,$C48,$L$39:$Z$39)*INDEX($L$43:$Z$43,$C48-$L$4+1),SUMIF($L$4:$Z$4,$C48,$L$39:$Z$39)*N$42))</f>
        <v>0</v>
      </c>
      <c r="O48" s="24" cm="1">
        <f t="array" ref="O48">IF(O$4&lt;$C48,0,IF(O$4=$C48,SUMIF($L$4:$Z$4,$C48,$L$39:$Z$39)*INDEX($L$43:$Z$43,$C48-$L$4+1),SUMIF($L$4:$Z$4,$C48,$L$39:$Z$39)*O$42))</f>
        <v>677287.17145417002</v>
      </c>
      <c r="P48" s="24" cm="1">
        <f t="array" ref="P48">IF(P$4&lt;$C48,0,IF(P$4=$C48,SUMIF($L$4:$Z$4,$C48,$L$39:$Z$39)*INDEX($L$43:$Z$43,$C48-$L$4+1),SUMIF($L$4:$Z$4,$C48,$L$39:$Z$39)*P$42))</f>
        <v>126991.34464765686</v>
      </c>
      <c r="Q48" s="24" cm="1">
        <f t="array" ref="Q48">IF(Q$4&lt;$C48,0,IF(Q$4=$C48,SUMIF($L$4:$Z$4,$C48,$L$39:$Z$39)*INDEX($L$43:$Z$43,$C48-$L$4+1),SUMIF($L$4:$Z$4,$C48,$L$39:$Z$39)*Q$42))</f>
        <v>42330.448215885626</v>
      </c>
      <c r="R48" s="24" cm="1">
        <f t="array" ref="R48">IF(R$4&lt;$C48,0,IF(R$4=$C48,SUMIF($L$4:$Z$4,$C48,$L$39:$Z$39)*INDEX($L$43:$Z$43,$C48-$L$4+1),SUMIF($L$4:$Z$4,$C48,$L$39:$Z$39)*R$42))</f>
        <v>0</v>
      </c>
      <c r="S48" s="24" cm="1">
        <f t="array" ref="S48">IF(S$4&lt;$C48,0,IF(S$4=$C48,SUMIF($L$4:$Z$4,$C48,$L$39:$Z$39)*INDEX($L$43:$Z$43,$C48-$L$4+1),SUMIF($L$4:$Z$4,$C48,$L$39:$Z$39)*S$42))</f>
        <v>0</v>
      </c>
      <c r="T48" s="24" cm="1">
        <f t="array" ref="T48">IF(T$4&lt;$C48,0,IF(T$4=$C48,SUMIF($L$4:$Z$4,$C48,$L$39:$Z$39)*INDEX($L$43:$Z$43,$C48-$L$4+1),SUMIF($L$4:$Z$4,$C48,$L$39:$Z$39)*T$42))</f>
        <v>0</v>
      </c>
      <c r="U48" s="24" cm="1">
        <f t="array" ref="U48">IF(U$4&lt;$C48,0,IF(U$4=$C48,SUMIF($L$4:$Z$4,$C48,$L$39:$Z$39)*INDEX($L$43:$Z$43,$C48-$L$4+1),SUMIF($L$4:$Z$4,$C48,$L$39:$Z$39)*U$42))</f>
        <v>0</v>
      </c>
      <c r="V48" s="24" cm="1">
        <f t="array" ref="V48">IF(V$4&lt;$C48,0,IF(V$4=$C48,SUMIF($L$4:$Z$4,$C48,$L$39:$Z$39)*INDEX($L$43:$Z$43,$C48-$L$4+1),SUMIF($L$4:$Z$4,$C48,$L$39:$Z$39)*V$42))</f>
        <v>0</v>
      </c>
      <c r="W48" s="24" cm="1">
        <f t="array" ref="W48">IF(W$4&lt;$C48,0,IF(W$4=$C48,SUMIF($L$4:$Z$4,$C48,$L$39:$Z$39)*INDEX($L$43:$Z$43,$C48-$L$4+1),SUMIF($L$4:$Z$4,$C48,$L$39:$Z$39)*W$42))</f>
        <v>0</v>
      </c>
      <c r="X48" s="24" cm="1">
        <f t="array" ref="X48">IF(X$4&lt;$C48,0,IF(X$4=$C48,SUMIF($L$4:$Z$4,$C48,$L$39:$Z$39)*INDEX($L$43:$Z$43,$C48-$L$4+1),SUMIF($L$4:$Z$4,$C48,$L$39:$Z$39)*X$42))</f>
        <v>0</v>
      </c>
      <c r="Y48" s="24" cm="1">
        <f t="array" ref="Y48">IF(Y$4&lt;$C48,0,IF(Y$4=$C48,SUMIF($L$4:$Z$4,$C48,$L$39:$Z$39)*INDEX($L$43:$Z$43,$C48-$L$4+1),SUMIF($L$4:$Z$4,$C48,$L$39:$Z$39)*Y$42))</f>
        <v>0</v>
      </c>
      <c r="Z48" s="24" cm="1">
        <f t="array" ref="Z48">IF(Z$4&lt;$C48,0,IF(Z$4=$C48,SUMIF($L$4:$Z$4,$C48,$L$39:$Z$39)*INDEX($L$43:$Z$43,$C48-$L$4+1),SUMIF($L$4:$Z$4,$C48,$L$39:$Z$39)*Z$42))</f>
        <v>0</v>
      </c>
    </row>
    <row r="49" spans="2:26" ht="15" customHeight="1" outlineLevel="1" x14ac:dyDescent="0.3">
      <c r="C49" s="23">
        <f>C48+1</f>
        <v>2029</v>
      </c>
      <c r="E49" s="76" t="s">
        <v>70</v>
      </c>
      <c r="G49" s="33">
        <f t="shared" si="22"/>
        <v>705501.88605670002</v>
      </c>
      <c r="H49" s="19"/>
      <c r="I49" s="19"/>
      <c r="J49" s="164">
        <f t="shared" si="23"/>
        <v>705501.88605670002</v>
      </c>
      <c r="K49" s="19"/>
      <c r="L49" s="24" cm="1">
        <f t="array" ref="L49">IF(L$4&lt;$C49,0,IF(L$4=$C49,SUMIF($L$4:$Z$4,$C49,$L$39:$Z$39)*INDEX($L$43:$Z$43,$C49-$L$4+1),SUMIF($L$4:$Z$4,$C49,$L$39:$Z$39)*L$42))</f>
        <v>0</v>
      </c>
      <c r="M49" s="24" cm="1">
        <f t="array" ref="M49">IF(M$4&lt;$C49,0,IF(M$4=$C49,SUMIF($L$4:$Z$4,$C49,$L$39:$Z$39)*INDEX($L$43:$Z$43,$C49-$L$4+1),SUMIF($L$4:$Z$4,$C49,$L$39:$Z$39)*M$42))</f>
        <v>0</v>
      </c>
      <c r="N49" s="24" cm="1">
        <f t="array" ref="N49">IF(N$4&lt;$C49,0,IF(N$4=$C49,SUMIF($L$4:$Z$4,$C49,$L$39:$Z$39)*INDEX($L$43:$Z$43,$C49-$L$4+1),SUMIF($L$4:$Z$4,$C49,$L$39:$Z$39)*N$42))</f>
        <v>0</v>
      </c>
      <c r="O49" s="24" cm="1">
        <f t="array" ref="O49">IF(O$4&lt;$C49,0,IF(O$4=$C49,SUMIF($L$4:$Z$4,$C49,$L$39:$Z$39)*INDEX($L$43:$Z$43,$C49-$L$4+1),SUMIF($L$4:$Z$4,$C49,$L$39:$Z$39)*O$42))</f>
        <v>0</v>
      </c>
      <c r="P49" s="24" cm="1">
        <f t="array" ref="P49">IF(P$4&lt;$C49,0,IF(P$4=$C49,SUMIF($L$4:$Z$4,$C49,$L$39:$Z$39)*INDEX($L$43:$Z$43,$C49-$L$4+1),SUMIF($L$4:$Z$4,$C49,$L$39:$Z$39)*P$42))</f>
        <v>670226.79175386508</v>
      </c>
      <c r="Q49" s="24" cm="1">
        <f t="array" ref="Q49">IF(Q$4&lt;$C49,0,IF(Q$4=$C49,SUMIF($L$4:$Z$4,$C49,$L$39:$Z$39)*INDEX($L$43:$Z$43,$C49-$L$4+1),SUMIF($L$4:$Z$4,$C49,$L$39:$Z$39)*Q$42))</f>
        <v>35275.094302835001</v>
      </c>
      <c r="R49" s="24" cm="1">
        <f t="array" ref="R49">IF(R$4&lt;$C49,0,IF(R$4=$C49,SUMIF($L$4:$Z$4,$C49,$L$39:$Z$39)*INDEX($L$43:$Z$43,$C49-$L$4+1),SUMIF($L$4:$Z$4,$C49,$L$39:$Z$39)*R$42))</f>
        <v>0</v>
      </c>
      <c r="S49" s="24" cm="1">
        <f t="array" ref="S49">IF(S$4&lt;$C49,0,IF(S$4=$C49,SUMIF($L$4:$Z$4,$C49,$L$39:$Z$39)*INDEX($L$43:$Z$43,$C49-$L$4+1),SUMIF($L$4:$Z$4,$C49,$L$39:$Z$39)*S$42))</f>
        <v>0</v>
      </c>
      <c r="T49" s="24" cm="1">
        <f t="array" ref="T49">IF(T$4&lt;$C49,0,IF(T$4=$C49,SUMIF($L$4:$Z$4,$C49,$L$39:$Z$39)*INDEX($L$43:$Z$43,$C49-$L$4+1),SUMIF($L$4:$Z$4,$C49,$L$39:$Z$39)*T$42))</f>
        <v>0</v>
      </c>
      <c r="U49" s="24" cm="1">
        <f t="array" ref="U49">IF(U$4&lt;$C49,0,IF(U$4=$C49,SUMIF($L$4:$Z$4,$C49,$L$39:$Z$39)*INDEX($L$43:$Z$43,$C49-$L$4+1),SUMIF($L$4:$Z$4,$C49,$L$39:$Z$39)*U$42))</f>
        <v>0</v>
      </c>
      <c r="V49" s="24" cm="1">
        <f t="array" ref="V49">IF(V$4&lt;$C49,0,IF(V$4=$C49,SUMIF($L$4:$Z$4,$C49,$L$39:$Z$39)*INDEX($L$43:$Z$43,$C49-$L$4+1),SUMIF($L$4:$Z$4,$C49,$L$39:$Z$39)*V$42))</f>
        <v>0</v>
      </c>
      <c r="W49" s="24" cm="1">
        <f t="array" ref="W49">IF(W$4&lt;$C49,0,IF(W$4=$C49,SUMIF($L$4:$Z$4,$C49,$L$39:$Z$39)*INDEX($L$43:$Z$43,$C49-$L$4+1),SUMIF($L$4:$Z$4,$C49,$L$39:$Z$39)*W$42))</f>
        <v>0</v>
      </c>
      <c r="X49" s="24" cm="1">
        <f t="array" ref="X49">IF(X$4&lt;$C49,0,IF(X$4=$C49,SUMIF($L$4:$Z$4,$C49,$L$39:$Z$39)*INDEX($L$43:$Z$43,$C49-$L$4+1),SUMIF($L$4:$Z$4,$C49,$L$39:$Z$39)*X$42))</f>
        <v>0</v>
      </c>
      <c r="Y49" s="24" cm="1">
        <f t="array" ref="Y49">IF(Y$4&lt;$C49,0,IF(Y$4=$C49,SUMIF($L$4:$Z$4,$C49,$L$39:$Z$39)*INDEX($L$43:$Z$43,$C49-$L$4+1),SUMIF($L$4:$Z$4,$C49,$L$39:$Z$39)*Y$42))</f>
        <v>0</v>
      </c>
      <c r="Z49" s="24" cm="1">
        <f t="array" ref="Z49">IF(Z$4&lt;$C49,0,IF(Z$4=$C49,SUMIF($L$4:$Z$4,$C49,$L$39:$Z$39)*INDEX($L$43:$Z$43,$C49-$L$4+1),SUMIF($L$4:$Z$4,$C49,$L$39:$Z$39)*Z$42))</f>
        <v>0</v>
      </c>
    </row>
    <row r="50" spans="2:26" ht="15" customHeight="1" outlineLevel="1" x14ac:dyDescent="0.3">
      <c r="C50" s="23">
        <f>C49+1</f>
        <v>2030</v>
      </c>
      <c r="E50" s="76" t="s">
        <v>70</v>
      </c>
      <c r="G50" s="33">
        <f t="shared" si="22"/>
        <v>0</v>
      </c>
      <c r="H50" s="19"/>
      <c r="I50" s="19"/>
      <c r="J50" s="164">
        <f t="shared" si="23"/>
        <v>0</v>
      </c>
      <c r="K50" s="19"/>
      <c r="L50" s="24" cm="1">
        <f t="array" ref="L50">IF(L$4&lt;$C50,0,IF(L$4=$C50,SUMIF($L$4:$Z$4,$C50,$L$39:$Z$39)*INDEX($L$43:$Z$43,$C50-$L$4+1),SUMIF($L$4:$Z$4,$C50,$L$39:$Z$39)*L$42))</f>
        <v>0</v>
      </c>
      <c r="M50" s="24" cm="1">
        <f t="array" ref="M50">IF(M$4&lt;$C50,0,IF(M$4=$C50,SUMIF($L$4:$Z$4,$C50,$L$39:$Z$39)*INDEX($L$43:$Z$43,$C50-$L$4+1),SUMIF($L$4:$Z$4,$C50,$L$39:$Z$39)*M$42))</f>
        <v>0</v>
      </c>
      <c r="N50" s="24" cm="1">
        <f t="array" ref="N50">IF(N$4&lt;$C50,0,IF(N$4=$C50,SUMIF($L$4:$Z$4,$C50,$L$39:$Z$39)*INDEX($L$43:$Z$43,$C50-$L$4+1),SUMIF($L$4:$Z$4,$C50,$L$39:$Z$39)*N$42))</f>
        <v>0</v>
      </c>
      <c r="O50" s="24" cm="1">
        <f t="array" ref="O50">IF(O$4&lt;$C50,0,IF(O$4=$C50,SUMIF($L$4:$Z$4,$C50,$L$39:$Z$39)*INDEX($L$43:$Z$43,$C50-$L$4+1),SUMIF($L$4:$Z$4,$C50,$L$39:$Z$39)*O$42))</f>
        <v>0</v>
      </c>
      <c r="P50" s="24" cm="1">
        <f t="array" ref="P50">IF(P$4&lt;$C50,0,IF(P$4=$C50,SUMIF($L$4:$Z$4,$C50,$L$39:$Z$39)*INDEX($L$43:$Z$43,$C50-$L$4+1),SUMIF($L$4:$Z$4,$C50,$L$39:$Z$39)*P$42))</f>
        <v>0</v>
      </c>
      <c r="Q50" s="24" cm="1">
        <f t="array" ref="Q50">IF(Q$4&lt;$C50,0,IF(Q$4=$C50,SUMIF($L$4:$Z$4,$C50,$L$39:$Z$39)*INDEX($L$43:$Z$43,$C50-$L$4+1),SUMIF($L$4:$Z$4,$C50,$L$39:$Z$39)*Q$42))</f>
        <v>0</v>
      </c>
      <c r="R50" s="24" cm="1">
        <f t="array" ref="R50">IF(R$4&lt;$C50,0,IF(R$4=$C50,SUMIF($L$4:$Z$4,$C50,$L$39:$Z$39)*INDEX($L$43:$Z$43,$C50-$L$4+1),SUMIF($L$4:$Z$4,$C50,$L$39:$Z$39)*R$42))</f>
        <v>0</v>
      </c>
      <c r="S50" s="24" cm="1">
        <f t="array" ref="S50">IF(S$4&lt;$C50,0,IF(S$4=$C50,SUMIF($L$4:$Z$4,$C50,$L$39:$Z$39)*INDEX($L$43:$Z$43,$C50-$L$4+1),SUMIF($L$4:$Z$4,$C50,$L$39:$Z$39)*S$42))</f>
        <v>0</v>
      </c>
      <c r="T50" s="24" cm="1">
        <f t="array" ref="T50">IF(T$4&lt;$C50,0,IF(T$4=$C50,SUMIF($L$4:$Z$4,$C50,$L$39:$Z$39)*INDEX($L$43:$Z$43,$C50-$L$4+1),SUMIF($L$4:$Z$4,$C50,$L$39:$Z$39)*T$42))</f>
        <v>0</v>
      </c>
      <c r="U50" s="24" cm="1">
        <f t="array" ref="U50">IF(U$4&lt;$C50,0,IF(U$4=$C50,SUMIF($L$4:$Z$4,$C50,$L$39:$Z$39)*INDEX($L$43:$Z$43,$C50-$L$4+1),SUMIF($L$4:$Z$4,$C50,$L$39:$Z$39)*U$42))</f>
        <v>0</v>
      </c>
      <c r="V50" s="24" cm="1">
        <f t="array" ref="V50">IF(V$4&lt;$C50,0,IF(V$4=$C50,SUMIF($L$4:$Z$4,$C50,$L$39:$Z$39)*INDEX($L$43:$Z$43,$C50-$L$4+1),SUMIF($L$4:$Z$4,$C50,$L$39:$Z$39)*V$42))</f>
        <v>0</v>
      </c>
      <c r="W50" s="24" cm="1">
        <f t="array" ref="W50">IF(W$4&lt;$C50,0,IF(W$4=$C50,SUMIF($L$4:$Z$4,$C50,$L$39:$Z$39)*INDEX($L$43:$Z$43,$C50-$L$4+1),SUMIF($L$4:$Z$4,$C50,$L$39:$Z$39)*W$42))</f>
        <v>0</v>
      </c>
      <c r="X50" s="24" cm="1">
        <f t="array" ref="X50">IF(X$4&lt;$C50,0,IF(X$4=$C50,SUMIF($L$4:$Z$4,$C50,$L$39:$Z$39)*INDEX($L$43:$Z$43,$C50-$L$4+1),SUMIF($L$4:$Z$4,$C50,$L$39:$Z$39)*X$42))</f>
        <v>0</v>
      </c>
      <c r="Y50" s="24" cm="1">
        <f t="array" ref="Y50">IF(Y$4&lt;$C50,0,IF(Y$4=$C50,SUMIF($L$4:$Z$4,$C50,$L$39:$Z$39)*INDEX($L$43:$Z$43,$C50-$L$4+1),SUMIF($L$4:$Z$4,$C50,$L$39:$Z$39)*Y$42))</f>
        <v>0</v>
      </c>
      <c r="Z50" s="24" cm="1">
        <f t="array" ref="Z50">IF(Z$4&lt;$C50,0,IF(Z$4=$C50,SUMIF($L$4:$Z$4,$C50,$L$39:$Z$39)*INDEX($L$43:$Z$43,$C50-$L$4+1),SUMIF($L$4:$Z$4,$C50,$L$39:$Z$39)*Z$42))</f>
        <v>0</v>
      </c>
    </row>
    <row r="51" spans="2:26" ht="15" customHeight="1" outlineLevel="1" x14ac:dyDescent="0.3">
      <c r="C51" s="78" t="s">
        <v>74</v>
      </c>
      <c r="D51" s="78"/>
      <c r="E51" s="93" t="s">
        <v>70</v>
      </c>
      <c r="F51" s="78"/>
      <c r="G51" s="34">
        <f>SUM(G45:G50)</f>
        <v>2539826.8929531374</v>
      </c>
      <c r="H51" s="29"/>
      <c r="I51" s="29"/>
      <c r="J51" s="34">
        <f>SUM(J45:J50)</f>
        <v>2539826.8929531379</v>
      </c>
      <c r="K51" s="29"/>
      <c r="L51" s="34">
        <f t="shared" ref="L51:Z51" si="24">SUM(L45:L50)</f>
        <v>0</v>
      </c>
      <c r="M51" s="34">
        <f t="shared" si="24"/>
        <v>28221.41565220249</v>
      </c>
      <c r="N51" s="34">
        <f t="shared" si="24"/>
        <v>465636.60563715996</v>
      </c>
      <c r="O51" s="34">
        <f t="shared" si="24"/>
        <v>973601.98422778747</v>
      </c>
      <c r="P51" s="34">
        <f t="shared" si="24"/>
        <v>945375.5427883307</v>
      </c>
      <c r="Q51" s="34">
        <f t="shared" si="24"/>
        <v>126991.34464765688</v>
      </c>
      <c r="R51" s="34">
        <f t="shared" si="24"/>
        <v>0</v>
      </c>
      <c r="S51" s="34">
        <f t="shared" si="24"/>
        <v>0</v>
      </c>
      <c r="T51" s="34">
        <f t="shared" si="24"/>
        <v>0</v>
      </c>
      <c r="U51" s="34">
        <f t="shared" si="24"/>
        <v>0</v>
      </c>
      <c r="V51" s="34">
        <f t="shared" si="24"/>
        <v>0</v>
      </c>
      <c r="W51" s="34">
        <f t="shared" si="24"/>
        <v>0</v>
      </c>
      <c r="X51" s="34">
        <f t="shared" si="24"/>
        <v>0</v>
      </c>
      <c r="Y51" s="34">
        <f t="shared" si="24"/>
        <v>0</v>
      </c>
      <c r="Z51" s="34">
        <f t="shared" si="24"/>
        <v>0</v>
      </c>
    </row>
    <row r="52" spans="2:26" ht="15" customHeight="1" outlineLevel="1" x14ac:dyDescent="0.3"/>
    <row r="53" spans="2:26" ht="15" customHeight="1" outlineLevel="1" x14ac:dyDescent="0.3">
      <c r="B53" s="82" t="s">
        <v>56</v>
      </c>
      <c r="C53" s="87"/>
      <c r="D53" s="162">
        <v>3</v>
      </c>
      <c r="E53" s="86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spans="2:26" ht="15" customHeight="1" outlineLevel="1" x14ac:dyDescent="0.3">
      <c r="C54" s="8" t="s">
        <v>67</v>
      </c>
      <c r="E54" s="76" t="s">
        <v>68</v>
      </c>
      <c r="G54" s="88">
        <v>0</v>
      </c>
      <c r="L54" s="464">
        <f t="shared" ref="L54:Z54" si="25">(1+$G54)^L$6</f>
        <v>1</v>
      </c>
      <c r="M54" s="464">
        <f t="shared" si="25"/>
        <v>1</v>
      </c>
      <c r="N54" s="464">
        <f t="shared" si="25"/>
        <v>1</v>
      </c>
      <c r="O54" s="464">
        <f t="shared" si="25"/>
        <v>1</v>
      </c>
      <c r="P54" s="464">
        <f t="shared" si="25"/>
        <v>1</v>
      </c>
      <c r="Q54" s="464">
        <f t="shared" si="25"/>
        <v>1</v>
      </c>
      <c r="R54" s="464">
        <f t="shared" si="25"/>
        <v>1</v>
      </c>
      <c r="S54" s="464">
        <f t="shared" si="25"/>
        <v>1</v>
      </c>
      <c r="T54" s="464">
        <f t="shared" si="25"/>
        <v>1</v>
      </c>
      <c r="U54" s="464">
        <f t="shared" si="25"/>
        <v>1</v>
      </c>
      <c r="V54" s="464">
        <f t="shared" si="25"/>
        <v>1</v>
      </c>
      <c r="W54" s="464">
        <f t="shared" si="25"/>
        <v>1</v>
      </c>
      <c r="X54" s="464">
        <f t="shared" si="25"/>
        <v>1</v>
      </c>
      <c r="Y54" s="464">
        <f t="shared" si="25"/>
        <v>1</v>
      </c>
      <c r="Z54" s="464">
        <f t="shared" si="25"/>
        <v>1</v>
      </c>
    </row>
    <row r="55" spans="2:26" ht="15" customHeight="1" outlineLevel="1" x14ac:dyDescent="0.3"/>
    <row r="56" spans="2:26" ht="15" customHeight="1" outlineLevel="1" x14ac:dyDescent="0.3">
      <c r="C56" s="89" t="s">
        <v>57</v>
      </c>
      <c r="G56" s="90" t="s">
        <v>63</v>
      </c>
      <c r="H56" s="90" t="s">
        <v>62</v>
      </c>
      <c r="I56" s="91"/>
    </row>
    <row r="57" spans="2:26" ht="15" customHeight="1" outlineLevel="1" x14ac:dyDescent="0.3">
      <c r="C57" s="84" t="s">
        <v>58</v>
      </c>
      <c r="G57" s="30">
        <v>56200</v>
      </c>
      <c r="H57" s="30">
        <v>29000</v>
      </c>
      <c r="I57" s="91"/>
      <c r="L57" s="5">
        <v>0</v>
      </c>
      <c r="M57" s="5">
        <v>0</v>
      </c>
      <c r="N57" s="5">
        <v>0.2</v>
      </c>
      <c r="O57" s="5">
        <v>0.2</v>
      </c>
      <c r="P57" s="5">
        <v>0.2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</row>
    <row r="58" spans="2:26" ht="15" customHeight="1" outlineLevel="1" x14ac:dyDescent="0.3">
      <c r="C58" s="84" t="s">
        <v>59</v>
      </c>
      <c r="G58" s="30">
        <v>35456.1</v>
      </c>
      <c r="H58" s="30">
        <v>29000</v>
      </c>
      <c r="I58" s="91"/>
      <c r="L58" s="5">
        <v>0</v>
      </c>
      <c r="M58" s="5">
        <v>0</v>
      </c>
      <c r="N58" s="5">
        <v>0.2</v>
      </c>
      <c r="O58" s="5">
        <v>0.2</v>
      </c>
      <c r="P58" s="5">
        <v>0.2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</row>
    <row r="59" spans="2:26" ht="15" customHeight="1" outlineLevel="1" x14ac:dyDescent="0.3">
      <c r="C59" s="89"/>
    </row>
    <row r="60" spans="2:26" ht="15" customHeight="1" outlineLevel="1" x14ac:dyDescent="0.3">
      <c r="C60" s="89" t="s">
        <v>60</v>
      </c>
    </row>
    <row r="61" spans="2:26" ht="15" customHeight="1" outlineLevel="1" x14ac:dyDescent="0.3">
      <c r="C61" s="84" t="s">
        <v>58</v>
      </c>
      <c r="E61" s="76" t="s">
        <v>63</v>
      </c>
      <c r="G61" s="33" cm="1">
        <f t="array" ref="G61">SUM($L57:$Z57*$G57)</f>
        <v>33720</v>
      </c>
      <c r="H61" s="26"/>
      <c r="I61" s="26"/>
      <c r="J61" s="48">
        <f>SUM(L61:Z61)</f>
        <v>33720</v>
      </c>
      <c r="K61" s="26"/>
      <c r="L61" s="23">
        <f t="shared" ref="L61:Z61" si="26">ROUND($G57*L57,0)</f>
        <v>0</v>
      </c>
      <c r="M61" s="23">
        <f t="shared" si="26"/>
        <v>0</v>
      </c>
      <c r="N61" s="23">
        <f t="shared" si="26"/>
        <v>11240</v>
      </c>
      <c r="O61" s="23">
        <f t="shared" si="26"/>
        <v>11240</v>
      </c>
      <c r="P61" s="23">
        <f t="shared" si="26"/>
        <v>11240</v>
      </c>
      <c r="Q61" s="23">
        <f t="shared" si="26"/>
        <v>0</v>
      </c>
      <c r="R61" s="23">
        <f t="shared" si="26"/>
        <v>0</v>
      </c>
      <c r="S61" s="23">
        <f t="shared" si="26"/>
        <v>0</v>
      </c>
      <c r="T61" s="23">
        <f t="shared" si="26"/>
        <v>0</v>
      </c>
      <c r="U61" s="23">
        <f t="shared" si="26"/>
        <v>0</v>
      </c>
      <c r="V61" s="23">
        <f t="shared" si="26"/>
        <v>0</v>
      </c>
      <c r="W61" s="23">
        <f t="shared" si="26"/>
        <v>0</v>
      </c>
      <c r="X61" s="23">
        <f t="shared" si="26"/>
        <v>0</v>
      </c>
      <c r="Y61" s="23">
        <f t="shared" si="26"/>
        <v>0</v>
      </c>
      <c r="Z61" s="23">
        <f t="shared" si="26"/>
        <v>0</v>
      </c>
    </row>
    <row r="62" spans="2:26" ht="15" customHeight="1" outlineLevel="1" x14ac:dyDescent="0.3">
      <c r="C62" s="84" t="s">
        <v>59</v>
      </c>
      <c r="E62" s="76" t="s">
        <v>63</v>
      </c>
      <c r="G62" s="33" cm="1">
        <f t="array" ref="G62">SUM($L58:$Z58*$G58)</f>
        <v>21273.66</v>
      </c>
      <c r="H62" s="26"/>
      <c r="I62" s="26"/>
      <c r="J62" s="48">
        <f>SUM(L62:Z62)</f>
        <v>21273</v>
      </c>
      <c r="K62" s="26"/>
      <c r="L62" s="23">
        <f t="shared" ref="L62:Z62" si="27">ROUND($G58*L58,0)</f>
        <v>0</v>
      </c>
      <c r="M62" s="23">
        <f t="shared" si="27"/>
        <v>0</v>
      </c>
      <c r="N62" s="23">
        <f t="shared" si="27"/>
        <v>7091</v>
      </c>
      <c r="O62" s="23">
        <f t="shared" si="27"/>
        <v>7091</v>
      </c>
      <c r="P62" s="23">
        <f t="shared" si="27"/>
        <v>7091</v>
      </c>
      <c r="Q62" s="23">
        <f t="shared" si="27"/>
        <v>0</v>
      </c>
      <c r="R62" s="23">
        <f t="shared" si="27"/>
        <v>0</v>
      </c>
      <c r="S62" s="23">
        <f t="shared" si="27"/>
        <v>0</v>
      </c>
      <c r="T62" s="23">
        <f t="shared" si="27"/>
        <v>0</v>
      </c>
      <c r="U62" s="23">
        <f t="shared" si="27"/>
        <v>0</v>
      </c>
      <c r="V62" s="23">
        <f t="shared" si="27"/>
        <v>0</v>
      </c>
      <c r="W62" s="23">
        <f t="shared" si="27"/>
        <v>0</v>
      </c>
      <c r="X62" s="23">
        <f t="shared" si="27"/>
        <v>0</v>
      </c>
      <c r="Y62" s="23">
        <f t="shared" si="27"/>
        <v>0</v>
      </c>
      <c r="Z62" s="23">
        <f t="shared" si="27"/>
        <v>0</v>
      </c>
    </row>
    <row r="63" spans="2:26" ht="15" customHeight="1" outlineLevel="1" x14ac:dyDescent="0.3">
      <c r="C63" s="78" t="s">
        <v>65</v>
      </c>
      <c r="D63" s="92"/>
      <c r="E63" s="93" t="s">
        <v>63</v>
      </c>
      <c r="F63" s="92"/>
      <c r="G63" s="36">
        <f>SUM(G61:G62)</f>
        <v>54993.66</v>
      </c>
      <c r="H63" s="27"/>
      <c r="I63" s="27"/>
      <c r="J63" s="163">
        <f>SUM(J61:J62)</f>
        <v>54993</v>
      </c>
      <c r="K63" s="27"/>
      <c r="L63" s="163">
        <f t="shared" ref="L63:Z63" si="28">SUM(L61:L62)</f>
        <v>0</v>
      </c>
      <c r="M63" s="163">
        <f t="shared" si="28"/>
        <v>0</v>
      </c>
      <c r="N63" s="163">
        <f t="shared" si="28"/>
        <v>18331</v>
      </c>
      <c r="O63" s="163">
        <f t="shared" si="28"/>
        <v>18331</v>
      </c>
      <c r="P63" s="163">
        <f t="shared" si="28"/>
        <v>18331</v>
      </c>
      <c r="Q63" s="163">
        <f t="shared" si="28"/>
        <v>0</v>
      </c>
      <c r="R63" s="163">
        <f t="shared" si="28"/>
        <v>0</v>
      </c>
      <c r="S63" s="163">
        <f t="shared" si="28"/>
        <v>0</v>
      </c>
      <c r="T63" s="163">
        <f t="shared" si="28"/>
        <v>0</v>
      </c>
      <c r="U63" s="163">
        <f t="shared" si="28"/>
        <v>0</v>
      </c>
      <c r="V63" s="163">
        <f t="shared" si="28"/>
        <v>0</v>
      </c>
      <c r="W63" s="163">
        <f t="shared" si="28"/>
        <v>0</v>
      </c>
      <c r="X63" s="163">
        <f t="shared" si="28"/>
        <v>0</v>
      </c>
      <c r="Y63" s="163">
        <f t="shared" si="28"/>
        <v>0</v>
      </c>
      <c r="Z63" s="163">
        <f t="shared" si="28"/>
        <v>0</v>
      </c>
    </row>
    <row r="64" spans="2:26" ht="15" customHeight="1" outlineLevel="1" x14ac:dyDescent="0.3"/>
    <row r="65" spans="3:26" ht="15" customHeight="1" outlineLevel="1" x14ac:dyDescent="0.3">
      <c r="C65" s="89" t="s">
        <v>61</v>
      </c>
    </row>
    <row r="66" spans="3:26" ht="15" customHeight="1" outlineLevel="1" x14ac:dyDescent="0.3">
      <c r="C66" s="84" t="s">
        <v>58</v>
      </c>
      <c r="E66" s="76" t="s">
        <v>70</v>
      </c>
      <c r="G66" s="23">
        <f>$H57</f>
        <v>29000</v>
      </c>
      <c r="H66" s="19"/>
      <c r="I66" s="19"/>
      <c r="J66" s="164">
        <f>SUM(L66:Z66)</f>
        <v>977880</v>
      </c>
      <c r="K66" s="19"/>
      <c r="L66" s="24">
        <f t="shared" ref="L66:Z66" si="29">(($G66*L$25)*L61)/$G$6</f>
        <v>0</v>
      </c>
      <c r="M66" s="24">
        <f t="shared" si="29"/>
        <v>0</v>
      </c>
      <c r="N66" s="24">
        <f t="shared" si="29"/>
        <v>325960</v>
      </c>
      <c r="O66" s="24">
        <f t="shared" si="29"/>
        <v>325960</v>
      </c>
      <c r="P66" s="24">
        <f t="shared" si="29"/>
        <v>325960</v>
      </c>
      <c r="Q66" s="24">
        <f t="shared" si="29"/>
        <v>0</v>
      </c>
      <c r="R66" s="24">
        <f t="shared" si="29"/>
        <v>0</v>
      </c>
      <c r="S66" s="24">
        <f t="shared" si="29"/>
        <v>0</v>
      </c>
      <c r="T66" s="24">
        <f t="shared" si="29"/>
        <v>0</v>
      </c>
      <c r="U66" s="24">
        <f t="shared" si="29"/>
        <v>0</v>
      </c>
      <c r="V66" s="24">
        <f t="shared" si="29"/>
        <v>0</v>
      </c>
      <c r="W66" s="24">
        <f t="shared" si="29"/>
        <v>0</v>
      </c>
      <c r="X66" s="24">
        <f t="shared" si="29"/>
        <v>0</v>
      </c>
      <c r="Y66" s="24">
        <f t="shared" si="29"/>
        <v>0</v>
      </c>
      <c r="Z66" s="24">
        <f t="shared" si="29"/>
        <v>0</v>
      </c>
    </row>
    <row r="67" spans="3:26" ht="15" customHeight="1" outlineLevel="1" x14ac:dyDescent="0.3">
      <c r="C67" s="84" t="s">
        <v>59</v>
      </c>
      <c r="E67" s="76" t="s">
        <v>70</v>
      </c>
      <c r="G67" s="23">
        <f>$H58</f>
        <v>29000</v>
      </c>
      <c r="H67" s="19"/>
      <c r="I67" s="19"/>
      <c r="J67" s="164">
        <f>SUM(L67:Z67)</f>
        <v>616917</v>
      </c>
      <c r="K67" s="19"/>
      <c r="L67" s="24">
        <f t="shared" ref="L67:Z67" si="30">(($G67*L$25)*L62)/$G$6</f>
        <v>0</v>
      </c>
      <c r="M67" s="24">
        <f t="shared" si="30"/>
        <v>0</v>
      </c>
      <c r="N67" s="24">
        <f t="shared" si="30"/>
        <v>205639</v>
      </c>
      <c r="O67" s="24">
        <f t="shared" si="30"/>
        <v>205639</v>
      </c>
      <c r="P67" s="24">
        <f t="shared" si="30"/>
        <v>205639</v>
      </c>
      <c r="Q67" s="24">
        <f t="shared" si="30"/>
        <v>0</v>
      </c>
      <c r="R67" s="24">
        <f t="shared" si="30"/>
        <v>0</v>
      </c>
      <c r="S67" s="24">
        <f t="shared" si="30"/>
        <v>0</v>
      </c>
      <c r="T67" s="24">
        <f t="shared" si="30"/>
        <v>0</v>
      </c>
      <c r="U67" s="24">
        <f t="shared" si="30"/>
        <v>0</v>
      </c>
      <c r="V67" s="24">
        <f t="shared" si="30"/>
        <v>0</v>
      </c>
      <c r="W67" s="24">
        <f t="shared" si="30"/>
        <v>0</v>
      </c>
      <c r="X67" s="24">
        <f t="shared" si="30"/>
        <v>0</v>
      </c>
      <c r="Y67" s="24">
        <f t="shared" si="30"/>
        <v>0</v>
      </c>
      <c r="Z67" s="24">
        <f t="shared" si="30"/>
        <v>0</v>
      </c>
    </row>
    <row r="68" spans="3:26" ht="15" customHeight="1" outlineLevel="1" x14ac:dyDescent="0.3">
      <c r="C68" s="78" t="s">
        <v>66</v>
      </c>
      <c r="D68" s="92"/>
      <c r="E68" s="93" t="s">
        <v>70</v>
      </c>
      <c r="F68" s="92"/>
      <c r="G68" s="36">
        <f>AVERAGE(G66:G67)</f>
        <v>29000</v>
      </c>
      <c r="H68" s="27"/>
      <c r="I68" s="27"/>
      <c r="J68" s="165">
        <f>SUM(L68:Z68)</f>
        <v>1594797</v>
      </c>
      <c r="K68" s="27"/>
      <c r="L68" s="165">
        <f t="shared" ref="L68:Z68" si="31">SUM(L66:L67)</f>
        <v>0</v>
      </c>
      <c r="M68" s="165">
        <f t="shared" si="31"/>
        <v>0</v>
      </c>
      <c r="N68" s="165">
        <f t="shared" si="31"/>
        <v>531599</v>
      </c>
      <c r="O68" s="165">
        <f t="shared" si="31"/>
        <v>531599</v>
      </c>
      <c r="P68" s="165">
        <f t="shared" si="31"/>
        <v>531599</v>
      </c>
      <c r="Q68" s="165">
        <f t="shared" si="31"/>
        <v>0</v>
      </c>
      <c r="R68" s="165">
        <f t="shared" si="31"/>
        <v>0</v>
      </c>
      <c r="S68" s="165">
        <f t="shared" si="31"/>
        <v>0</v>
      </c>
      <c r="T68" s="165">
        <f t="shared" si="31"/>
        <v>0</v>
      </c>
      <c r="U68" s="165">
        <f t="shared" si="31"/>
        <v>0</v>
      </c>
      <c r="V68" s="165">
        <f t="shared" si="31"/>
        <v>0</v>
      </c>
      <c r="W68" s="165">
        <f t="shared" si="31"/>
        <v>0</v>
      </c>
      <c r="X68" s="165">
        <f t="shared" si="31"/>
        <v>0</v>
      </c>
      <c r="Y68" s="165">
        <f t="shared" si="31"/>
        <v>0</v>
      </c>
      <c r="Z68" s="165">
        <f t="shared" si="31"/>
        <v>0</v>
      </c>
    </row>
    <row r="69" spans="3:26" ht="15" customHeight="1" outlineLevel="1" x14ac:dyDescent="0.3"/>
    <row r="70" spans="3:26" ht="15" customHeight="1" outlineLevel="1" x14ac:dyDescent="0.3">
      <c r="C70" s="94" t="s">
        <v>71</v>
      </c>
    </row>
    <row r="71" spans="3:26" ht="15" customHeight="1" outlineLevel="1" x14ac:dyDescent="0.3">
      <c r="C71" s="84" t="s">
        <v>72</v>
      </c>
      <c r="E71" s="76" t="s">
        <v>68</v>
      </c>
      <c r="L71" s="5">
        <v>0</v>
      </c>
      <c r="M71" s="5">
        <v>0</v>
      </c>
      <c r="N71" s="5">
        <v>0.2</v>
      </c>
      <c r="O71" s="5">
        <v>0.3</v>
      </c>
      <c r="P71" s="5">
        <v>0.3</v>
      </c>
      <c r="Q71" s="5">
        <v>0.15</v>
      </c>
      <c r="R71" s="5">
        <v>0.05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</row>
    <row r="72" spans="3:26" ht="15" customHeight="1" outlineLevel="1" x14ac:dyDescent="0.3">
      <c r="C72" s="84" t="s">
        <v>73</v>
      </c>
      <c r="E72" s="76" t="s">
        <v>68</v>
      </c>
      <c r="L72" s="4">
        <f>K72+L71</f>
        <v>0</v>
      </c>
      <c r="M72" s="4">
        <f>L72+M71</f>
        <v>0</v>
      </c>
      <c r="N72" s="5">
        <v>0.2</v>
      </c>
      <c r="O72" s="5">
        <v>0.5</v>
      </c>
      <c r="P72" s="5">
        <v>0.8</v>
      </c>
      <c r="Q72" s="5">
        <v>0.95</v>
      </c>
      <c r="R72" s="5">
        <v>1</v>
      </c>
      <c r="S72" s="4">
        <f t="shared" ref="S72:Z72" si="32">R72+S71</f>
        <v>1</v>
      </c>
      <c r="T72" s="4">
        <f t="shared" si="32"/>
        <v>1</v>
      </c>
      <c r="U72" s="4">
        <f t="shared" si="32"/>
        <v>1</v>
      </c>
      <c r="V72" s="4">
        <f t="shared" si="32"/>
        <v>1</v>
      </c>
      <c r="W72" s="4">
        <f t="shared" si="32"/>
        <v>1</v>
      </c>
      <c r="X72" s="4">
        <f t="shared" si="32"/>
        <v>1</v>
      </c>
      <c r="Y72" s="4">
        <f t="shared" si="32"/>
        <v>1</v>
      </c>
      <c r="Z72" s="4">
        <f t="shared" si="32"/>
        <v>1</v>
      </c>
    </row>
    <row r="73" spans="3:26" ht="15" customHeight="1" outlineLevel="1" x14ac:dyDescent="0.3"/>
    <row r="74" spans="3:26" ht="15" customHeight="1" outlineLevel="1" x14ac:dyDescent="0.3">
      <c r="C74" s="66">
        <v>2025</v>
      </c>
      <c r="E74" s="76" t="s">
        <v>70</v>
      </c>
      <c r="G74" s="33">
        <f t="shared" ref="G74:G79" si="33">SUMIF($L$4:$Z$4,$C74,$L$39:$Z$39)</f>
        <v>0</v>
      </c>
      <c r="H74" s="19"/>
      <c r="I74" s="19"/>
      <c r="J74" s="164">
        <f t="shared" ref="J74:J79" si="34">SUM(L74:Z74)</f>
        <v>0</v>
      </c>
      <c r="K74" s="19"/>
      <c r="L74" s="24" cm="1">
        <f t="array" ref="L74">IF(L$4&lt;$C74,0,IF(L$4=$C74,SUMIF($L$4:$Z$4,$C74,$L$68:$Z$68)*INDEX($L$72:$Z$72,$C74-$L$4+1),SUMIF($L$4:$Z$4,$C74,$L$68:$Z$68)*L$71))</f>
        <v>0</v>
      </c>
      <c r="M74" s="24" cm="1">
        <f t="array" ref="M74">IF(M$4&lt;$C74,0,IF(M$4=$C74,SUMIF($L$4:$Z$4,$C74,$L$68:$Z$68)*INDEX($L$72:$Z$72,$C74-$L$4+1),SUMIF($L$4:$Z$4,$C74,$L$68:$Z$68)*M$71))</f>
        <v>0</v>
      </c>
      <c r="N74" s="24" cm="1">
        <f t="array" ref="N74">IF(N$4&lt;$C74,0,IF(N$4=$C74,SUMIF($L$4:$Z$4,$C74,$L$68:$Z$68)*INDEX($L$72:$Z$72,$C74-$L$4+1),SUMIF($L$4:$Z$4,$C74,$L$68:$Z$68)*N$71))</f>
        <v>0</v>
      </c>
      <c r="O74" s="24" cm="1">
        <f t="array" ref="O74">IF(O$4&lt;$C74,0,IF(O$4=$C74,SUMIF($L$4:$Z$4,$C74,$L$68:$Z$68)*INDEX($L$72:$Z$72,$C74-$L$4+1),SUMIF($L$4:$Z$4,$C74,$L$68:$Z$68)*O$71))</f>
        <v>0</v>
      </c>
      <c r="P74" s="24" cm="1">
        <f t="array" ref="P74">IF(P$4&lt;$C74,0,IF(P$4=$C74,SUMIF($L$4:$Z$4,$C74,$L$68:$Z$68)*INDEX($L$72:$Z$72,$C74-$L$4+1),SUMIF($L$4:$Z$4,$C74,$L$68:$Z$68)*P$71))</f>
        <v>0</v>
      </c>
      <c r="Q74" s="24" cm="1">
        <f t="array" ref="Q74">IF(Q$4&lt;$C74,0,IF(Q$4=$C74,SUMIF($L$4:$Z$4,$C74,$L$68:$Z$68)*INDEX($L$72:$Z$72,$C74-$L$4+1),SUMIF($L$4:$Z$4,$C74,$L$68:$Z$68)*Q$71))</f>
        <v>0</v>
      </c>
      <c r="R74" s="24" cm="1">
        <f t="array" ref="R74">IF(R$4&lt;$C74,0,IF(R$4=$C74,SUMIF($L$4:$Z$4,$C74,$L$68:$Z$68)*INDEX($L$72:$Z$72,$C74-$L$4+1),SUMIF($L$4:$Z$4,$C74,$L$68:$Z$68)*R$71))</f>
        <v>0</v>
      </c>
      <c r="S74" s="24" cm="1">
        <f t="array" ref="S74">IF(S$4&lt;$C74,0,IF(S$4=$C74,SUMIF($L$4:$Z$4,$C74,$L$68:$Z$68)*INDEX($L$72:$Z$72,$C74-$L$4+1),SUMIF($L$4:$Z$4,$C74,$L$68:$Z$68)*S$71))</f>
        <v>0</v>
      </c>
      <c r="T74" s="24" cm="1">
        <f t="array" ref="T74">IF(T$4&lt;$C74,0,IF(T$4=$C74,SUMIF($L$4:$Z$4,$C74,$L$68:$Z$68)*INDEX($L$72:$Z$72,$C74-$L$4+1),SUMIF($L$4:$Z$4,$C74,$L$68:$Z$68)*T$71))</f>
        <v>0</v>
      </c>
      <c r="U74" s="24" cm="1">
        <f t="array" ref="U74">IF(U$4&lt;$C74,0,IF(U$4=$C74,SUMIF($L$4:$Z$4,$C74,$L$68:$Z$68)*INDEX($L$72:$Z$72,$C74-$L$4+1),SUMIF($L$4:$Z$4,$C74,$L$68:$Z$68)*U$71))</f>
        <v>0</v>
      </c>
      <c r="V74" s="24" cm="1">
        <f t="array" ref="V74">IF(V$4&lt;$C74,0,IF(V$4=$C74,SUMIF($L$4:$Z$4,$C74,$L$68:$Z$68)*INDEX($L$72:$Z$72,$C74-$L$4+1),SUMIF($L$4:$Z$4,$C74,$L$68:$Z$68)*V$71))</f>
        <v>0</v>
      </c>
      <c r="W74" s="24" cm="1">
        <f t="array" ref="W74">IF(W$4&lt;$C74,0,IF(W$4=$C74,SUMIF($L$4:$Z$4,$C74,$L$68:$Z$68)*INDEX($L$72:$Z$72,$C74-$L$4+1),SUMIF($L$4:$Z$4,$C74,$L$68:$Z$68)*W$71))</f>
        <v>0</v>
      </c>
      <c r="X74" s="24" cm="1">
        <f t="array" ref="X74">IF(X$4&lt;$C74,0,IF(X$4=$C74,SUMIF($L$4:$Z$4,$C74,$L$68:$Z$68)*INDEX($L$72:$Z$72,$C74-$L$4+1),SUMIF($L$4:$Z$4,$C74,$L$68:$Z$68)*X$71))</f>
        <v>0</v>
      </c>
      <c r="Y74" s="24" cm="1">
        <f t="array" ref="Y74">IF(Y$4&lt;$C74,0,IF(Y$4=$C74,SUMIF($L$4:$Z$4,$C74,$L$68:$Z$68)*INDEX($L$72:$Z$72,$C74-$L$4+1),SUMIF($L$4:$Z$4,$C74,$L$68:$Z$68)*Y$71))</f>
        <v>0</v>
      </c>
      <c r="Z74" s="24" cm="1">
        <f t="array" ref="Z74">IF(Z$4&lt;$C74,0,IF(Z$4=$C74,SUMIF($L$4:$Z$4,$C74,$L$68:$Z$68)*INDEX($L$72:$Z$72,$C74-$L$4+1),SUMIF($L$4:$Z$4,$C74,$L$68:$Z$68)*Z$71))</f>
        <v>0</v>
      </c>
    </row>
    <row r="75" spans="3:26" ht="15" customHeight="1" outlineLevel="1" x14ac:dyDescent="0.3">
      <c r="C75" s="23">
        <f>C74+1</f>
        <v>2026</v>
      </c>
      <c r="E75" s="76" t="s">
        <v>70</v>
      </c>
      <c r="G75" s="33">
        <f t="shared" si="33"/>
        <v>141107.07826101244</v>
      </c>
      <c r="H75" s="19"/>
      <c r="I75" s="19"/>
      <c r="J75" s="164">
        <f t="shared" si="34"/>
        <v>0</v>
      </c>
      <c r="K75" s="19"/>
      <c r="L75" s="24" cm="1">
        <f t="array" ref="L75">IF(L$4&lt;$C75,0,IF(L$4=$C75,SUMIF($L$4:$Z$4,$C75,$L$68:$Z$68)*INDEX($L$72:$Z$72,$C75-$L$4+1),SUMIF($L$4:$Z$4,$C75,$L$68:$Z$68)*L$71))</f>
        <v>0</v>
      </c>
      <c r="M75" s="24" cm="1">
        <f t="array" ref="M75">IF(M$4&lt;$C75,0,IF(M$4=$C75,SUMIF($L$4:$Z$4,$C75,$L$68:$Z$68)*INDEX($L$72:$Z$72,$C75-$L$4+1),SUMIF($L$4:$Z$4,$C75,$L$68:$Z$68)*M$71))</f>
        <v>0</v>
      </c>
      <c r="N75" s="24" cm="1">
        <f t="array" ref="N75">IF(N$4&lt;$C75,0,IF(N$4=$C75,SUMIF($L$4:$Z$4,$C75,$L$68:$Z$68)*INDEX($L$72:$Z$72,$C75-$L$4+1),SUMIF($L$4:$Z$4,$C75,$L$68:$Z$68)*N$71))</f>
        <v>0</v>
      </c>
      <c r="O75" s="24" cm="1">
        <f t="array" ref="O75">IF(O$4&lt;$C75,0,IF(O$4=$C75,SUMIF($L$4:$Z$4,$C75,$L$68:$Z$68)*INDEX($L$72:$Z$72,$C75-$L$4+1),SUMIF($L$4:$Z$4,$C75,$L$68:$Z$68)*O$71))</f>
        <v>0</v>
      </c>
      <c r="P75" s="24" cm="1">
        <f t="array" ref="P75">IF(P$4&lt;$C75,0,IF(P$4=$C75,SUMIF($L$4:$Z$4,$C75,$L$68:$Z$68)*INDEX($L$72:$Z$72,$C75-$L$4+1),SUMIF($L$4:$Z$4,$C75,$L$68:$Z$68)*P$71))</f>
        <v>0</v>
      </c>
      <c r="Q75" s="24" cm="1">
        <f t="array" ref="Q75">IF(Q$4&lt;$C75,0,IF(Q$4=$C75,SUMIF($L$4:$Z$4,$C75,$L$68:$Z$68)*INDEX($L$72:$Z$72,$C75-$L$4+1),SUMIF($L$4:$Z$4,$C75,$L$68:$Z$68)*Q$71))</f>
        <v>0</v>
      </c>
      <c r="R75" s="24" cm="1">
        <f t="array" ref="R75">IF(R$4&lt;$C75,0,IF(R$4=$C75,SUMIF($L$4:$Z$4,$C75,$L$68:$Z$68)*INDEX($L$72:$Z$72,$C75-$L$4+1),SUMIF($L$4:$Z$4,$C75,$L$68:$Z$68)*R$71))</f>
        <v>0</v>
      </c>
      <c r="S75" s="24" cm="1">
        <f t="array" ref="S75">IF(S$4&lt;$C75,0,IF(S$4=$C75,SUMIF($L$4:$Z$4,$C75,$L$68:$Z$68)*INDEX($L$72:$Z$72,$C75-$L$4+1),SUMIF($L$4:$Z$4,$C75,$L$68:$Z$68)*S$71))</f>
        <v>0</v>
      </c>
      <c r="T75" s="24" cm="1">
        <f t="array" ref="T75">IF(T$4&lt;$C75,0,IF(T$4=$C75,SUMIF($L$4:$Z$4,$C75,$L$68:$Z$68)*INDEX($L$72:$Z$72,$C75-$L$4+1),SUMIF($L$4:$Z$4,$C75,$L$68:$Z$68)*T$71))</f>
        <v>0</v>
      </c>
      <c r="U75" s="24" cm="1">
        <f t="array" ref="U75">IF(U$4&lt;$C75,0,IF(U$4=$C75,SUMIF($L$4:$Z$4,$C75,$L$68:$Z$68)*INDEX($L$72:$Z$72,$C75-$L$4+1),SUMIF($L$4:$Z$4,$C75,$L$68:$Z$68)*U$71))</f>
        <v>0</v>
      </c>
      <c r="V75" s="24" cm="1">
        <f t="array" ref="V75">IF(V$4&lt;$C75,0,IF(V$4=$C75,SUMIF($L$4:$Z$4,$C75,$L$68:$Z$68)*INDEX($L$72:$Z$72,$C75-$L$4+1),SUMIF($L$4:$Z$4,$C75,$L$68:$Z$68)*V$71))</f>
        <v>0</v>
      </c>
      <c r="W75" s="24" cm="1">
        <f t="array" ref="W75">IF(W$4&lt;$C75,0,IF(W$4=$C75,SUMIF($L$4:$Z$4,$C75,$L$68:$Z$68)*INDEX($L$72:$Z$72,$C75-$L$4+1),SUMIF($L$4:$Z$4,$C75,$L$68:$Z$68)*W$71))</f>
        <v>0</v>
      </c>
      <c r="X75" s="24" cm="1">
        <f t="array" ref="X75">IF(X$4&lt;$C75,0,IF(X$4=$C75,SUMIF($L$4:$Z$4,$C75,$L$68:$Z$68)*INDEX($L$72:$Z$72,$C75-$L$4+1),SUMIF($L$4:$Z$4,$C75,$L$68:$Z$68)*X$71))</f>
        <v>0</v>
      </c>
      <c r="Y75" s="24" cm="1">
        <f t="array" ref="Y75">IF(Y$4&lt;$C75,0,IF(Y$4=$C75,SUMIF($L$4:$Z$4,$C75,$L$68:$Z$68)*INDEX($L$72:$Z$72,$C75-$L$4+1),SUMIF($L$4:$Z$4,$C75,$L$68:$Z$68)*Y$71))</f>
        <v>0</v>
      </c>
      <c r="Z75" s="24" cm="1">
        <f t="array" ref="Z75">IF(Z$4&lt;$C75,0,IF(Z$4=$C75,SUMIF($L$4:$Z$4,$C75,$L$68:$Z$68)*INDEX($L$72:$Z$72,$C75-$L$4+1),SUMIF($L$4:$Z$4,$C75,$L$68:$Z$68)*Z$71))</f>
        <v>0</v>
      </c>
    </row>
    <row r="76" spans="3:26" ht="15" customHeight="1" outlineLevel="1" x14ac:dyDescent="0.3">
      <c r="C76" s="23">
        <f>C75+1</f>
        <v>2027</v>
      </c>
      <c r="E76" s="76" t="s">
        <v>70</v>
      </c>
      <c r="G76" s="33">
        <f t="shared" si="33"/>
        <v>846608.96431771247</v>
      </c>
      <c r="H76" s="19"/>
      <c r="I76" s="19"/>
      <c r="J76" s="164">
        <f t="shared" si="34"/>
        <v>531598.99999999988</v>
      </c>
      <c r="K76" s="19"/>
      <c r="L76" s="24" cm="1">
        <f t="array" ref="L76">IF(L$4&lt;$C76,0,IF(L$4=$C76,SUMIF($L$4:$Z$4,$C76,$L$68:$Z$68)*INDEX($L$72:$Z$72,$C76-$L$4+1),SUMIF($L$4:$Z$4,$C76,$L$68:$Z$68)*L$71))</f>
        <v>0</v>
      </c>
      <c r="M76" s="24" cm="1">
        <f t="array" ref="M76">IF(M$4&lt;$C76,0,IF(M$4=$C76,SUMIF($L$4:$Z$4,$C76,$L$68:$Z$68)*INDEX($L$72:$Z$72,$C76-$L$4+1),SUMIF($L$4:$Z$4,$C76,$L$68:$Z$68)*M$71))</f>
        <v>0</v>
      </c>
      <c r="N76" s="24" cm="1">
        <f t="array" ref="N76">IF(N$4&lt;$C76,0,IF(N$4=$C76,SUMIF($L$4:$Z$4,$C76,$L$68:$Z$68)*INDEX($L$72:$Z$72,$C76-$L$4+1),SUMIF($L$4:$Z$4,$C76,$L$68:$Z$68)*N$71))</f>
        <v>106319.8</v>
      </c>
      <c r="O76" s="24" cm="1">
        <f t="array" ref="O76">IF(O$4&lt;$C76,0,IF(O$4=$C76,SUMIF($L$4:$Z$4,$C76,$L$68:$Z$68)*INDEX($L$72:$Z$72,$C76-$L$4+1),SUMIF($L$4:$Z$4,$C76,$L$68:$Z$68)*O$71))</f>
        <v>159479.69999999998</v>
      </c>
      <c r="P76" s="24" cm="1">
        <f t="array" ref="P76">IF(P$4&lt;$C76,0,IF(P$4=$C76,SUMIF($L$4:$Z$4,$C76,$L$68:$Z$68)*INDEX($L$72:$Z$72,$C76-$L$4+1),SUMIF($L$4:$Z$4,$C76,$L$68:$Z$68)*P$71))</f>
        <v>159479.69999999998</v>
      </c>
      <c r="Q76" s="24" cm="1">
        <f t="array" ref="Q76">IF(Q$4&lt;$C76,0,IF(Q$4=$C76,SUMIF($L$4:$Z$4,$C76,$L$68:$Z$68)*INDEX($L$72:$Z$72,$C76-$L$4+1),SUMIF($L$4:$Z$4,$C76,$L$68:$Z$68)*Q$71))</f>
        <v>79739.849999999991</v>
      </c>
      <c r="R76" s="24" cm="1">
        <f t="array" ref="R76">IF(R$4&lt;$C76,0,IF(R$4=$C76,SUMIF($L$4:$Z$4,$C76,$L$68:$Z$68)*INDEX($L$72:$Z$72,$C76-$L$4+1),SUMIF($L$4:$Z$4,$C76,$L$68:$Z$68)*R$71))</f>
        <v>26579.95</v>
      </c>
      <c r="S76" s="24" cm="1">
        <f t="array" ref="S76">IF(S$4&lt;$C76,0,IF(S$4=$C76,SUMIF($L$4:$Z$4,$C76,$L$68:$Z$68)*INDEX($L$72:$Z$72,$C76-$L$4+1),SUMIF($L$4:$Z$4,$C76,$L$68:$Z$68)*S$71))</f>
        <v>0</v>
      </c>
      <c r="T76" s="24" cm="1">
        <f t="array" ref="T76">IF(T$4&lt;$C76,0,IF(T$4=$C76,SUMIF($L$4:$Z$4,$C76,$L$68:$Z$68)*INDEX($L$72:$Z$72,$C76-$L$4+1),SUMIF($L$4:$Z$4,$C76,$L$68:$Z$68)*T$71))</f>
        <v>0</v>
      </c>
      <c r="U76" s="24" cm="1">
        <f t="array" ref="U76">IF(U$4&lt;$C76,0,IF(U$4=$C76,SUMIF($L$4:$Z$4,$C76,$L$68:$Z$68)*INDEX($L$72:$Z$72,$C76-$L$4+1),SUMIF($L$4:$Z$4,$C76,$L$68:$Z$68)*U$71))</f>
        <v>0</v>
      </c>
      <c r="V76" s="24" cm="1">
        <f t="array" ref="V76">IF(V$4&lt;$C76,0,IF(V$4=$C76,SUMIF($L$4:$Z$4,$C76,$L$68:$Z$68)*INDEX($L$72:$Z$72,$C76-$L$4+1),SUMIF($L$4:$Z$4,$C76,$L$68:$Z$68)*V$71))</f>
        <v>0</v>
      </c>
      <c r="W76" s="24" cm="1">
        <f t="array" ref="W76">IF(W$4&lt;$C76,0,IF(W$4=$C76,SUMIF($L$4:$Z$4,$C76,$L$68:$Z$68)*INDEX($L$72:$Z$72,$C76-$L$4+1),SUMIF($L$4:$Z$4,$C76,$L$68:$Z$68)*W$71))</f>
        <v>0</v>
      </c>
      <c r="X76" s="24" cm="1">
        <f t="array" ref="X76">IF(X$4&lt;$C76,0,IF(X$4=$C76,SUMIF($L$4:$Z$4,$C76,$L$68:$Z$68)*INDEX($L$72:$Z$72,$C76-$L$4+1),SUMIF($L$4:$Z$4,$C76,$L$68:$Z$68)*X$71))</f>
        <v>0</v>
      </c>
      <c r="Y76" s="24" cm="1">
        <f t="array" ref="Y76">IF(Y$4&lt;$C76,0,IF(Y$4=$C76,SUMIF($L$4:$Z$4,$C76,$L$68:$Z$68)*INDEX($L$72:$Z$72,$C76-$L$4+1),SUMIF($L$4:$Z$4,$C76,$L$68:$Z$68)*Y$71))</f>
        <v>0</v>
      </c>
      <c r="Z76" s="24" cm="1">
        <f t="array" ref="Z76">IF(Z$4&lt;$C76,0,IF(Z$4=$C76,SUMIF($L$4:$Z$4,$C76,$L$68:$Z$68)*INDEX($L$72:$Z$72,$C76-$L$4+1),SUMIF($L$4:$Z$4,$C76,$L$68:$Z$68)*Z$71))</f>
        <v>0</v>
      </c>
    </row>
    <row r="77" spans="3:26" ht="15" customHeight="1" outlineLevel="1" x14ac:dyDescent="0.3">
      <c r="C77" s="23">
        <f>C76+1</f>
        <v>2028</v>
      </c>
      <c r="E77" s="76" t="s">
        <v>70</v>
      </c>
      <c r="G77" s="33">
        <f t="shared" si="33"/>
        <v>846608.96431771247</v>
      </c>
      <c r="H77" s="19"/>
      <c r="I77" s="19"/>
      <c r="J77" s="164">
        <f t="shared" si="34"/>
        <v>531598.99999999988</v>
      </c>
      <c r="K77" s="19"/>
      <c r="L77" s="24" cm="1">
        <f t="array" ref="L77">IF(L$4&lt;$C77,0,IF(L$4=$C77,SUMIF($L$4:$Z$4,$C77,$L$68:$Z$68)*INDEX($L$72:$Z$72,$C77-$L$4+1),SUMIF($L$4:$Z$4,$C77,$L$68:$Z$68)*L$71))</f>
        <v>0</v>
      </c>
      <c r="M77" s="24" cm="1">
        <f t="array" ref="M77">IF(M$4&lt;$C77,0,IF(M$4=$C77,SUMIF($L$4:$Z$4,$C77,$L$68:$Z$68)*INDEX($L$72:$Z$72,$C77-$L$4+1),SUMIF($L$4:$Z$4,$C77,$L$68:$Z$68)*M$71))</f>
        <v>0</v>
      </c>
      <c r="N77" s="24" cm="1">
        <f t="array" ref="N77">IF(N$4&lt;$C77,0,IF(N$4=$C77,SUMIF($L$4:$Z$4,$C77,$L$68:$Z$68)*INDEX($L$72:$Z$72,$C77-$L$4+1),SUMIF($L$4:$Z$4,$C77,$L$68:$Z$68)*N$71))</f>
        <v>0</v>
      </c>
      <c r="O77" s="24" cm="1">
        <f t="array" ref="O77">IF(O$4&lt;$C77,0,IF(O$4=$C77,SUMIF($L$4:$Z$4,$C77,$L$68:$Z$68)*INDEX($L$72:$Z$72,$C77-$L$4+1),SUMIF($L$4:$Z$4,$C77,$L$68:$Z$68)*O$71))</f>
        <v>265799.5</v>
      </c>
      <c r="P77" s="24" cm="1">
        <f t="array" ref="P77">IF(P$4&lt;$C77,0,IF(P$4=$C77,SUMIF($L$4:$Z$4,$C77,$L$68:$Z$68)*INDEX($L$72:$Z$72,$C77-$L$4+1),SUMIF($L$4:$Z$4,$C77,$L$68:$Z$68)*P$71))</f>
        <v>159479.69999999998</v>
      </c>
      <c r="Q77" s="24" cm="1">
        <f t="array" ref="Q77">IF(Q$4&lt;$C77,0,IF(Q$4=$C77,SUMIF($L$4:$Z$4,$C77,$L$68:$Z$68)*INDEX($L$72:$Z$72,$C77-$L$4+1),SUMIF($L$4:$Z$4,$C77,$L$68:$Z$68)*Q$71))</f>
        <v>79739.849999999991</v>
      </c>
      <c r="R77" s="24" cm="1">
        <f t="array" ref="R77">IF(R$4&lt;$C77,0,IF(R$4=$C77,SUMIF($L$4:$Z$4,$C77,$L$68:$Z$68)*INDEX($L$72:$Z$72,$C77-$L$4+1),SUMIF($L$4:$Z$4,$C77,$L$68:$Z$68)*R$71))</f>
        <v>26579.95</v>
      </c>
      <c r="S77" s="24" cm="1">
        <f t="array" ref="S77">IF(S$4&lt;$C77,0,IF(S$4=$C77,SUMIF($L$4:$Z$4,$C77,$L$68:$Z$68)*INDEX($L$72:$Z$72,$C77-$L$4+1),SUMIF($L$4:$Z$4,$C77,$L$68:$Z$68)*S$71))</f>
        <v>0</v>
      </c>
      <c r="T77" s="24" cm="1">
        <f t="array" ref="T77">IF(T$4&lt;$C77,0,IF(T$4=$C77,SUMIF($L$4:$Z$4,$C77,$L$68:$Z$68)*INDEX($L$72:$Z$72,$C77-$L$4+1),SUMIF($L$4:$Z$4,$C77,$L$68:$Z$68)*T$71))</f>
        <v>0</v>
      </c>
      <c r="U77" s="24" cm="1">
        <f t="array" ref="U77">IF(U$4&lt;$C77,0,IF(U$4=$C77,SUMIF($L$4:$Z$4,$C77,$L$68:$Z$68)*INDEX($L$72:$Z$72,$C77-$L$4+1),SUMIF($L$4:$Z$4,$C77,$L$68:$Z$68)*U$71))</f>
        <v>0</v>
      </c>
      <c r="V77" s="24" cm="1">
        <f t="array" ref="V77">IF(V$4&lt;$C77,0,IF(V$4=$C77,SUMIF($L$4:$Z$4,$C77,$L$68:$Z$68)*INDEX($L$72:$Z$72,$C77-$L$4+1),SUMIF($L$4:$Z$4,$C77,$L$68:$Z$68)*V$71))</f>
        <v>0</v>
      </c>
      <c r="W77" s="24" cm="1">
        <f t="array" ref="W77">IF(W$4&lt;$C77,0,IF(W$4=$C77,SUMIF($L$4:$Z$4,$C77,$L$68:$Z$68)*INDEX($L$72:$Z$72,$C77-$L$4+1),SUMIF($L$4:$Z$4,$C77,$L$68:$Z$68)*W$71))</f>
        <v>0</v>
      </c>
      <c r="X77" s="24" cm="1">
        <f t="array" ref="X77">IF(X$4&lt;$C77,0,IF(X$4=$C77,SUMIF($L$4:$Z$4,$C77,$L$68:$Z$68)*INDEX($L$72:$Z$72,$C77-$L$4+1),SUMIF($L$4:$Z$4,$C77,$L$68:$Z$68)*X$71))</f>
        <v>0</v>
      </c>
      <c r="Y77" s="24" cm="1">
        <f t="array" ref="Y77">IF(Y$4&lt;$C77,0,IF(Y$4=$C77,SUMIF($L$4:$Z$4,$C77,$L$68:$Z$68)*INDEX($L$72:$Z$72,$C77-$L$4+1),SUMIF($L$4:$Z$4,$C77,$L$68:$Z$68)*Y$71))</f>
        <v>0</v>
      </c>
      <c r="Z77" s="24" cm="1">
        <f t="array" ref="Z77">IF(Z$4&lt;$C77,0,IF(Z$4=$C77,SUMIF($L$4:$Z$4,$C77,$L$68:$Z$68)*INDEX($L$72:$Z$72,$C77-$L$4+1),SUMIF($L$4:$Z$4,$C77,$L$68:$Z$68)*Z$71))</f>
        <v>0</v>
      </c>
    </row>
    <row r="78" spans="3:26" ht="15" customHeight="1" outlineLevel="1" x14ac:dyDescent="0.3">
      <c r="C78" s="23">
        <f>C77+1</f>
        <v>2029</v>
      </c>
      <c r="E78" s="76" t="s">
        <v>70</v>
      </c>
      <c r="G78" s="33">
        <f t="shared" si="33"/>
        <v>705501.88605670002</v>
      </c>
      <c r="H78" s="19"/>
      <c r="I78" s="19"/>
      <c r="J78" s="164">
        <f t="shared" si="34"/>
        <v>531599</v>
      </c>
      <c r="K78" s="19"/>
      <c r="L78" s="24" cm="1">
        <f t="array" ref="L78">IF(L$4&lt;$C78,0,IF(L$4=$C78,SUMIF($L$4:$Z$4,$C78,$L$68:$Z$68)*INDEX($L$72:$Z$72,$C78-$L$4+1),SUMIF($L$4:$Z$4,$C78,$L$68:$Z$68)*L$71))</f>
        <v>0</v>
      </c>
      <c r="M78" s="24" cm="1">
        <f t="array" ref="M78">IF(M$4&lt;$C78,0,IF(M$4=$C78,SUMIF($L$4:$Z$4,$C78,$L$68:$Z$68)*INDEX($L$72:$Z$72,$C78-$L$4+1),SUMIF($L$4:$Z$4,$C78,$L$68:$Z$68)*M$71))</f>
        <v>0</v>
      </c>
      <c r="N78" s="24" cm="1">
        <f t="array" ref="N78">IF(N$4&lt;$C78,0,IF(N$4=$C78,SUMIF($L$4:$Z$4,$C78,$L$68:$Z$68)*INDEX($L$72:$Z$72,$C78-$L$4+1),SUMIF($L$4:$Z$4,$C78,$L$68:$Z$68)*N$71))</f>
        <v>0</v>
      </c>
      <c r="O78" s="24" cm="1">
        <f t="array" ref="O78">IF(O$4&lt;$C78,0,IF(O$4=$C78,SUMIF($L$4:$Z$4,$C78,$L$68:$Z$68)*INDEX($L$72:$Z$72,$C78-$L$4+1),SUMIF($L$4:$Z$4,$C78,$L$68:$Z$68)*O$71))</f>
        <v>0</v>
      </c>
      <c r="P78" s="24" cm="1">
        <f t="array" ref="P78">IF(P$4&lt;$C78,0,IF(P$4=$C78,SUMIF($L$4:$Z$4,$C78,$L$68:$Z$68)*INDEX($L$72:$Z$72,$C78-$L$4+1),SUMIF($L$4:$Z$4,$C78,$L$68:$Z$68)*P$71))</f>
        <v>425279.2</v>
      </c>
      <c r="Q78" s="24" cm="1">
        <f t="array" ref="Q78">IF(Q$4&lt;$C78,0,IF(Q$4=$C78,SUMIF($L$4:$Z$4,$C78,$L$68:$Z$68)*INDEX($L$72:$Z$72,$C78-$L$4+1),SUMIF($L$4:$Z$4,$C78,$L$68:$Z$68)*Q$71))</f>
        <v>79739.849999999991</v>
      </c>
      <c r="R78" s="24" cm="1">
        <f t="array" ref="R78">IF(R$4&lt;$C78,0,IF(R$4=$C78,SUMIF($L$4:$Z$4,$C78,$L$68:$Z$68)*INDEX($L$72:$Z$72,$C78-$L$4+1),SUMIF($L$4:$Z$4,$C78,$L$68:$Z$68)*R$71))</f>
        <v>26579.95</v>
      </c>
      <c r="S78" s="24" cm="1">
        <f t="array" ref="S78">IF(S$4&lt;$C78,0,IF(S$4=$C78,SUMIF($L$4:$Z$4,$C78,$L$68:$Z$68)*INDEX($L$72:$Z$72,$C78-$L$4+1),SUMIF($L$4:$Z$4,$C78,$L$68:$Z$68)*S$71))</f>
        <v>0</v>
      </c>
      <c r="T78" s="24" cm="1">
        <f t="array" ref="T78">IF(T$4&lt;$C78,0,IF(T$4=$C78,SUMIF($L$4:$Z$4,$C78,$L$68:$Z$68)*INDEX($L$72:$Z$72,$C78-$L$4+1),SUMIF($L$4:$Z$4,$C78,$L$68:$Z$68)*T$71))</f>
        <v>0</v>
      </c>
      <c r="U78" s="24" cm="1">
        <f t="array" ref="U78">IF(U$4&lt;$C78,0,IF(U$4=$C78,SUMIF($L$4:$Z$4,$C78,$L$68:$Z$68)*INDEX($L$72:$Z$72,$C78-$L$4+1),SUMIF($L$4:$Z$4,$C78,$L$68:$Z$68)*U$71))</f>
        <v>0</v>
      </c>
      <c r="V78" s="24" cm="1">
        <f t="array" ref="V78">IF(V$4&lt;$C78,0,IF(V$4=$C78,SUMIF($L$4:$Z$4,$C78,$L$68:$Z$68)*INDEX($L$72:$Z$72,$C78-$L$4+1),SUMIF($L$4:$Z$4,$C78,$L$68:$Z$68)*V$71))</f>
        <v>0</v>
      </c>
      <c r="W78" s="24" cm="1">
        <f t="array" ref="W78">IF(W$4&lt;$C78,0,IF(W$4=$C78,SUMIF($L$4:$Z$4,$C78,$L$68:$Z$68)*INDEX($L$72:$Z$72,$C78-$L$4+1),SUMIF($L$4:$Z$4,$C78,$L$68:$Z$68)*W$71))</f>
        <v>0</v>
      </c>
      <c r="X78" s="24" cm="1">
        <f t="array" ref="X78">IF(X$4&lt;$C78,0,IF(X$4=$C78,SUMIF($L$4:$Z$4,$C78,$L$68:$Z$68)*INDEX($L$72:$Z$72,$C78-$L$4+1),SUMIF($L$4:$Z$4,$C78,$L$68:$Z$68)*X$71))</f>
        <v>0</v>
      </c>
      <c r="Y78" s="24" cm="1">
        <f t="array" ref="Y78">IF(Y$4&lt;$C78,0,IF(Y$4=$C78,SUMIF($L$4:$Z$4,$C78,$L$68:$Z$68)*INDEX($L$72:$Z$72,$C78-$L$4+1),SUMIF($L$4:$Z$4,$C78,$L$68:$Z$68)*Y$71))</f>
        <v>0</v>
      </c>
      <c r="Z78" s="24" cm="1">
        <f t="array" ref="Z78">IF(Z$4&lt;$C78,0,IF(Z$4=$C78,SUMIF($L$4:$Z$4,$C78,$L$68:$Z$68)*INDEX($L$72:$Z$72,$C78-$L$4+1),SUMIF($L$4:$Z$4,$C78,$L$68:$Z$68)*Z$71))</f>
        <v>0</v>
      </c>
    </row>
    <row r="79" spans="3:26" ht="15" customHeight="1" outlineLevel="1" x14ac:dyDescent="0.3">
      <c r="C79" s="23">
        <f>C78+1</f>
        <v>2030</v>
      </c>
      <c r="E79" s="76" t="s">
        <v>70</v>
      </c>
      <c r="G79" s="33">
        <f t="shared" si="33"/>
        <v>0</v>
      </c>
      <c r="H79" s="19"/>
      <c r="I79" s="19"/>
      <c r="J79" s="164">
        <f t="shared" si="34"/>
        <v>0</v>
      </c>
      <c r="K79" s="19"/>
      <c r="L79" s="24" cm="1">
        <f t="array" ref="L79">IF(L$4&lt;$C79,0,IF(L$4=$C79,SUMIF($L$4:$Z$4,$C79,$L$68:$Z$68)*INDEX($L$72:$Z$72,$C79-$L$4+1),SUMIF($L$4:$Z$4,$C79,$L$68:$Z$68)*L$71))</f>
        <v>0</v>
      </c>
      <c r="M79" s="24" cm="1">
        <f t="array" ref="M79">IF(M$4&lt;$C79,0,IF(M$4=$C79,SUMIF($L$4:$Z$4,$C79,$L$68:$Z$68)*INDEX($L$72:$Z$72,$C79-$L$4+1),SUMIF($L$4:$Z$4,$C79,$L$68:$Z$68)*M$71))</f>
        <v>0</v>
      </c>
      <c r="N79" s="24" cm="1">
        <f t="array" ref="N79">IF(N$4&lt;$C79,0,IF(N$4=$C79,SUMIF($L$4:$Z$4,$C79,$L$68:$Z$68)*INDEX($L$72:$Z$72,$C79-$L$4+1),SUMIF($L$4:$Z$4,$C79,$L$68:$Z$68)*N$71))</f>
        <v>0</v>
      </c>
      <c r="O79" s="24" cm="1">
        <f t="array" ref="O79">IF(O$4&lt;$C79,0,IF(O$4=$C79,SUMIF($L$4:$Z$4,$C79,$L$68:$Z$68)*INDEX($L$72:$Z$72,$C79-$L$4+1),SUMIF($L$4:$Z$4,$C79,$L$68:$Z$68)*O$71))</f>
        <v>0</v>
      </c>
      <c r="P79" s="24" cm="1">
        <f t="array" ref="P79">IF(P$4&lt;$C79,0,IF(P$4=$C79,SUMIF($L$4:$Z$4,$C79,$L$68:$Z$68)*INDEX($L$72:$Z$72,$C79-$L$4+1),SUMIF($L$4:$Z$4,$C79,$L$68:$Z$68)*P$71))</f>
        <v>0</v>
      </c>
      <c r="Q79" s="24" cm="1">
        <f t="array" ref="Q79">IF(Q$4&lt;$C79,0,IF(Q$4=$C79,SUMIF($L$4:$Z$4,$C79,$L$68:$Z$68)*INDEX($L$72:$Z$72,$C79-$L$4+1),SUMIF($L$4:$Z$4,$C79,$L$68:$Z$68)*Q$71))</f>
        <v>0</v>
      </c>
      <c r="R79" s="24" cm="1">
        <f t="array" ref="R79">IF(R$4&lt;$C79,0,IF(R$4=$C79,SUMIF($L$4:$Z$4,$C79,$L$68:$Z$68)*INDEX($L$72:$Z$72,$C79-$L$4+1),SUMIF($L$4:$Z$4,$C79,$L$68:$Z$68)*R$71))</f>
        <v>0</v>
      </c>
      <c r="S79" s="24" cm="1">
        <f t="array" ref="S79">IF(S$4&lt;$C79,0,IF(S$4=$C79,SUMIF($L$4:$Z$4,$C79,$L$68:$Z$68)*INDEX($L$72:$Z$72,$C79-$L$4+1),SUMIF($L$4:$Z$4,$C79,$L$68:$Z$68)*S$71))</f>
        <v>0</v>
      </c>
      <c r="T79" s="24" cm="1">
        <f t="array" ref="T79">IF(T$4&lt;$C79,0,IF(T$4=$C79,SUMIF($L$4:$Z$4,$C79,$L$68:$Z$68)*INDEX($L$72:$Z$72,$C79-$L$4+1),SUMIF($L$4:$Z$4,$C79,$L$68:$Z$68)*T$71))</f>
        <v>0</v>
      </c>
      <c r="U79" s="24" cm="1">
        <f t="array" ref="U79">IF(U$4&lt;$C79,0,IF(U$4=$C79,SUMIF($L$4:$Z$4,$C79,$L$68:$Z$68)*INDEX($L$72:$Z$72,$C79-$L$4+1),SUMIF($L$4:$Z$4,$C79,$L$68:$Z$68)*U$71))</f>
        <v>0</v>
      </c>
      <c r="V79" s="24" cm="1">
        <f t="array" ref="V79">IF(V$4&lt;$C79,0,IF(V$4=$C79,SUMIF($L$4:$Z$4,$C79,$L$68:$Z$68)*INDEX($L$72:$Z$72,$C79-$L$4+1),SUMIF($L$4:$Z$4,$C79,$L$68:$Z$68)*V$71))</f>
        <v>0</v>
      </c>
      <c r="W79" s="24" cm="1">
        <f t="array" ref="W79">IF(W$4&lt;$C79,0,IF(W$4=$C79,SUMIF($L$4:$Z$4,$C79,$L$68:$Z$68)*INDEX($L$72:$Z$72,$C79-$L$4+1),SUMIF($L$4:$Z$4,$C79,$L$68:$Z$68)*W$71))</f>
        <v>0</v>
      </c>
      <c r="X79" s="24" cm="1">
        <f t="array" ref="X79">IF(X$4&lt;$C79,0,IF(X$4=$C79,SUMIF($L$4:$Z$4,$C79,$L$68:$Z$68)*INDEX($L$72:$Z$72,$C79-$L$4+1),SUMIF($L$4:$Z$4,$C79,$L$68:$Z$68)*X$71))</f>
        <v>0</v>
      </c>
      <c r="Y79" s="24" cm="1">
        <f t="array" ref="Y79">IF(Y$4&lt;$C79,0,IF(Y$4=$C79,SUMIF($L$4:$Z$4,$C79,$L$68:$Z$68)*INDEX($L$72:$Z$72,$C79-$L$4+1),SUMIF($L$4:$Z$4,$C79,$L$68:$Z$68)*Y$71))</f>
        <v>0</v>
      </c>
      <c r="Z79" s="24" cm="1">
        <f t="array" ref="Z79">IF(Z$4&lt;$C79,0,IF(Z$4=$C79,SUMIF($L$4:$Z$4,$C79,$L$68:$Z$68)*INDEX($L$72:$Z$72,$C79-$L$4+1),SUMIF($L$4:$Z$4,$C79,$L$68:$Z$68)*Z$71))</f>
        <v>0</v>
      </c>
    </row>
    <row r="80" spans="3:26" ht="15" customHeight="1" outlineLevel="1" x14ac:dyDescent="0.3">
      <c r="C80" s="78" t="s">
        <v>74</v>
      </c>
      <c r="D80" s="78"/>
      <c r="E80" s="93" t="s">
        <v>70</v>
      </c>
      <c r="F80" s="78"/>
      <c r="G80" s="34">
        <f>SUM(G74:G79)</f>
        <v>2539826.8929531374</v>
      </c>
      <c r="H80" s="29"/>
      <c r="I80" s="29"/>
      <c r="J80" s="34">
        <f>SUM(J74:J79)</f>
        <v>1594796.9999999998</v>
      </c>
      <c r="K80" s="29"/>
      <c r="L80" s="34">
        <f t="shared" ref="L80:Z80" si="35">SUM(L74:L79)</f>
        <v>0</v>
      </c>
      <c r="M80" s="34">
        <f t="shared" si="35"/>
        <v>0</v>
      </c>
      <c r="N80" s="34">
        <f t="shared" si="35"/>
        <v>106319.8</v>
      </c>
      <c r="O80" s="34">
        <f t="shared" si="35"/>
        <v>425279.19999999995</v>
      </c>
      <c r="P80" s="34">
        <f t="shared" si="35"/>
        <v>744238.6</v>
      </c>
      <c r="Q80" s="34">
        <f t="shared" si="35"/>
        <v>239219.55</v>
      </c>
      <c r="R80" s="34">
        <f t="shared" si="35"/>
        <v>79739.850000000006</v>
      </c>
      <c r="S80" s="34">
        <f t="shared" si="35"/>
        <v>0</v>
      </c>
      <c r="T80" s="34">
        <f t="shared" si="35"/>
        <v>0</v>
      </c>
      <c r="U80" s="34">
        <f t="shared" si="35"/>
        <v>0</v>
      </c>
      <c r="V80" s="34">
        <f t="shared" si="35"/>
        <v>0</v>
      </c>
      <c r="W80" s="34">
        <f t="shared" si="35"/>
        <v>0</v>
      </c>
      <c r="X80" s="34">
        <f t="shared" si="35"/>
        <v>0</v>
      </c>
      <c r="Y80" s="34">
        <f t="shared" si="35"/>
        <v>0</v>
      </c>
      <c r="Z80" s="34">
        <f t="shared" si="35"/>
        <v>0</v>
      </c>
    </row>
    <row r="81" spans="2:26" ht="15" customHeight="1" outlineLevel="1" x14ac:dyDescent="0.3"/>
    <row r="82" spans="2:26" ht="15" customHeight="1" outlineLevel="1" x14ac:dyDescent="0.3">
      <c r="B82" s="82" t="s">
        <v>7</v>
      </c>
      <c r="C82" s="85"/>
      <c r="D82" s="162">
        <v>2</v>
      </c>
      <c r="E82" s="86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spans="2:26" ht="15" customHeight="1" outlineLevel="1" x14ac:dyDescent="0.3">
      <c r="C83" s="8" t="s">
        <v>67</v>
      </c>
      <c r="E83" s="76" t="s">
        <v>68</v>
      </c>
      <c r="G83" s="88">
        <v>0</v>
      </c>
      <c r="L83" s="464">
        <f t="shared" ref="L83:Z83" si="36">(1+$G83)^L$6</f>
        <v>1</v>
      </c>
      <c r="M83" s="464">
        <f t="shared" si="36"/>
        <v>1</v>
      </c>
      <c r="N83" s="464">
        <f t="shared" si="36"/>
        <v>1</v>
      </c>
      <c r="O83" s="464">
        <f t="shared" si="36"/>
        <v>1</v>
      </c>
      <c r="P83" s="464">
        <f t="shared" si="36"/>
        <v>1</v>
      </c>
      <c r="Q83" s="464">
        <f t="shared" si="36"/>
        <v>1</v>
      </c>
      <c r="R83" s="464">
        <f t="shared" si="36"/>
        <v>1</v>
      </c>
      <c r="S83" s="464">
        <f t="shared" si="36"/>
        <v>1</v>
      </c>
      <c r="T83" s="464">
        <f t="shared" si="36"/>
        <v>1</v>
      </c>
      <c r="U83" s="464">
        <f t="shared" si="36"/>
        <v>1</v>
      </c>
      <c r="V83" s="464">
        <f t="shared" si="36"/>
        <v>1</v>
      </c>
      <c r="W83" s="464">
        <f t="shared" si="36"/>
        <v>1</v>
      </c>
      <c r="X83" s="464">
        <f t="shared" si="36"/>
        <v>1</v>
      </c>
      <c r="Y83" s="464">
        <f t="shared" si="36"/>
        <v>1</v>
      </c>
      <c r="Z83" s="464">
        <f t="shared" si="36"/>
        <v>1</v>
      </c>
    </row>
    <row r="84" spans="2:26" ht="15" customHeight="1" outlineLevel="1" x14ac:dyDescent="0.3"/>
    <row r="85" spans="2:26" ht="15" customHeight="1" outlineLevel="1" x14ac:dyDescent="0.3">
      <c r="C85" s="89" t="s">
        <v>75</v>
      </c>
      <c r="G85" s="90" t="s">
        <v>76</v>
      </c>
      <c r="H85" s="90" t="s">
        <v>77</v>
      </c>
      <c r="I85" s="91"/>
    </row>
    <row r="86" spans="2:26" ht="15" customHeight="1" outlineLevel="1" x14ac:dyDescent="0.3">
      <c r="C86" s="84" t="s">
        <v>78</v>
      </c>
      <c r="G86" s="30">
        <v>70</v>
      </c>
      <c r="H86" s="30">
        <v>2590000</v>
      </c>
      <c r="I86" s="91"/>
      <c r="L86" s="5">
        <v>0</v>
      </c>
      <c r="M86" s="5">
        <v>0.05</v>
      </c>
      <c r="N86" s="5">
        <v>0.3</v>
      </c>
      <c r="O86" s="5">
        <v>0.3</v>
      </c>
      <c r="P86" s="5">
        <v>0.25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</row>
    <row r="87" spans="2:26" ht="15" customHeight="1" outlineLevel="1" x14ac:dyDescent="0.3">
      <c r="C87" s="84" t="s">
        <v>79</v>
      </c>
      <c r="G87" s="30">
        <v>160</v>
      </c>
      <c r="H87" s="30">
        <v>2705625</v>
      </c>
      <c r="I87" s="91"/>
      <c r="L87" s="5">
        <v>0</v>
      </c>
      <c r="M87" s="5">
        <v>0.05</v>
      </c>
      <c r="N87" s="5">
        <v>0.3</v>
      </c>
      <c r="O87" s="5">
        <v>0.3</v>
      </c>
      <c r="P87" s="5">
        <v>0.25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</row>
    <row r="88" spans="2:26" ht="15" customHeight="1" outlineLevel="1" x14ac:dyDescent="0.3">
      <c r="C88" s="95" t="s">
        <v>80</v>
      </c>
      <c r="G88" s="30">
        <v>80</v>
      </c>
      <c r="H88" s="30">
        <v>3933900</v>
      </c>
      <c r="L88" s="5">
        <v>0</v>
      </c>
      <c r="M88" s="5">
        <v>0.05</v>
      </c>
      <c r="N88" s="5">
        <v>0.3</v>
      </c>
      <c r="O88" s="5">
        <v>0.3</v>
      </c>
      <c r="P88" s="5">
        <v>0.25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</row>
    <row r="89" spans="2:26" ht="15" customHeight="1" outlineLevel="1" x14ac:dyDescent="0.3">
      <c r="C89" s="95"/>
    </row>
    <row r="90" spans="2:26" ht="15" customHeight="1" outlineLevel="1" x14ac:dyDescent="0.3">
      <c r="C90" s="89" t="s">
        <v>60</v>
      </c>
    </row>
    <row r="91" spans="2:26" ht="15" customHeight="1" outlineLevel="1" x14ac:dyDescent="0.3">
      <c r="C91" s="84" t="s">
        <v>78</v>
      </c>
      <c r="E91" s="76" t="s">
        <v>76</v>
      </c>
      <c r="G91" s="33">
        <f>J91</f>
        <v>64</v>
      </c>
      <c r="H91" s="31"/>
      <c r="I91" s="31"/>
      <c r="J91" s="48">
        <f>SUM(L91:Z91)</f>
        <v>64</v>
      </c>
      <c r="K91" s="26"/>
      <c r="L91" s="23">
        <f>IF(ROUND($G86-SUM($K91:K91),0)&gt;ROUND($G86*L86,0),ROUND($G86*L86,0),ROUND($G86-SUM($K91:K91),0))</f>
        <v>0</v>
      </c>
      <c r="M91" s="23">
        <f>IF(ROUND($G86-SUM($K91:L91),0)&gt;ROUND($G86*M86,0),ROUND($G86*M86,0),ROUND($G86-SUM($K91:L91),0))</f>
        <v>4</v>
      </c>
      <c r="N91" s="23">
        <f>IF(ROUND($G86-SUM($K91:M91),0)&gt;ROUND($G86*N86,0),ROUND($G86*N86,0),ROUND($G86-SUM($K91:M91),0))</f>
        <v>21</v>
      </c>
      <c r="O91" s="23">
        <f>IF(ROUND($G86-SUM($K91:N91),0)&gt;ROUND($G86*O86,0),ROUND($G86*O86,0),ROUND($G86-SUM($K91:N91),0))</f>
        <v>21</v>
      </c>
      <c r="P91" s="23">
        <f>IF(ROUND($G86-SUM($K91:O91),0)&gt;ROUND($G86*P86,0),ROUND($G86*P86,0),ROUND($G86-SUM($K91:O91),0))</f>
        <v>18</v>
      </c>
      <c r="Q91" s="23">
        <f>IF(ROUND($G86-SUM($K91:P91),0)&gt;ROUND($G86*Q86,0),ROUND($G86*Q86,0),ROUND($G86-SUM($K91:P91),0))</f>
        <v>0</v>
      </c>
      <c r="R91" s="23">
        <f>IF(ROUND($G86-SUM($K91:Q91),0)&gt;ROUND($G86*R86,0),ROUND($G86*R86,0),ROUND($G86-SUM($K91:Q91),0))</f>
        <v>0</v>
      </c>
      <c r="S91" s="23">
        <f>IF(ROUND($G86-SUM($K91:R91),0)&gt;ROUND($G86*S86,0),ROUND($G86*S86,0),ROUND($G86-SUM($K91:R91),0))</f>
        <v>0</v>
      </c>
      <c r="T91" s="23">
        <f>IF(ROUND($G86-SUM($K91:S91),0)&gt;ROUND($G86*T86,0),ROUND($G86*T86,0),ROUND($G86-SUM($K91:S91),0))</f>
        <v>0</v>
      </c>
      <c r="U91" s="23">
        <f>IF(ROUND($G86-SUM($K91:T91),0)&gt;ROUND($G86*U86,0),ROUND($G86*U86,0),ROUND($G86-SUM($K91:T91),0))</f>
        <v>0</v>
      </c>
      <c r="V91" s="23">
        <f>IF(ROUND($G86-SUM($K91:U91),0)&gt;ROUND($G86*V86,0),ROUND($G86*V86,0),ROUND($G86-SUM($K91:U91),0))</f>
        <v>0</v>
      </c>
      <c r="W91" s="23">
        <f>IF(ROUND($G86-SUM($K91:V91),0)&gt;ROUND($G86*W86,0),ROUND($G86*W86,0),ROUND($G86-SUM($K91:V91),0))</f>
        <v>0</v>
      </c>
      <c r="X91" s="23">
        <f>IF(ROUND($G86-SUM($K91:W91),0)&gt;ROUND($G86*X86,0),ROUND($G86*X86,0),ROUND($G86-SUM($K91:W91),0))</f>
        <v>0</v>
      </c>
      <c r="Y91" s="23">
        <f>IF(ROUND($G86-SUM($K91:X91),0)&gt;ROUND($G86*Y86,0),ROUND($G86*Y86,0),ROUND($G86-SUM($K91:X91),0))</f>
        <v>0</v>
      </c>
      <c r="Z91" s="23">
        <f>IF(ROUND($G86-SUM($K91:Y91),0)&gt;ROUND($G86*Z86,0),ROUND($G86*Z86,0),ROUND($G86-SUM($K91:Y91),0))</f>
        <v>0</v>
      </c>
    </row>
    <row r="92" spans="2:26" ht="15" customHeight="1" outlineLevel="1" x14ac:dyDescent="0.3">
      <c r="C92" s="84" t="s">
        <v>79</v>
      </c>
      <c r="E92" s="76" t="s">
        <v>76</v>
      </c>
      <c r="G92" s="33">
        <f t="shared" ref="G92:G93" si="37">J92</f>
        <v>144</v>
      </c>
      <c r="H92" s="31"/>
      <c r="I92" s="31"/>
      <c r="J92" s="48">
        <f>SUM(L92:Z92)</f>
        <v>144</v>
      </c>
      <c r="K92" s="26"/>
      <c r="L92" s="23">
        <f>IF(ROUND($G87-SUM($K92:K92),0)&gt;ROUND($G87*L87,0),ROUND($G87*L87,0),ROUND($G87-SUM($K92:K92),0))</f>
        <v>0</v>
      </c>
      <c r="M92" s="23">
        <f>IF(ROUND($G87-SUM($K92:L92),0)&gt;ROUND($G87*M87,0),ROUND($G87*M87,0),ROUND($G87-SUM($K92:L92),0))</f>
        <v>8</v>
      </c>
      <c r="N92" s="23">
        <f>IF(ROUND($G87-SUM($K92:M92),0)&gt;ROUND($G87*N87,0),ROUND($G87*N87,0),ROUND($G87-SUM($K92:M92),0))</f>
        <v>48</v>
      </c>
      <c r="O92" s="23">
        <f>IF(ROUND($G87-SUM($K92:N92),0)&gt;ROUND($G87*O87,0),ROUND($G87*O87,0),ROUND($G87-SUM($K92:N92),0))</f>
        <v>48</v>
      </c>
      <c r="P92" s="23">
        <f>IF(ROUND($G87-SUM($K92:O92),0)&gt;ROUND($G87*P87,0),ROUND($G87*P87,0),ROUND($G87-SUM($K92:O92),0))</f>
        <v>40</v>
      </c>
      <c r="Q92" s="23">
        <f>IF(ROUND($G87-SUM($K92:P92),0)&gt;ROUND($G87*Q87,0),ROUND($G87*Q87,0),ROUND($G87-SUM($K92:P92),0))</f>
        <v>0</v>
      </c>
      <c r="R92" s="23">
        <f>IF(ROUND($G87-SUM($K92:Q92),0)&gt;ROUND($G87*R87,0),ROUND($G87*R87,0),ROUND($G87-SUM($K92:Q92),0))</f>
        <v>0</v>
      </c>
      <c r="S92" s="23">
        <f>IF(ROUND($G87-SUM($K92:R92),0)&gt;ROUND($G87*S87,0),ROUND($G87*S87,0),ROUND($G87-SUM($K92:R92),0))</f>
        <v>0</v>
      </c>
      <c r="T92" s="23">
        <f>IF(ROUND($G87-SUM($K92:S92),0)&gt;ROUND($G87*T87,0),ROUND($G87*T87,0),ROUND($G87-SUM($K92:S92),0))</f>
        <v>0</v>
      </c>
      <c r="U92" s="23">
        <f>IF(ROUND($G87-SUM($K92:T92),0)&gt;ROUND($G87*U87,0),ROUND($G87*U87,0),ROUND($G87-SUM($K92:T92),0))</f>
        <v>0</v>
      </c>
      <c r="V92" s="23">
        <f>IF(ROUND($G87-SUM($K92:U92),0)&gt;ROUND($G87*V87,0),ROUND($G87*V87,0),ROUND($G87-SUM($K92:U92),0))</f>
        <v>0</v>
      </c>
      <c r="W92" s="23">
        <f>IF(ROUND($G87-SUM($K92:V92),0)&gt;ROUND($G87*W87,0),ROUND($G87*W87,0),ROUND($G87-SUM($K92:V92),0))</f>
        <v>0</v>
      </c>
      <c r="X92" s="23">
        <f>IF(ROUND($G87-SUM($K92:W92),0)&gt;ROUND($G87*X87,0),ROUND($G87*X87,0),ROUND($G87-SUM($K92:W92),0))</f>
        <v>0</v>
      </c>
      <c r="Y92" s="23">
        <f>IF(ROUND($G87-SUM($K92:X92),0)&gt;ROUND($G87*Y87,0),ROUND($G87*Y87,0),ROUND($G87-SUM($K92:X92),0))</f>
        <v>0</v>
      </c>
      <c r="Z92" s="23">
        <f>IF(ROUND($G87-SUM($K92:Y92),0)&gt;ROUND($G87*Z87,0),ROUND($G87*Z87,0),ROUND($G87-SUM($K92:Y92),0))</f>
        <v>0</v>
      </c>
    </row>
    <row r="93" spans="2:26" ht="15" customHeight="1" outlineLevel="1" x14ac:dyDescent="0.3">
      <c r="C93" s="95" t="s">
        <v>80</v>
      </c>
      <c r="E93" s="76" t="s">
        <v>76</v>
      </c>
      <c r="G93" s="33">
        <f t="shared" si="37"/>
        <v>72</v>
      </c>
      <c r="H93" s="31"/>
      <c r="I93" s="31"/>
      <c r="J93" s="48">
        <f>SUM(L93:Z93)</f>
        <v>72</v>
      </c>
      <c r="K93" s="26"/>
      <c r="L93" s="23">
        <f>IF(ROUND($G88-SUM($K93:K93),0)&gt;ROUND($G88*L88,0),ROUND($G88*L88,0),ROUND($G88-SUM($K93:K93),0))</f>
        <v>0</v>
      </c>
      <c r="M93" s="23">
        <f>IF(ROUND($G88-SUM($K93:L93),0)&gt;ROUND($G88*M88,0),ROUND($G88*M88,0),ROUND($G88-SUM($K93:L93),0))</f>
        <v>4</v>
      </c>
      <c r="N93" s="23">
        <f>IF(ROUND($G88-SUM($K93:M93),0)&gt;ROUND($G88*N88,0),ROUND($G88*N88,0),ROUND($G88-SUM($K93:M93),0))</f>
        <v>24</v>
      </c>
      <c r="O93" s="23">
        <f>IF(ROUND($G88-SUM($K93:N93),0)&gt;ROUND($G88*O88,0),ROUND($G88*O88,0),ROUND($G88-SUM($K93:N93),0))</f>
        <v>24</v>
      </c>
      <c r="P93" s="23">
        <f>IF(ROUND($G88-SUM($K93:O93),0)&gt;ROUND($G88*P88,0),ROUND($G88*P88,0),ROUND($G88-SUM($K93:O93),0))</f>
        <v>20</v>
      </c>
      <c r="Q93" s="23">
        <f>IF(ROUND($G88-SUM($K93:P93),0)&gt;ROUND($G88*Q88,0),ROUND($G88*Q88,0),ROUND($G88-SUM($K93:P93),0))</f>
        <v>0</v>
      </c>
      <c r="R93" s="23">
        <f>IF(ROUND($G88-SUM($K93:Q93),0)&gt;ROUND($G88*R88,0),ROUND($G88*R88,0),ROUND($G88-SUM($K93:Q93),0))</f>
        <v>0</v>
      </c>
      <c r="S93" s="23">
        <f>IF(ROUND($G88-SUM($K93:R93),0)&gt;ROUND($G88*S88,0),ROUND($G88*S88,0),ROUND($G88-SUM($K93:R93),0))</f>
        <v>0</v>
      </c>
      <c r="T93" s="23">
        <f>IF(ROUND($G88-SUM($K93:S93),0)&gt;ROUND($G88*T88,0),ROUND($G88*T88,0),ROUND($G88-SUM($K93:S93),0))</f>
        <v>0</v>
      </c>
      <c r="U93" s="23">
        <f>IF(ROUND($G88-SUM($K93:T93),0)&gt;ROUND($G88*U88,0),ROUND($G88*U88,0),ROUND($G88-SUM($K93:T93),0))</f>
        <v>0</v>
      </c>
      <c r="V93" s="23">
        <f>IF(ROUND($G88-SUM($K93:U93),0)&gt;ROUND($G88*V88,0),ROUND($G88*V88,0),ROUND($G88-SUM($K93:U93),0))</f>
        <v>0</v>
      </c>
      <c r="W93" s="23">
        <f>IF(ROUND($G88-SUM($K93:V93),0)&gt;ROUND($G88*W88,0),ROUND($G88*W88,0),ROUND($G88-SUM($K93:V93),0))</f>
        <v>0</v>
      </c>
      <c r="X93" s="23">
        <f>IF(ROUND($G88-SUM($K93:W93),0)&gt;ROUND($G88*X88,0),ROUND($G88*X88,0),ROUND($G88-SUM($K93:W93),0))</f>
        <v>0</v>
      </c>
      <c r="Y93" s="23">
        <f>IF(ROUND($G88-SUM($K93:X93),0)&gt;ROUND($G88*Y88,0),ROUND($G88*Y88,0),ROUND($G88-SUM($K93:X93),0))</f>
        <v>0</v>
      </c>
      <c r="Z93" s="23">
        <f>IF(ROUND($G88-SUM($K93:Y93),0)&gt;ROUND($G88*Z88,0),ROUND($G88*Z88,0),ROUND($G88-SUM($K93:Y93),0))</f>
        <v>0</v>
      </c>
    </row>
    <row r="94" spans="2:26" ht="15" customHeight="1" outlineLevel="1" x14ac:dyDescent="0.3">
      <c r="C94" s="78" t="s">
        <v>65</v>
      </c>
      <c r="D94" s="92"/>
      <c r="E94" s="93" t="s">
        <v>63</v>
      </c>
      <c r="F94" s="92"/>
      <c r="G94" s="36">
        <f>SUM(G91:G93)</f>
        <v>280</v>
      </c>
      <c r="H94" s="32"/>
      <c r="I94" s="32"/>
      <c r="J94" s="163">
        <f>SUM(J91:J93)</f>
        <v>280</v>
      </c>
      <c r="K94" s="27"/>
      <c r="L94" s="163">
        <f t="shared" ref="L94:Z94" si="38">SUM(L91:L93)</f>
        <v>0</v>
      </c>
      <c r="M94" s="163">
        <f t="shared" si="38"/>
        <v>16</v>
      </c>
      <c r="N94" s="163">
        <f t="shared" si="38"/>
        <v>93</v>
      </c>
      <c r="O94" s="163">
        <f t="shared" si="38"/>
        <v>93</v>
      </c>
      <c r="P94" s="163">
        <f t="shared" si="38"/>
        <v>78</v>
      </c>
      <c r="Q94" s="163">
        <f t="shared" si="38"/>
        <v>0</v>
      </c>
      <c r="R94" s="163">
        <f t="shared" si="38"/>
        <v>0</v>
      </c>
      <c r="S94" s="163">
        <f t="shared" si="38"/>
        <v>0</v>
      </c>
      <c r="T94" s="163">
        <f t="shared" si="38"/>
        <v>0</v>
      </c>
      <c r="U94" s="163">
        <f t="shared" si="38"/>
        <v>0</v>
      </c>
      <c r="V94" s="163">
        <f t="shared" si="38"/>
        <v>0</v>
      </c>
      <c r="W94" s="163">
        <f t="shared" si="38"/>
        <v>0</v>
      </c>
      <c r="X94" s="163">
        <f t="shared" si="38"/>
        <v>0</v>
      </c>
      <c r="Y94" s="163">
        <f t="shared" si="38"/>
        <v>0</v>
      </c>
      <c r="Z94" s="163">
        <f t="shared" si="38"/>
        <v>0</v>
      </c>
    </row>
    <row r="95" spans="2:26" ht="15" customHeight="1" outlineLevel="1" x14ac:dyDescent="0.3">
      <c r="G95" s="19"/>
    </row>
    <row r="96" spans="2:26" ht="15" customHeight="1" outlineLevel="1" x14ac:dyDescent="0.3">
      <c r="C96" s="89" t="s">
        <v>61</v>
      </c>
      <c r="G96" s="19"/>
    </row>
    <row r="97" spans="3:26" ht="15" customHeight="1" outlineLevel="1" x14ac:dyDescent="0.3">
      <c r="C97" s="84" t="s">
        <v>78</v>
      </c>
      <c r="E97" s="76" t="s">
        <v>70</v>
      </c>
      <c r="G97" s="23">
        <f>$H86</f>
        <v>2590000</v>
      </c>
      <c r="J97" s="164">
        <f>SUM(L97:Z97)</f>
        <v>165760</v>
      </c>
      <c r="K97" s="19"/>
      <c r="L97" s="24">
        <f t="shared" ref="L97:Z97" si="39">(($G97*L$83)*L91)/$G$6</f>
        <v>0</v>
      </c>
      <c r="M97" s="24">
        <f t="shared" si="39"/>
        <v>10360</v>
      </c>
      <c r="N97" s="24">
        <f t="shared" si="39"/>
        <v>54390</v>
      </c>
      <c r="O97" s="24">
        <f t="shared" si="39"/>
        <v>54390</v>
      </c>
      <c r="P97" s="24">
        <f t="shared" si="39"/>
        <v>46620</v>
      </c>
      <c r="Q97" s="24">
        <f t="shared" si="39"/>
        <v>0</v>
      </c>
      <c r="R97" s="24">
        <f t="shared" si="39"/>
        <v>0</v>
      </c>
      <c r="S97" s="24">
        <f t="shared" si="39"/>
        <v>0</v>
      </c>
      <c r="T97" s="24">
        <f t="shared" si="39"/>
        <v>0</v>
      </c>
      <c r="U97" s="24">
        <f t="shared" si="39"/>
        <v>0</v>
      </c>
      <c r="V97" s="24">
        <f t="shared" si="39"/>
        <v>0</v>
      </c>
      <c r="W97" s="24">
        <f t="shared" si="39"/>
        <v>0</v>
      </c>
      <c r="X97" s="24">
        <f t="shared" si="39"/>
        <v>0</v>
      </c>
      <c r="Y97" s="24">
        <f t="shared" si="39"/>
        <v>0</v>
      </c>
      <c r="Z97" s="24">
        <f t="shared" si="39"/>
        <v>0</v>
      </c>
    </row>
    <row r="98" spans="3:26" ht="15" customHeight="1" outlineLevel="1" x14ac:dyDescent="0.3">
      <c r="C98" s="84" t="s">
        <v>79</v>
      </c>
      <c r="E98" s="76" t="s">
        <v>70</v>
      </c>
      <c r="G98" s="23">
        <f>$H87</f>
        <v>2705625</v>
      </c>
      <c r="J98" s="164">
        <f>SUM(L98:Z98)</f>
        <v>389610</v>
      </c>
      <c r="K98" s="19"/>
      <c r="L98" s="24">
        <f t="shared" ref="L98:Z98" si="40">(($G98*L$83)*L92)/$G$6</f>
        <v>0</v>
      </c>
      <c r="M98" s="24">
        <f t="shared" si="40"/>
        <v>21645</v>
      </c>
      <c r="N98" s="24">
        <f t="shared" si="40"/>
        <v>129870</v>
      </c>
      <c r="O98" s="24">
        <f t="shared" si="40"/>
        <v>129870</v>
      </c>
      <c r="P98" s="24">
        <f t="shared" si="40"/>
        <v>108225</v>
      </c>
      <c r="Q98" s="24">
        <f t="shared" si="40"/>
        <v>0</v>
      </c>
      <c r="R98" s="24">
        <f t="shared" si="40"/>
        <v>0</v>
      </c>
      <c r="S98" s="24">
        <f t="shared" si="40"/>
        <v>0</v>
      </c>
      <c r="T98" s="24">
        <f t="shared" si="40"/>
        <v>0</v>
      </c>
      <c r="U98" s="24">
        <f t="shared" si="40"/>
        <v>0</v>
      </c>
      <c r="V98" s="24">
        <f t="shared" si="40"/>
        <v>0</v>
      </c>
      <c r="W98" s="24">
        <f t="shared" si="40"/>
        <v>0</v>
      </c>
      <c r="X98" s="24">
        <f t="shared" si="40"/>
        <v>0</v>
      </c>
      <c r="Y98" s="24">
        <f t="shared" si="40"/>
        <v>0</v>
      </c>
      <c r="Z98" s="24">
        <f t="shared" si="40"/>
        <v>0</v>
      </c>
    </row>
    <row r="99" spans="3:26" ht="15" customHeight="1" outlineLevel="1" x14ac:dyDescent="0.3">
      <c r="C99" s="95" t="s">
        <v>80</v>
      </c>
      <c r="E99" s="76" t="s">
        <v>70</v>
      </c>
      <c r="G99" s="23">
        <f>$H88</f>
        <v>3933900</v>
      </c>
      <c r="J99" s="164">
        <f>SUM(L99:Z99)</f>
        <v>283240.80000000005</v>
      </c>
      <c r="K99" s="19"/>
      <c r="L99" s="24">
        <f t="shared" ref="L99:Z99" si="41">(($G99*L$83)*L93)/$G$6</f>
        <v>0</v>
      </c>
      <c r="M99" s="24">
        <f t="shared" si="41"/>
        <v>15735.6</v>
      </c>
      <c r="N99" s="24">
        <f t="shared" si="41"/>
        <v>94413.6</v>
      </c>
      <c r="O99" s="24">
        <f t="shared" si="41"/>
        <v>94413.6</v>
      </c>
      <c r="P99" s="24">
        <f t="shared" si="41"/>
        <v>78678</v>
      </c>
      <c r="Q99" s="24">
        <f t="shared" si="41"/>
        <v>0</v>
      </c>
      <c r="R99" s="24">
        <f t="shared" si="41"/>
        <v>0</v>
      </c>
      <c r="S99" s="24">
        <f t="shared" si="41"/>
        <v>0</v>
      </c>
      <c r="T99" s="24">
        <f t="shared" si="41"/>
        <v>0</v>
      </c>
      <c r="U99" s="24">
        <f t="shared" si="41"/>
        <v>0</v>
      </c>
      <c r="V99" s="24">
        <f t="shared" si="41"/>
        <v>0</v>
      </c>
      <c r="W99" s="24">
        <f t="shared" si="41"/>
        <v>0</v>
      </c>
      <c r="X99" s="24">
        <f t="shared" si="41"/>
        <v>0</v>
      </c>
      <c r="Y99" s="24">
        <f t="shared" si="41"/>
        <v>0</v>
      </c>
      <c r="Z99" s="24">
        <f t="shared" si="41"/>
        <v>0</v>
      </c>
    </row>
    <row r="100" spans="3:26" ht="15" customHeight="1" outlineLevel="1" x14ac:dyDescent="0.3">
      <c r="C100" s="78" t="s">
        <v>66</v>
      </c>
      <c r="D100" s="92"/>
      <c r="E100" s="93" t="s">
        <v>70</v>
      </c>
      <c r="F100" s="92"/>
      <c r="G100" s="36">
        <f>AVERAGE(G97:G99)</f>
        <v>3076508.3333333335</v>
      </c>
      <c r="H100" s="32"/>
      <c r="I100" s="32"/>
      <c r="J100" s="165">
        <f>SUM(L100:Z100)</f>
        <v>838610.79999999993</v>
      </c>
      <c r="K100" s="27"/>
      <c r="L100" s="165">
        <f t="shared" ref="L100:Z100" si="42">SUM(L97:L99)</f>
        <v>0</v>
      </c>
      <c r="M100" s="165">
        <f t="shared" si="42"/>
        <v>47740.6</v>
      </c>
      <c r="N100" s="165">
        <f t="shared" si="42"/>
        <v>278673.59999999998</v>
      </c>
      <c r="O100" s="165">
        <f t="shared" si="42"/>
        <v>278673.59999999998</v>
      </c>
      <c r="P100" s="165">
        <f t="shared" si="42"/>
        <v>233523</v>
      </c>
      <c r="Q100" s="165">
        <f t="shared" si="42"/>
        <v>0</v>
      </c>
      <c r="R100" s="165">
        <f t="shared" si="42"/>
        <v>0</v>
      </c>
      <c r="S100" s="165">
        <f t="shared" si="42"/>
        <v>0</v>
      </c>
      <c r="T100" s="165">
        <f t="shared" si="42"/>
        <v>0</v>
      </c>
      <c r="U100" s="165">
        <f t="shared" si="42"/>
        <v>0</v>
      </c>
      <c r="V100" s="165">
        <f t="shared" si="42"/>
        <v>0</v>
      </c>
      <c r="W100" s="165">
        <f t="shared" si="42"/>
        <v>0</v>
      </c>
      <c r="X100" s="165">
        <f t="shared" si="42"/>
        <v>0</v>
      </c>
      <c r="Y100" s="165">
        <f t="shared" si="42"/>
        <v>0</v>
      </c>
      <c r="Z100" s="165">
        <f t="shared" si="42"/>
        <v>0</v>
      </c>
    </row>
    <row r="101" spans="3:26" ht="15" customHeight="1" outlineLevel="1" x14ac:dyDescent="0.3"/>
    <row r="102" spans="3:26" ht="15" customHeight="1" outlineLevel="1" x14ac:dyDescent="0.3">
      <c r="C102" s="94" t="s">
        <v>71</v>
      </c>
    </row>
    <row r="103" spans="3:26" ht="15" customHeight="1" outlineLevel="1" x14ac:dyDescent="0.3">
      <c r="C103" s="84" t="s">
        <v>72</v>
      </c>
      <c r="E103" s="76" t="s">
        <v>68</v>
      </c>
      <c r="L103" s="5">
        <v>0</v>
      </c>
      <c r="M103" s="5">
        <v>0.2</v>
      </c>
      <c r="N103" s="5">
        <v>0.3</v>
      </c>
      <c r="O103" s="5">
        <v>0.3</v>
      </c>
      <c r="P103" s="5">
        <v>0.15</v>
      </c>
      <c r="Q103" s="5">
        <v>0.05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</row>
    <row r="104" spans="3:26" ht="15" customHeight="1" outlineLevel="1" x14ac:dyDescent="0.3">
      <c r="C104" s="84" t="s">
        <v>73</v>
      </c>
      <c r="E104" s="76" t="s">
        <v>68</v>
      </c>
      <c r="L104" s="4">
        <f t="shared" ref="L104:Z104" si="43">K104+L103</f>
        <v>0</v>
      </c>
      <c r="M104" s="4">
        <f t="shared" si="43"/>
        <v>0.2</v>
      </c>
      <c r="N104" s="4">
        <f t="shared" si="43"/>
        <v>0.5</v>
      </c>
      <c r="O104" s="4">
        <f t="shared" si="43"/>
        <v>0.8</v>
      </c>
      <c r="P104" s="4">
        <f t="shared" si="43"/>
        <v>0.95000000000000007</v>
      </c>
      <c r="Q104" s="4">
        <f t="shared" si="43"/>
        <v>1</v>
      </c>
      <c r="R104" s="4">
        <f t="shared" si="43"/>
        <v>1</v>
      </c>
      <c r="S104" s="4">
        <f t="shared" si="43"/>
        <v>1</v>
      </c>
      <c r="T104" s="4">
        <f t="shared" si="43"/>
        <v>1</v>
      </c>
      <c r="U104" s="4">
        <f t="shared" si="43"/>
        <v>1</v>
      </c>
      <c r="V104" s="4">
        <f t="shared" si="43"/>
        <v>1</v>
      </c>
      <c r="W104" s="4">
        <f t="shared" si="43"/>
        <v>1</v>
      </c>
      <c r="X104" s="4">
        <f t="shared" si="43"/>
        <v>1</v>
      </c>
      <c r="Y104" s="4">
        <f t="shared" si="43"/>
        <v>1</v>
      </c>
      <c r="Z104" s="4">
        <f t="shared" si="43"/>
        <v>1</v>
      </c>
    </row>
    <row r="105" spans="3:26" ht="15" customHeight="1" outlineLevel="1" x14ac:dyDescent="0.3"/>
    <row r="106" spans="3:26" ht="15" customHeight="1" outlineLevel="1" x14ac:dyDescent="0.3">
      <c r="C106" s="66">
        <v>2025</v>
      </c>
      <c r="E106" s="76" t="s">
        <v>70</v>
      </c>
      <c r="G106" s="33">
        <f t="shared" ref="G106:G111" si="44">SUMIF($L$4:$Z$4,$C106,$L$100:$Z$100)</f>
        <v>0</v>
      </c>
      <c r="J106" s="164">
        <f t="shared" ref="J106:J111" si="45">SUM(L106:Z106)</f>
        <v>0</v>
      </c>
      <c r="K106" s="19"/>
      <c r="L106" s="24" cm="1">
        <f t="array" ref="L106">IF(L$4&lt;$C106,0,IF(L$4=$C106,SUMIF($L$4:$Z$4,$C106,$L$100:$Z$100)*INDEX($L$104:$Z$104,$C106-$L$4+1),SUMIF($L$4:$Z$4,$C106,$L$100:$Z$100)*L$103))</f>
        <v>0</v>
      </c>
      <c r="M106" s="24" cm="1">
        <f t="array" ref="M106">IF(M$4&lt;$C106,0,IF(M$4=$C106,SUMIF($L$4:$Z$4,$C106,$L$100:$Z$100)*INDEX($L$104:$Z$104,$C106-$L$4+1),SUMIF($L$4:$Z$4,$C106,$L$100:$Z$100)*M$103))</f>
        <v>0</v>
      </c>
      <c r="N106" s="24" cm="1">
        <f t="array" ref="N106">IF(N$4&lt;$C106,0,IF(N$4=$C106,SUMIF($L$4:$Z$4,$C106,$L$100:$Z$100)*INDEX($L$104:$Z$104,$C106-$L$4+1),SUMIF($L$4:$Z$4,$C106,$L$100:$Z$100)*N$103))</f>
        <v>0</v>
      </c>
      <c r="O106" s="24" cm="1">
        <f t="array" ref="O106">IF(O$4&lt;$C106,0,IF(O$4=$C106,SUMIF($L$4:$Z$4,$C106,$L$100:$Z$100)*INDEX($L$104:$Z$104,$C106-$L$4+1),SUMIF($L$4:$Z$4,$C106,$L$100:$Z$100)*O$103))</f>
        <v>0</v>
      </c>
      <c r="P106" s="24" cm="1">
        <f t="array" ref="P106">IF(P$4&lt;$C106,0,IF(P$4=$C106,SUMIF($L$4:$Z$4,$C106,$L$100:$Z$100)*INDEX($L$104:$Z$104,$C106-$L$4+1),SUMIF($L$4:$Z$4,$C106,$L$100:$Z$100)*P$103))</f>
        <v>0</v>
      </c>
      <c r="Q106" s="24" cm="1">
        <f t="array" ref="Q106">IF(Q$4&lt;$C106,0,IF(Q$4=$C106,SUMIF($L$4:$Z$4,$C106,$L$100:$Z$100)*INDEX($L$104:$Z$104,$C106-$L$4+1),SUMIF($L$4:$Z$4,$C106,$L$100:$Z$100)*Q$103))</f>
        <v>0</v>
      </c>
      <c r="R106" s="24" cm="1">
        <f t="array" ref="R106">IF(R$4&lt;$C106,0,IF(R$4=$C106,SUMIF($L$4:$Z$4,$C106,$L$100:$Z$100)*INDEX($L$104:$Z$104,$C106-$L$4+1),SUMIF($L$4:$Z$4,$C106,$L$100:$Z$100)*R$103))</f>
        <v>0</v>
      </c>
      <c r="S106" s="24" cm="1">
        <f t="array" ref="S106">IF(S$4&lt;$C106,0,IF(S$4=$C106,SUMIF($L$4:$Z$4,$C106,$L$100:$Z$100)*INDEX($L$104:$Z$104,$C106-$L$4+1),SUMIF($L$4:$Z$4,$C106,$L$100:$Z$100)*S$103))</f>
        <v>0</v>
      </c>
      <c r="T106" s="24" cm="1">
        <f t="array" ref="T106">IF(T$4&lt;$C106,0,IF(T$4=$C106,SUMIF($L$4:$Z$4,$C106,$L$100:$Z$100)*INDEX($L$104:$Z$104,$C106-$L$4+1),SUMIF($L$4:$Z$4,$C106,$L$100:$Z$100)*T$103))</f>
        <v>0</v>
      </c>
      <c r="U106" s="24" cm="1">
        <f t="array" ref="U106">IF(U$4&lt;$C106,0,IF(U$4=$C106,SUMIF($L$4:$Z$4,$C106,$L$100:$Z$100)*INDEX($L$104:$Z$104,$C106-$L$4+1),SUMIF($L$4:$Z$4,$C106,$L$100:$Z$100)*U$103))</f>
        <v>0</v>
      </c>
      <c r="V106" s="24" cm="1">
        <f t="array" ref="V106">IF(V$4&lt;$C106,0,IF(V$4=$C106,SUMIF($L$4:$Z$4,$C106,$L$100:$Z$100)*INDEX($L$104:$Z$104,$C106-$L$4+1),SUMIF($L$4:$Z$4,$C106,$L$100:$Z$100)*V$103))</f>
        <v>0</v>
      </c>
      <c r="W106" s="24" cm="1">
        <f t="array" ref="W106">IF(W$4&lt;$C106,0,IF(W$4=$C106,SUMIF($L$4:$Z$4,$C106,$L$100:$Z$100)*INDEX($L$104:$Z$104,$C106-$L$4+1),SUMIF($L$4:$Z$4,$C106,$L$100:$Z$100)*W$103))</f>
        <v>0</v>
      </c>
      <c r="X106" s="24" cm="1">
        <f t="array" ref="X106">IF(X$4&lt;$C106,0,IF(X$4=$C106,SUMIF($L$4:$Z$4,$C106,$L$100:$Z$100)*INDEX($L$104:$Z$104,$C106-$L$4+1),SUMIF($L$4:$Z$4,$C106,$L$100:$Z$100)*X$103))</f>
        <v>0</v>
      </c>
      <c r="Y106" s="24" cm="1">
        <f t="array" ref="Y106">IF(Y$4&lt;$C106,0,IF(Y$4=$C106,SUMIF($L$4:$Z$4,$C106,$L$100:$Z$100)*INDEX($L$104:$Z$104,$C106-$L$4+1),SUMIF($L$4:$Z$4,$C106,$L$100:$Z$100)*Y$103))</f>
        <v>0</v>
      </c>
      <c r="Z106" s="24" cm="1">
        <f t="array" ref="Z106">IF(Z$4&lt;$C106,0,IF(Z$4=$C106,SUMIF($L$4:$Z$4,$C106,$L$100:$Z$100)*INDEX($L$104:$Z$104,$C106-$L$4+1),SUMIF($L$4:$Z$4,$C106,$L$100:$Z$100)*Z$103))</f>
        <v>0</v>
      </c>
    </row>
    <row r="107" spans="3:26" ht="15" customHeight="1" outlineLevel="1" x14ac:dyDescent="0.3">
      <c r="C107" s="23">
        <f>C106+1</f>
        <v>2026</v>
      </c>
      <c r="E107" s="76" t="s">
        <v>70</v>
      </c>
      <c r="G107" s="33">
        <f t="shared" si="44"/>
        <v>47740.6</v>
      </c>
      <c r="J107" s="164">
        <f t="shared" si="45"/>
        <v>47740.599999999991</v>
      </c>
      <c r="K107" s="19"/>
      <c r="L107" s="24" cm="1">
        <f t="array" ref="L107">IF(L$4&lt;$C107,0,IF(L$4=$C107,SUMIF($L$4:$Z$4,$C107,$L$100:$Z$100)*INDEX($L$104:$Z$104,$C107-$L$4+1),SUMIF($L$4:$Z$4,$C107,$L$100:$Z$100)*L$103))</f>
        <v>0</v>
      </c>
      <c r="M107" s="24" cm="1">
        <f t="array" ref="M107">IF(M$4&lt;$C107,0,IF(M$4=$C107,SUMIF($L$4:$Z$4,$C107,$L$100:$Z$100)*INDEX($L$104:$Z$104,$C107-$L$4+1),SUMIF($L$4:$Z$4,$C107,$L$100:$Z$100)*M$103))</f>
        <v>9548.1200000000008</v>
      </c>
      <c r="N107" s="24" cm="1">
        <f t="array" ref="N107">IF(N$4&lt;$C107,0,IF(N$4=$C107,SUMIF($L$4:$Z$4,$C107,$L$100:$Z$100)*INDEX($L$104:$Z$104,$C107-$L$4+1),SUMIF($L$4:$Z$4,$C107,$L$100:$Z$100)*N$103))</f>
        <v>14322.179999999998</v>
      </c>
      <c r="O107" s="24" cm="1">
        <f t="array" ref="O107">IF(O$4&lt;$C107,0,IF(O$4=$C107,SUMIF($L$4:$Z$4,$C107,$L$100:$Z$100)*INDEX($L$104:$Z$104,$C107-$L$4+1),SUMIF($L$4:$Z$4,$C107,$L$100:$Z$100)*O$103))</f>
        <v>14322.179999999998</v>
      </c>
      <c r="P107" s="24" cm="1">
        <f t="array" ref="P107">IF(P$4&lt;$C107,0,IF(P$4=$C107,SUMIF($L$4:$Z$4,$C107,$L$100:$Z$100)*INDEX($L$104:$Z$104,$C107-$L$4+1),SUMIF($L$4:$Z$4,$C107,$L$100:$Z$100)*P$103))</f>
        <v>7161.0899999999992</v>
      </c>
      <c r="Q107" s="24" cm="1">
        <f t="array" ref="Q107">IF(Q$4&lt;$C107,0,IF(Q$4=$C107,SUMIF($L$4:$Z$4,$C107,$L$100:$Z$100)*INDEX($L$104:$Z$104,$C107-$L$4+1),SUMIF($L$4:$Z$4,$C107,$L$100:$Z$100)*Q$103))</f>
        <v>2387.0300000000002</v>
      </c>
      <c r="R107" s="24" cm="1">
        <f t="array" ref="R107">IF(R$4&lt;$C107,0,IF(R$4=$C107,SUMIF($L$4:$Z$4,$C107,$L$100:$Z$100)*INDEX($L$104:$Z$104,$C107-$L$4+1),SUMIF($L$4:$Z$4,$C107,$L$100:$Z$100)*R$103))</f>
        <v>0</v>
      </c>
      <c r="S107" s="24" cm="1">
        <f t="array" ref="S107">IF(S$4&lt;$C107,0,IF(S$4=$C107,SUMIF($L$4:$Z$4,$C107,$L$100:$Z$100)*INDEX($L$104:$Z$104,$C107-$L$4+1),SUMIF($L$4:$Z$4,$C107,$L$100:$Z$100)*S$103))</f>
        <v>0</v>
      </c>
      <c r="T107" s="24" cm="1">
        <f t="array" ref="T107">IF(T$4&lt;$C107,0,IF(T$4=$C107,SUMIF($L$4:$Z$4,$C107,$L$100:$Z$100)*INDEX($L$104:$Z$104,$C107-$L$4+1),SUMIF($L$4:$Z$4,$C107,$L$100:$Z$100)*T$103))</f>
        <v>0</v>
      </c>
      <c r="U107" s="24" cm="1">
        <f t="array" ref="U107">IF(U$4&lt;$C107,0,IF(U$4=$C107,SUMIF($L$4:$Z$4,$C107,$L$100:$Z$100)*INDEX($L$104:$Z$104,$C107-$L$4+1),SUMIF($L$4:$Z$4,$C107,$L$100:$Z$100)*U$103))</f>
        <v>0</v>
      </c>
      <c r="V107" s="24" cm="1">
        <f t="array" ref="V107">IF(V$4&lt;$C107,0,IF(V$4=$C107,SUMIF($L$4:$Z$4,$C107,$L$100:$Z$100)*INDEX($L$104:$Z$104,$C107-$L$4+1),SUMIF($L$4:$Z$4,$C107,$L$100:$Z$100)*V$103))</f>
        <v>0</v>
      </c>
      <c r="W107" s="24" cm="1">
        <f t="array" ref="W107">IF(W$4&lt;$C107,0,IF(W$4=$C107,SUMIF($L$4:$Z$4,$C107,$L$100:$Z$100)*INDEX($L$104:$Z$104,$C107-$L$4+1),SUMIF($L$4:$Z$4,$C107,$L$100:$Z$100)*W$103))</f>
        <v>0</v>
      </c>
      <c r="X107" s="24" cm="1">
        <f t="array" ref="X107">IF(X$4&lt;$C107,0,IF(X$4=$C107,SUMIF($L$4:$Z$4,$C107,$L$100:$Z$100)*INDEX($L$104:$Z$104,$C107-$L$4+1),SUMIF($L$4:$Z$4,$C107,$L$100:$Z$100)*X$103))</f>
        <v>0</v>
      </c>
      <c r="Y107" s="24" cm="1">
        <f t="array" ref="Y107">IF(Y$4&lt;$C107,0,IF(Y$4=$C107,SUMIF($L$4:$Z$4,$C107,$L$100:$Z$100)*INDEX($L$104:$Z$104,$C107-$L$4+1),SUMIF($L$4:$Z$4,$C107,$L$100:$Z$100)*Y$103))</f>
        <v>0</v>
      </c>
      <c r="Z107" s="24" cm="1">
        <f t="array" ref="Z107">IF(Z$4&lt;$C107,0,IF(Z$4=$C107,SUMIF($L$4:$Z$4,$C107,$L$100:$Z$100)*INDEX($L$104:$Z$104,$C107-$L$4+1),SUMIF($L$4:$Z$4,$C107,$L$100:$Z$100)*Z$103))</f>
        <v>0</v>
      </c>
    </row>
    <row r="108" spans="3:26" ht="15" customHeight="1" outlineLevel="1" x14ac:dyDescent="0.3">
      <c r="C108" s="23">
        <f>C107+1</f>
        <v>2027</v>
      </c>
      <c r="E108" s="76" t="s">
        <v>70</v>
      </c>
      <c r="G108" s="33">
        <f t="shared" si="44"/>
        <v>278673.59999999998</v>
      </c>
      <c r="J108" s="164">
        <f t="shared" si="45"/>
        <v>278673.59999999998</v>
      </c>
      <c r="K108" s="19"/>
      <c r="L108" s="24" cm="1">
        <f t="array" ref="L108">IF(L$4&lt;$C108,0,IF(L$4=$C108,SUMIF($L$4:$Z$4,$C108,$L$100:$Z$100)*INDEX($L$104:$Z$104,$C108-$L$4+1),SUMIF($L$4:$Z$4,$C108,$L$100:$Z$100)*L$103))</f>
        <v>0</v>
      </c>
      <c r="M108" s="24" cm="1">
        <f t="array" ref="M108">IF(M$4&lt;$C108,0,IF(M$4=$C108,SUMIF($L$4:$Z$4,$C108,$L$100:$Z$100)*INDEX($L$104:$Z$104,$C108-$L$4+1),SUMIF($L$4:$Z$4,$C108,$L$100:$Z$100)*M$103))</f>
        <v>0</v>
      </c>
      <c r="N108" s="24" cm="1">
        <f t="array" ref="N108">IF(N$4&lt;$C108,0,IF(N$4=$C108,SUMIF($L$4:$Z$4,$C108,$L$100:$Z$100)*INDEX($L$104:$Z$104,$C108-$L$4+1),SUMIF($L$4:$Z$4,$C108,$L$100:$Z$100)*N$103))</f>
        <v>139336.79999999999</v>
      </c>
      <c r="O108" s="24" cm="1">
        <f t="array" ref="O108">IF(O$4&lt;$C108,0,IF(O$4=$C108,SUMIF($L$4:$Z$4,$C108,$L$100:$Z$100)*INDEX($L$104:$Z$104,$C108-$L$4+1),SUMIF($L$4:$Z$4,$C108,$L$100:$Z$100)*O$103))</f>
        <v>83602.079999999987</v>
      </c>
      <c r="P108" s="24" cm="1">
        <f t="array" ref="P108">IF(P$4&lt;$C108,0,IF(P$4=$C108,SUMIF($L$4:$Z$4,$C108,$L$100:$Z$100)*INDEX($L$104:$Z$104,$C108-$L$4+1),SUMIF($L$4:$Z$4,$C108,$L$100:$Z$100)*P$103))</f>
        <v>41801.039999999994</v>
      </c>
      <c r="Q108" s="24" cm="1">
        <f t="array" ref="Q108">IF(Q$4&lt;$C108,0,IF(Q$4=$C108,SUMIF($L$4:$Z$4,$C108,$L$100:$Z$100)*INDEX($L$104:$Z$104,$C108-$L$4+1),SUMIF($L$4:$Z$4,$C108,$L$100:$Z$100)*Q$103))</f>
        <v>13933.68</v>
      </c>
      <c r="R108" s="24" cm="1">
        <f t="array" ref="R108">IF(R$4&lt;$C108,0,IF(R$4=$C108,SUMIF($L$4:$Z$4,$C108,$L$100:$Z$100)*INDEX($L$104:$Z$104,$C108-$L$4+1),SUMIF($L$4:$Z$4,$C108,$L$100:$Z$100)*R$103))</f>
        <v>0</v>
      </c>
      <c r="S108" s="24" cm="1">
        <f t="array" ref="S108">IF(S$4&lt;$C108,0,IF(S$4=$C108,SUMIF($L$4:$Z$4,$C108,$L$100:$Z$100)*INDEX($L$104:$Z$104,$C108-$L$4+1),SUMIF($L$4:$Z$4,$C108,$L$100:$Z$100)*S$103))</f>
        <v>0</v>
      </c>
      <c r="T108" s="24" cm="1">
        <f t="array" ref="T108">IF(T$4&lt;$C108,0,IF(T$4=$C108,SUMIF($L$4:$Z$4,$C108,$L$100:$Z$100)*INDEX($L$104:$Z$104,$C108-$L$4+1),SUMIF($L$4:$Z$4,$C108,$L$100:$Z$100)*T$103))</f>
        <v>0</v>
      </c>
      <c r="U108" s="24" cm="1">
        <f t="array" ref="U108">IF(U$4&lt;$C108,0,IF(U$4=$C108,SUMIF($L$4:$Z$4,$C108,$L$100:$Z$100)*INDEX($L$104:$Z$104,$C108-$L$4+1),SUMIF($L$4:$Z$4,$C108,$L$100:$Z$100)*U$103))</f>
        <v>0</v>
      </c>
      <c r="V108" s="24" cm="1">
        <f t="array" ref="V108">IF(V$4&lt;$C108,0,IF(V$4=$C108,SUMIF($L$4:$Z$4,$C108,$L$100:$Z$100)*INDEX($L$104:$Z$104,$C108-$L$4+1),SUMIF($L$4:$Z$4,$C108,$L$100:$Z$100)*V$103))</f>
        <v>0</v>
      </c>
      <c r="W108" s="24" cm="1">
        <f t="array" ref="W108">IF(W$4&lt;$C108,0,IF(W$4=$C108,SUMIF($L$4:$Z$4,$C108,$L$100:$Z$100)*INDEX($L$104:$Z$104,$C108-$L$4+1),SUMIF($L$4:$Z$4,$C108,$L$100:$Z$100)*W$103))</f>
        <v>0</v>
      </c>
      <c r="X108" s="24" cm="1">
        <f t="array" ref="X108">IF(X$4&lt;$C108,0,IF(X$4=$C108,SUMIF($L$4:$Z$4,$C108,$L$100:$Z$100)*INDEX($L$104:$Z$104,$C108-$L$4+1),SUMIF($L$4:$Z$4,$C108,$L$100:$Z$100)*X$103))</f>
        <v>0</v>
      </c>
      <c r="Y108" s="24" cm="1">
        <f t="array" ref="Y108">IF(Y$4&lt;$C108,0,IF(Y$4=$C108,SUMIF($L$4:$Z$4,$C108,$L$100:$Z$100)*INDEX($L$104:$Z$104,$C108-$L$4+1),SUMIF($L$4:$Z$4,$C108,$L$100:$Z$100)*Y$103))</f>
        <v>0</v>
      </c>
      <c r="Z108" s="24" cm="1">
        <f t="array" ref="Z108">IF(Z$4&lt;$C108,0,IF(Z$4=$C108,SUMIF($L$4:$Z$4,$C108,$L$100:$Z$100)*INDEX($L$104:$Z$104,$C108-$L$4+1),SUMIF($L$4:$Z$4,$C108,$L$100:$Z$100)*Z$103))</f>
        <v>0</v>
      </c>
    </row>
    <row r="109" spans="3:26" ht="15" customHeight="1" outlineLevel="1" x14ac:dyDescent="0.3">
      <c r="C109" s="23">
        <f>C108+1</f>
        <v>2028</v>
      </c>
      <c r="E109" s="76" t="s">
        <v>70</v>
      </c>
      <c r="G109" s="33">
        <f t="shared" si="44"/>
        <v>278673.59999999998</v>
      </c>
      <c r="J109" s="164">
        <f t="shared" si="45"/>
        <v>278673.59999999998</v>
      </c>
      <c r="K109" s="19"/>
      <c r="L109" s="24" cm="1">
        <f t="array" ref="L109">IF(L$4&lt;$C109,0,IF(L$4=$C109,SUMIF($L$4:$Z$4,$C109,$L$100:$Z$100)*INDEX($L$104:$Z$104,$C109-$L$4+1),SUMIF($L$4:$Z$4,$C109,$L$100:$Z$100)*L$103))</f>
        <v>0</v>
      </c>
      <c r="M109" s="24" cm="1">
        <f t="array" ref="M109">IF(M$4&lt;$C109,0,IF(M$4=$C109,SUMIF($L$4:$Z$4,$C109,$L$100:$Z$100)*INDEX($L$104:$Z$104,$C109-$L$4+1),SUMIF($L$4:$Z$4,$C109,$L$100:$Z$100)*M$103))</f>
        <v>0</v>
      </c>
      <c r="N109" s="24" cm="1">
        <f t="array" ref="N109">IF(N$4&lt;$C109,0,IF(N$4=$C109,SUMIF($L$4:$Z$4,$C109,$L$100:$Z$100)*INDEX($L$104:$Z$104,$C109-$L$4+1),SUMIF($L$4:$Z$4,$C109,$L$100:$Z$100)*N$103))</f>
        <v>0</v>
      </c>
      <c r="O109" s="24" cm="1">
        <f t="array" ref="O109">IF(O$4&lt;$C109,0,IF(O$4=$C109,SUMIF($L$4:$Z$4,$C109,$L$100:$Z$100)*INDEX($L$104:$Z$104,$C109-$L$4+1),SUMIF($L$4:$Z$4,$C109,$L$100:$Z$100)*O$103))</f>
        <v>222938.88</v>
      </c>
      <c r="P109" s="24" cm="1">
        <f t="array" ref="P109">IF(P$4&lt;$C109,0,IF(P$4=$C109,SUMIF($L$4:$Z$4,$C109,$L$100:$Z$100)*INDEX($L$104:$Z$104,$C109-$L$4+1),SUMIF($L$4:$Z$4,$C109,$L$100:$Z$100)*P$103))</f>
        <v>41801.039999999994</v>
      </c>
      <c r="Q109" s="24" cm="1">
        <f t="array" ref="Q109">IF(Q$4&lt;$C109,0,IF(Q$4=$C109,SUMIF($L$4:$Z$4,$C109,$L$100:$Z$100)*INDEX($L$104:$Z$104,$C109-$L$4+1),SUMIF($L$4:$Z$4,$C109,$L$100:$Z$100)*Q$103))</f>
        <v>13933.68</v>
      </c>
      <c r="R109" s="24" cm="1">
        <f t="array" ref="R109">IF(R$4&lt;$C109,0,IF(R$4=$C109,SUMIF($L$4:$Z$4,$C109,$L$100:$Z$100)*INDEX($L$104:$Z$104,$C109-$L$4+1),SUMIF($L$4:$Z$4,$C109,$L$100:$Z$100)*R$103))</f>
        <v>0</v>
      </c>
      <c r="S109" s="24" cm="1">
        <f t="array" ref="S109">IF(S$4&lt;$C109,0,IF(S$4=$C109,SUMIF($L$4:$Z$4,$C109,$L$100:$Z$100)*INDEX($L$104:$Z$104,$C109-$L$4+1),SUMIF($L$4:$Z$4,$C109,$L$100:$Z$100)*S$103))</f>
        <v>0</v>
      </c>
      <c r="T109" s="24" cm="1">
        <f t="array" ref="T109">IF(T$4&lt;$C109,0,IF(T$4=$C109,SUMIF($L$4:$Z$4,$C109,$L$100:$Z$100)*INDEX($L$104:$Z$104,$C109-$L$4+1),SUMIF($L$4:$Z$4,$C109,$L$100:$Z$100)*T$103))</f>
        <v>0</v>
      </c>
      <c r="U109" s="24" cm="1">
        <f t="array" ref="U109">IF(U$4&lt;$C109,0,IF(U$4=$C109,SUMIF($L$4:$Z$4,$C109,$L$100:$Z$100)*INDEX($L$104:$Z$104,$C109-$L$4+1),SUMIF($L$4:$Z$4,$C109,$L$100:$Z$100)*U$103))</f>
        <v>0</v>
      </c>
      <c r="V109" s="24" cm="1">
        <f t="array" ref="V109">IF(V$4&lt;$C109,0,IF(V$4=$C109,SUMIF($L$4:$Z$4,$C109,$L$100:$Z$100)*INDEX($L$104:$Z$104,$C109-$L$4+1),SUMIF($L$4:$Z$4,$C109,$L$100:$Z$100)*V$103))</f>
        <v>0</v>
      </c>
      <c r="W109" s="24" cm="1">
        <f t="array" ref="W109">IF(W$4&lt;$C109,0,IF(W$4=$C109,SUMIF($L$4:$Z$4,$C109,$L$100:$Z$100)*INDEX($L$104:$Z$104,$C109-$L$4+1),SUMIF($L$4:$Z$4,$C109,$L$100:$Z$100)*W$103))</f>
        <v>0</v>
      </c>
      <c r="X109" s="24" cm="1">
        <f t="array" ref="X109">IF(X$4&lt;$C109,0,IF(X$4=$C109,SUMIF($L$4:$Z$4,$C109,$L$100:$Z$100)*INDEX($L$104:$Z$104,$C109-$L$4+1),SUMIF($L$4:$Z$4,$C109,$L$100:$Z$100)*X$103))</f>
        <v>0</v>
      </c>
      <c r="Y109" s="24" cm="1">
        <f t="array" ref="Y109">IF(Y$4&lt;$C109,0,IF(Y$4=$C109,SUMIF($L$4:$Z$4,$C109,$L$100:$Z$100)*INDEX($L$104:$Z$104,$C109-$L$4+1),SUMIF($L$4:$Z$4,$C109,$L$100:$Z$100)*Y$103))</f>
        <v>0</v>
      </c>
      <c r="Z109" s="24" cm="1">
        <f t="array" ref="Z109">IF(Z$4&lt;$C109,0,IF(Z$4=$C109,SUMIF($L$4:$Z$4,$C109,$L$100:$Z$100)*INDEX($L$104:$Z$104,$C109-$L$4+1),SUMIF($L$4:$Z$4,$C109,$L$100:$Z$100)*Z$103))</f>
        <v>0</v>
      </c>
    </row>
    <row r="110" spans="3:26" ht="15" customHeight="1" outlineLevel="1" x14ac:dyDescent="0.3">
      <c r="C110" s="23">
        <f>C109+1</f>
        <v>2029</v>
      </c>
      <c r="E110" s="76" t="s">
        <v>70</v>
      </c>
      <c r="G110" s="33">
        <f t="shared" si="44"/>
        <v>233523</v>
      </c>
      <c r="J110" s="164">
        <f t="shared" si="45"/>
        <v>233523</v>
      </c>
      <c r="K110" s="19"/>
      <c r="L110" s="24" cm="1">
        <f t="array" ref="L110">IF(L$4&lt;$C110,0,IF(L$4=$C110,SUMIF($L$4:$Z$4,$C110,$L$100:$Z$100)*INDEX($L$104:$Z$104,$C110-$L$4+1),SUMIF($L$4:$Z$4,$C110,$L$100:$Z$100)*L$103))</f>
        <v>0</v>
      </c>
      <c r="M110" s="24" cm="1">
        <f t="array" ref="M110">IF(M$4&lt;$C110,0,IF(M$4=$C110,SUMIF($L$4:$Z$4,$C110,$L$100:$Z$100)*INDEX($L$104:$Z$104,$C110-$L$4+1),SUMIF($L$4:$Z$4,$C110,$L$100:$Z$100)*M$103))</f>
        <v>0</v>
      </c>
      <c r="N110" s="24" cm="1">
        <f t="array" ref="N110">IF(N$4&lt;$C110,0,IF(N$4=$C110,SUMIF($L$4:$Z$4,$C110,$L$100:$Z$100)*INDEX($L$104:$Z$104,$C110-$L$4+1),SUMIF($L$4:$Z$4,$C110,$L$100:$Z$100)*N$103))</f>
        <v>0</v>
      </c>
      <c r="O110" s="24" cm="1">
        <f t="array" ref="O110">IF(O$4&lt;$C110,0,IF(O$4=$C110,SUMIF($L$4:$Z$4,$C110,$L$100:$Z$100)*INDEX($L$104:$Z$104,$C110-$L$4+1),SUMIF($L$4:$Z$4,$C110,$L$100:$Z$100)*O$103))</f>
        <v>0</v>
      </c>
      <c r="P110" s="24" cm="1">
        <f t="array" ref="P110">IF(P$4&lt;$C110,0,IF(P$4=$C110,SUMIF($L$4:$Z$4,$C110,$L$100:$Z$100)*INDEX($L$104:$Z$104,$C110-$L$4+1),SUMIF($L$4:$Z$4,$C110,$L$100:$Z$100)*P$103))</f>
        <v>221846.85</v>
      </c>
      <c r="Q110" s="24" cm="1">
        <f t="array" ref="Q110">IF(Q$4&lt;$C110,0,IF(Q$4=$C110,SUMIF($L$4:$Z$4,$C110,$L$100:$Z$100)*INDEX($L$104:$Z$104,$C110-$L$4+1),SUMIF($L$4:$Z$4,$C110,$L$100:$Z$100)*Q$103))</f>
        <v>11676.150000000001</v>
      </c>
      <c r="R110" s="24" cm="1">
        <f t="array" ref="R110">IF(R$4&lt;$C110,0,IF(R$4=$C110,SUMIF($L$4:$Z$4,$C110,$L$100:$Z$100)*INDEX($L$104:$Z$104,$C110-$L$4+1),SUMIF($L$4:$Z$4,$C110,$L$100:$Z$100)*R$103))</f>
        <v>0</v>
      </c>
      <c r="S110" s="24" cm="1">
        <f t="array" ref="S110">IF(S$4&lt;$C110,0,IF(S$4=$C110,SUMIF($L$4:$Z$4,$C110,$L$100:$Z$100)*INDEX($L$104:$Z$104,$C110-$L$4+1),SUMIF($L$4:$Z$4,$C110,$L$100:$Z$100)*S$103))</f>
        <v>0</v>
      </c>
      <c r="T110" s="24" cm="1">
        <f t="array" ref="T110">IF(T$4&lt;$C110,0,IF(T$4=$C110,SUMIF($L$4:$Z$4,$C110,$L$100:$Z$100)*INDEX($L$104:$Z$104,$C110-$L$4+1),SUMIF($L$4:$Z$4,$C110,$L$100:$Z$100)*T$103))</f>
        <v>0</v>
      </c>
      <c r="U110" s="24" cm="1">
        <f t="array" ref="U110">IF(U$4&lt;$C110,0,IF(U$4=$C110,SUMIF($L$4:$Z$4,$C110,$L$100:$Z$100)*INDEX($L$104:$Z$104,$C110-$L$4+1),SUMIF($L$4:$Z$4,$C110,$L$100:$Z$100)*U$103))</f>
        <v>0</v>
      </c>
      <c r="V110" s="24" cm="1">
        <f t="array" ref="V110">IF(V$4&lt;$C110,0,IF(V$4=$C110,SUMIF($L$4:$Z$4,$C110,$L$100:$Z$100)*INDEX($L$104:$Z$104,$C110-$L$4+1),SUMIF($L$4:$Z$4,$C110,$L$100:$Z$100)*V$103))</f>
        <v>0</v>
      </c>
      <c r="W110" s="24" cm="1">
        <f t="array" ref="W110">IF(W$4&lt;$C110,0,IF(W$4=$C110,SUMIF($L$4:$Z$4,$C110,$L$100:$Z$100)*INDEX($L$104:$Z$104,$C110-$L$4+1),SUMIF($L$4:$Z$4,$C110,$L$100:$Z$100)*W$103))</f>
        <v>0</v>
      </c>
      <c r="X110" s="24" cm="1">
        <f t="array" ref="X110">IF(X$4&lt;$C110,0,IF(X$4=$C110,SUMIF($L$4:$Z$4,$C110,$L$100:$Z$100)*INDEX($L$104:$Z$104,$C110-$L$4+1),SUMIF($L$4:$Z$4,$C110,$L$100:$Z$100)*X$103))</f>
        <v>0</v>
      </c>
      <c r="Y110" s="24" cm="1">
        <f t="array" ref="Y110">IF(Y$4&lt;$C110,0,IF(Y$4=$C110,SUMIF($L$4:$Z$4,$C110,$L$100:$Z$100)*INDEX($L$104:$Z$104,$C110-$L$4+1),SUMIF($L$4:$Z$4,$C110,$L$100:$Z$100)*Y$103))</f>
        <v>0</v>
      </c>
      <c r="Z110" s="24" cm="1">
        <f t="array" ref="Z110">IF(Z$4&lt;$C110,0,IF(Z$4=$C110,SUMIF($L$4:$Z$4,$C110,$L$100:$Z$100)*INDEX($L$104:$Z$104,$C110-$L$4+1),SUMIF($L$4:$Z$4,$C110,$L$100:$Z$100)*Z$103))</f>
        <v>0</v>
      </c>
    </row>
    <row r="111" spans="3:26" ht="15" customHeight="1" outlineLevel="1" x14ac:dyDescent="0.3">
      <c r="C111" s="23">
        <f>C110+1</f>
        <v>2030</v>
      </c>
      <c r="E111" s="76" t="s">
        <v>70</v>
      </c>
      <c r="G111" s="33">
        <f t="shared" si="44"/>
        <v>0</v>
      </c>
      <c r="J111" s="164">
        <f t="shared" si="45"/>
        <v>0</v>
      </c>
      <c r="K111" s="19"/>
      <c r="L111" s="24" cm="1">
        <f t="array" ref="L111">IF(L$4&lt;$C111,0,IF(L$4=$C111,SUMIF($L$4:$Z$4,$C111,$L$100:$Z$100)*INDEX($L$104:$Z$104,$C111-$L$4+1),SUMIF($L$4:$Z$4,$C111,$L$100:$Z$100)*L$103))</f>
        <v>0</v>
      </c>
      <c r="M111" s="24" cm="1">
        <f t="array" ref="M111">IF(M$4&lt;$C111,0,IF(M$4=$C111,SUMIF($L$4:$Z$4,$C111,$L$100:$Z$100)*INDEX($L$104:$Z$104,$C111-$L$4+1),SUMIF($L$4:$Z$4,$C111,$L$100:$Z$100)*M$103))</f>
        <v>0</v>
      </c>
      <c r="N111" s="24" cm="1">
        <f t="array" ref="N111">IF(N$4&lt;$C111,0,IF(N$4=$C111,SUMIF($L$4:$Z$4,$C111,$L$100:$Z$100)*INDEX($L$104:$Z$104,$C111-$L$4+1),SUMIF($L$4:$Z$4,$C111,$L$100:$Z$100)*N$103))</f>
        <v>0</v>
      </c>
      <c r="O111" s="24" cm="1">
        <f t="array" ref="O111">IF(O$4&lt;$C111,0,IF(O$4=$C111,SUMIF($L$4:$Z$4,$C111,$L$100:$Z$100)*INDEX($L$104:$Z$104,$C111-$L$4+1),SUMIF($L$4:$Z$4,$C111,$L$100:$Z$100)*O$103))</f>
        <v>0</v>
      </c>
      <c r="P111" s="24" cm="1">
        <f t="array" ref="P111">IF(P$4&lt;$C111,0,IF(P$4=$C111,SUMIF($L$4:$Z$4,$C111,$L$100:$Z$100)*INDEX($L$104:$Z$104,$C111-$L$4+1),SUMIF($L$4:$Z$4,$C111,$L$100:$Z$100)*P$103))</f>
        <v>0</v>
      </c>
      <c r="Q111" s="24" cm="1">
        <f t="array" ref="Q111">IF(Q$4&lt;$C111,0,IF(Q$4=$C111,SUMIF($L$4:$Z$4,$C111,$L$100:$Z$100)*INDEX($L$104:$Z$104,$C111-$L$4+1),SUMIF($L$4:$Z$4,$C111,$L$100:$Z$100)*Q$103))</f>
        <v>0</v>
      </c>
      <c r="R111" s="24" cm="1">
        <f t="array" ref="R111">IF(R$4&lt;$C111,0,IF(R$4=$C111,SUMIF($L$4:$Z$4,$C111,$L$100:$Z$100)*INDEX($L$104:$Z$104,$C111-$L$4+1),SUMIF($L$4:$Z$4,$C111,$L$100:$Z$100)*R$103))</f>
        <v>0</v>
      </c>
      <c r="S111" s="24" cm="1">
        <f t="array" ref="S111">IF(S$4&lt;$C111,0,IF(S$4=$C111,SUMIF($L$4:$Z$4,$C111,$L$100:$Z$100)*INDEX($L$104:$Z$104,$C111-$L$4+1),SUMIF($L$4:$Z$4,$C111,$L$100:$Z$100)*S$103))</f>
        <v>0</v>
      </c>
      <c r="T111" s="24" cm="1">
        <f t="array" ref="T111">IF(T$4&lt;$C111,0,IF(T$4=$C111,SUMIF($L$4:$Z$4,$C111,$L$100:$Z$100)*INDEX($L$104:$Z$104,$C111-$L$4+1),SUMIF($L$4:$Z$4,$C111,$L$100:$Z$100)*T$103))</f>
        <v>0</v>
      </c>
      <c r="U111" s="24" cm="1">
        <f t="array" ref="U111">IF(U$4&lt;$C111,0,IF(U$4=$C111,SUMIF($L$4:$Z$4,$C111,$L$100:$Z$100)*INDEX($L$104:$Z$104,$C111-$L$4+1),SUMIF($L$4:$Z$4,$C111,$L$100:$Z$100)*U$103))</f>
        <v>0</v>
      </c>
      <c r="V111" s="24" cm="1">
        <f t="array" ref="V111">IF(V$4&lt;$C111,0,IF(V$4=$C111,SUMIF($L$4:$Z$4,$C111,$L$100:$Z$100)*INDEX($L$104:$Z$104,$C111-$L$4+1),SUMIF($L$4:$Z$4,$C111,$L$100:$Z$100)*V$103))</f>
        <v>0</v>
      </c>
      <c r="W111" s="24" cm="1">
        <f t="array" ref="W111">IF(W$4&lt;$C111,0,IF(W$4=$C111,SUMIF($L$4:$Z$4,$C111,$L$100:$Z$100)*INDEX($L$104:$Z$104,$C111-$L$4+1),SUMIF($L$4:$Z$4,$C111,$L$100:$Z$100)*W$103))</f>
        <v>0</v>
      </c>
      <c r="X111" s="24" cm="1">
        <f t="array" ref="X111">IF(X$4&lt;$C111,0,IF(X$4=$C111,SUMIF($L$4:$Z$4,$C111,$L$100:$Z$100)*INDEX($L$104:$Z$104,$C111-$L$4+1),SUMIF($L$4:$Z$4,$C111,$L$100:$Z$100)*X$103))</f>
        <v>0</v>
      </c>
      <c r="Y111" s="24" cm="1">
        <f t="array" ref="Y111">IF(Y$4&lt;$C111,0,IF(Y$4=$C111,SUMIF($L$4:$Z$4,$C111,$L$100:$Z$100)*INDEX($L$104:$Z$104,$C111-$L$4+1),SUMIF($L$4:$Z$4,$C111,$L$100:$Z$100)*Y$103))</f>
        <v>0</v>
      </c>
      <c r="Z111" s="24" cm="1">
        <f t="array" ref="Z111">IF(Z$4&lt;$C111,0,IF(Z$4=$C111,SUMIF($L$4:$Z$4,$C111,$L$100:$Z$100)*INDEX($L$104:$Z$104,$C111-$L$4+1),SUMIF($L$4:$Z$4,$C111,$L$100:$Z$100)*Z$103))</f>
        <v>0</v>
      </c>
    </row>
    <row r="112" spans="3:26" ht="15" customHeight="1" outlineLevel="1" x14ac:dyDescent="0.3">
      <c r="C112" s="78" t="s">
        <v>74</v>
      </c>
      <c r="D112" s="78"/>
      <c r="E112" s="93" t="s">
        <v>70</v>
      </c>
      <c r="F112" s="78"/>
      <c r="G112" s="34">
        <f>SUM(G106:G111)</f>
        <v>838610.79999999993</v>
      </c>
      <c r="H112" s="34"/>
      <c r="I112" s="34"/>
      <c r="J112" s="34">
        <f>SUM(J106:J111)</f>
        <v>838610.79999999993</v>
      </c>
      <c r="K112" s="29"/>
      <c r="L112" s="34">
        <f t="shared" ref="L112:Z112" si="46">SUM(L106:L111)</f>
        <v>0</v>
      </c>
      <c r="M112" s="34">
        <f t="shared" si="46"/>
        <v>9548.1200000000008</v>
      </c>
      <c r="N112" s="34">
        <f t="shared" si="46"/>
        <v>153658.97999999998</v>
      </c>
      <c r="O112" s="34">
        <f t="shared" si="46"/>
        <v>320863.14</v>
      </c>
      <c r="P112" s="34">
        <f t="shared" si="46"/>
        <v>312610.02</v>
      </c>
      <c r="Q112" s="34">
        <f t="shared" si="46"/>
        <v>41930.54</v>
      </c>
      <c r="R112" s="34">
        <f t="shared" si="46"/>
        <v>0</v>
      </c>
      <c r="S112" s="34">
        <f t="shared" si="46"/>
        <v>0</v>
      </c>
      <c r="T112" s="34">
        <f t="shared" si="46"/>
        <v>0</v>
      </c>
      <c r="U112" s="34">
        <f t="shared" si="46"/>
        <v>0</v>
      </c>
      <c r="V112" s="34">
        <f t="shared" si="46"/>
        <v>0</v>
      </c>
      <c r="W112" s="34">
        <f t="shared" si="46"/>
        <v>0</v>
      </c>
      <c r="X112" s="34">
        <f t="shared" si="46"/>
        <v>0</v>
      </c>
      <c r="Y112" s="34">
        <f t="shared" si="46"/>
        <v>0</v>
      </c>
      <c r="Z112" s="34">
        <f t="shared" si="46"/>
        <v>0</v>
      </c>
    </row>
    <row r="113" spans="2:26" ht="15" customHeight="1" outlineLevel="1" x14ac:dyDescent="0.3"/>
    <row r="114" spans="2:26" ht="15" customHeight="1" outlineLevel="1" x14ac:dyDescent="0.3">
      <c r="B114" s="82" t="s">
        <v>798</v>
      </c>
      <c r="C114" s="82"/>
      <c r="D114" s="82"/>
      <c r="E114" s="83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2:26" ht="15" customHeight="1" outlineLevel="1" x14ac:dyDescent="0.3"/>
    <row r="116" spans="2:26" ht="15" customHeight="1" outlineLevel="1" x14ac:dyDescent="0.3">
      <c r="B116" s="82" t="s">
        <v>52</v>
      </c>
      <c r="C116" s="85"/>
      <c r="D116" s="162">
        <v>2</v>
      </c>
      <c r="E116" s="86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spans="2:26" ht="15" customHeight="1" outlineLevel="1" x14ac:dyDescent="0.3">
      <c r="C117" s="89"/>
      <c r="G117" s="90" t="s">
        <v>63</v>
      </c>
      <c r="H117" s="90" t="s">
        <v>62</v>
      </c>
      <c r="I117" s="91"/>
    </row>
    <row r="118" spans="2:26" ht="15" customHeight="1" outlineLevel="1" x14ac:dyDescent="0.3">
      <c r="C118" s="84" t="s">
        <v>58</v>
      </c>
      <c r="G118" s="35">
        <f>G28</f>
        <v>47800</v>
      </c>
      <c r="H118" s="35">
        <f>H28</f>
        <v>33456.066945606697</v>
      </c>
      <c r="I118" s="91"/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0.1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</row>
    <row r="119" spans="2:26" ht="15" customHeight="1" outlineLevel="1" x14ac:dyDescent="0.3">
      <c r="C119" s="84" t="s">
        <v>59</v>
      </c>
      <c r="G119" s="35">
        <f>G29</f>
        <v>36497.1</v>
      </c>
      <c r="H119" s="35">
        <f>H29</f>
        <v>33505.248362198603</v>
      </c>
      <c r="I119" s="91"/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0.1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</row>
    <row r="120" spans="2:26" ht="15" customHeight="1" outlineLevel="1" x14ac:dyDescent="0.3"/>
    <row r="121" spans="2:26" ht="15" customHeight="1" outlineLevel="1" x14ac:dyDescent="0.3">
      <c r="C121" s="89" t="s">
        <v>83</v>
      </c>
    </row>
    <row r="122" spans="2:26" ht="15" customHeight="1" outlineLevel="1" x14ac:dyDescent="0.3">
      <c r="C122" s="84" t="s">
        <v>58</v>
      </c>
      <c r="E122" s="76" t="s">
        <v>63</v>
      </c>
      <c r="G122" s="33" cm="1">
        <f t="array" ref="G122">SUM($L118:$Z118*$G118)</f>
        <v>4780</v>
      </c>
      <c r="H122" s="31"/>
      <c r="I122" s="31"/>
      <c r="J122" s="48">
        <f>SUM(L122:Z122)</f>
        <v>4780</v>
      </c>
      <c r="K122" s="26"/>
      <c r="L122" s="23">
        <f t="shared" ref="L122:Z122" si="47">ROUND($G118*L118,0)</f>
        <v>0</v>
      </c>
      <c r="M122" s="23">
        <f t="shared" si="47"/>
        <v>0</v>
      </c>
      <c r="N122" s="23">
        <f t="shared" si="47"/>
        <v>0</v>
      </c>
      <c r="O122" s="23">
        <f t="shared" si="47"/>
        <v>0</v>
      </c>
      <c r="P122" s="23">
        <f t="shared" si="47"/>
        <v>0</v>
      </c>
      <c r="Q122" s="23">
        <f t="shared" si="47"/>
        <v>4780</v>
      </c>
      <c r="R122" s="23">
        <f t="shared" si="47"/>
        <v>0</v>
      </c>
      <c r="S122" s="23">
        <f t="shared" si="47"/>
        <v>0</v>
      </c>
      <c r="T122" s="23">
        <f t="shared" si="47"/>
        <v>0</v>
      </c>
      <c r="U122" s="23">
        <f t="shared" si="47"/>
        <v>0</v>
      </c>
      <c r="V122" s="23">
        <f t="shared" si="47"/>
        <v>0</v>
      </c>
      <c r="W122" s="23">
        <f t="shared" si="47"/>
        <v>0</v>
      </c>
      <c r="X122" s="23">
        <f t="shared" si="47"/>
        <v>0</v>
      </c>
      <c r="Y122" s="23">
        <f t="shared" si="47"/>
        <v>0</v>
      </c>
      <c r="Z122" s="23">
        <f t="shared" si="47"/>
        <v>0</v>
      </c>
    </row>
    <row r="123" spans="2:26" ht="15" customHeight="1" outlineLevel="1" x14ac:dyDescent="0.3">
      <c r="C123" s="84" t="s">
        <v>59</v>
      </c>
      <c r="E123" s="76" t="s">
        <v>63</v>
      </c>
      <c r="G123" s="33" cm="1">
        <f t="array" ref="G123">SUM($L119:$Z119*$G119)</f>
        <v>3649.71</v>
      </c>
      <c r="H123" s="31"/>
      <c r="I123" s="31"/>
      <c r="J123" s="48">
        <f>SUM(L123:Z123)</f>
        <v>3650</v>
      </c>
      <c r="K123" s="26"/>
      <c r="L123" s="23">
        <f t="shared" ref="L123:Z123" si="48">ROUND($G119*L119,0)</f>
        <v>0</v>
      </c>
      <c r="M123" s="23">
        <f t="shared" si="48"/>
        <v>0</v>
      </c>
      <c r="N123" s="23">
        <f t="shared" si="48"/>
        <v>0</v>
      </c>
      <c r="O123" s="23">
        <f t="shared" si="48"/>
        <v>0</v>
      </c>
      <c r="P123" s="23">
        <f t="shared" si="48"/>
        <v>0</v>
      </c>
      <c r="Q123" s="23">
        <f t="shared" si="48"/>
        <v>3650</v>
      </c>
      <c r="R123" s="23">
        <f t="shared" si="48"/>
        <v>0</v>
      </c>
      <c r="S123" s="23">
        <f t="shared" si="48"/>
        <v>0</v>
      </c>
      <c r="T123" s="23">
        <f t="shared" si="48"/>
        <v>0</v>
      </c>
      <c r="U123" s="23">
        <f t="shared" si="48"/>
        <v>0</v>
      </c>
      <c r="V123" s="23">
        <f t="shared" si="48"/>
        <v>0</v>
      </c>
      <c r="W123" s="23">
        <f t="shared" si="48"/>
        <v>0</v>
      </c>
      <c r="X123" s="23">
        <f t="shared" si="48"/>
        <v>0</v>
      </c>
      <c r="Y123" s="23">
        <f t="shared" si="48"/>
        <v>0</v>
      </c>
      <c r="Z123" s="23">
        <f t="shared" si="48"/>
        <v>0</v>
      </c>
    </row>
    <row r="124" spans="2:26" ht="15" customHeight="1" outlineLevel="1" x14ac:dyDescent="0.3">
      <c r="C124" s="78" t="s">
        <v>65</v>
      </c>
      <c r="D124" s="92"/>
      <c r="E124" s="93" t="s">
        <v>63</v>
      </c>
      <c r="F124" s="92"/>
      <c r="G124" s="36">
        <f>SUM(G122:G123)</f>
        <v>8429.7099999999991</v>
      </c>
      <c r="H124" s="32"/>
      <c r="I124" s="32"/>
      <c r="J124" s="163">
        <f>SUM(J122:J123)</f>
        <v>8430</v>
      </c>
      <c r="K124" s="27"/>
      <c r="L124" s="163">
        <f t="shared" ref="L124:Z124" si="49">SUM(L122:L123)</f>
        <v>0</v>
      </c>
      <c r="M124" s="163">
        <f t="shared" si="49"/>
        <v>0</v>
      </c>
      <c r="N124" s="163">
        <f t="shared" si="49"/>
        <v>0</v>
      </c>
      <c r="O124" s="163">
        <f t="shared" si="49"/>
        <v>0</v>
      </c>
      <c r="P124" s="163">
        <f t="shared" si="49"/>
        <v>0</v>
      </c>
      <c r="Q124" s="163">
        <f t="shared" si="49"/>
        <v>8430</v>
      </c>
      <c r="R124" s="163">
        <f t="shared" si="49"/>
        <v>0</v>
      </c>
      <c r="S124" s="163">
        <f t="shared" si="49"/>
        <v>0</v>
      </c>
      <c r="T124" s="163">
        <f t="shared" si="49"/>
        <v>0</v>
      </c>
      <c r="U124" s="163">
        <f t="shared" si="49"/>
        <v>0</v>
      </c>
      <c r="V124" s="163">
        <f t="shared" si="49"/>
        <v>0</v>
      </c>
      <c r="W124" s="163">
        <f t="shared" si="49"/>
        <v>0</v>
      </c>
      <c r="X124" s="163">
        <f t="shared" si="49"/>
        <v>0</v>
      </c>
      <c r="Y124" s="163">
        <f t="shared" si="49"/>
        <v>0</v>
      </c>
      <c r="Z124" s="163">
        <f t="shared" si="49"/>
        <v>0</v>
      </c>
    </row>
    <row r="125" spans="2:26" ht="15" customHeight="1" outlineLevel="1" x14ac:dyDescent="0.3"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2:26" ht="15" customHeight="1" outlineLevel="1" x14ac:dyDescent="0.3">
      <c r="C126" s="89" t="s">
        <v>85</v>
      </c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2:26" ht="15" customHeight="1" outlineLevel="1" x14ac:dyDescent="0.3">
      <c r="C127" s="84" t="s">
        <v>58</v>
      </c>
      <c r="E127" s="76" t="s">
        <v>70</v>
      </c>
      <c r="G127" s="23">
        <f>$H118</f>
        <v>33456.066945606697</v>
      </c>
      <c r="J127" s="164">
        <f>SUM(L127:Z127)</f>
        <v>159920</v>
      </c>
      <c r="K127" s="19"/>
      <c r="L127" s="24">
        <f t="shared" ref="L127:Z127" si="50">(($G127*L$25)*L122)/$G$6</f>
        <v>0</v>
      </c>
      <c r="M127" s="24">
        <f t="shared" si="50"/>
        <v>0</v>
      </c>
      <c r="N127" s="24">
        <f t="shared" si="50"/>
        <v>0</v>
      </c>
      <c r="O127" s="24">
        <f t="shared" si="50"/>
        <v>0</v>
      </c>
      <c r="P127" s="24">
        <f t="shared" si="50"/>
        <v>0</v>
      </c>
      <c r="Q127" s="24">
        <f t="shared" si="50"/>
        <v>159920</v>
      </c>
      <c r="R127" s="24">
        <f t="shared" si="50"/>
        <v>0</v>
      </c>
      <c r="S127" s="24">
        <f t="shared" si="50"/>
        <v>0</v>
      </c>
      <c r="T127" s="24">
        <f t="shared" si="50"/>
        <v>0</v>
      </c>
      <c r="U127" s="24">
        <f t="shared" si="50"/>
        <v>0</v>
      </c>
      <c r="V127" s="24">
        <f t="shared" si="50"/>
        <v>0</v>
      </c>
      <c r="W127" s="24">
        <f t="shared" si="50"/>
        <v>0</v>
      </c>
      <c r="X127" s="24">
        <f t="shared" si="50"/>
        <v>0</v>
      </c>
      <c r="Y127" s="24">
        <f t="shared" si="50"/>
        <v>0</v>
      </c>
      <c r="Z127" s="24">
        <f t="shared" si="50"/>
        <v>0</v>
      </c>
    </row>
    <row r="128" spans="2:26" ht="15" customHeight="1" outlineLevel="1" x14ac:dyDescent="0.3">
      <c r="C128" s="84" t="s">
        <v>59</v>
      </c>
      <c r="E128" s="76" t="s">
        <v>70</v>
      </c>
      <c r="G128" s="23">
        <f>$H119</f>
        <v>33505.248362198603</v>
      </c>
      <c r="J128" s="164">
        <f>SUM(L128:Z128)</f>
        <v>122294.1565220249</v>
      </c>
      <c r="K128" s="19"/>
      <c r="L128" s="24">
        <f t="shared" ref="L128:Z128" si="51">(($G128*L$25)*L123)/$G$6</f>
        <v>0</v>
      </c>
      <c r="M128" s="24">
        <f t="shared" si="51"/>
        <v>0</v>
      </c>
      <c r="N128" s="24">
        <f t="shared" si="51"/>
        <v>0</v>
      </c>
      <c r="O128" s="24">
        <f t="shared" si="51"/>
        <v>0</v>
      </c>
      <c r="P128" s="24">
        <f t="shared" si="51"/>
        <v>0</v>
      </c>
      <c r="Q128" s="24">
        <f t="shared" si="51"/>
        <v>122294.1565220249</v>
      </c>
      <c r="R128" s="24">
        <f t="shared" si="51"/>
        <v>0</v>
      </c>
      <c r="S128" s="24">
        <f t="shared" si="51"/>
        <v>0</v>
      </c>
      <c r="T128" s="24">
        <f t="shared" si="51"/>
        <v>0</v>
      </c>
      <c r="U128" s="24">
        <f t="shared" si="51"/>
        <v>0</v>
      </c>
      <c r="V128" s="24">
        <f t="shared" si="51"/>
        <v>0</v>
      </c>
      <c r="W128" s="24">
        <f t="shared" si="51"/>
        <v>0</v>
      </c>
      <c r="X128" s="24">
        <f t="shared" si="51"/>
        <v>0</v>
      </c>
      <c r="Y128" s="24">
        <f t="shared" si="51"/>
        <v>0</v>
      </c>
      <c r="Z128" s="24">
        <f t="shared" si="51"/>
        <v>0</v>
      </c>
    </row>
    <row r="129" spans="2:26" ht="15" customHeight="1" outlineLevel="1" x14ac:dyDescent="0.3">
      <c r="C129" s="78" t="s">
        <v>84</v>
      </c>
      <c r="D129" s="92"/>
      <c r="E129" s="93" t="s">
        <v>70</v>
      </c>
      <c r="F129" s="92"/>
      <c r="G129" s="36">
        <f>AVERAGE(G127:G128)</f>
        <v>33480.65765390265</v>
      </c>
      <c r="H129" s="32"/>
      <c r="I129" s="32"/>
      <c r="J129" s="165">
        <f>SUM(L129:Z129)</f>
        <v>282214.15652202489</v>
      </c>
      <c r="K129" s="27"/>
      <c r="L129" s="165">
        <f t="shared" ref="L129:Z129" si="52">SUM(L127:L128)</f>
        <v>0</v>
      </c>
      <c r="M129" s="165">
        <f t="shared" si="52"/>
        <v>0</v>
      </c>
      <c r="N129" s="165">
        <f t="shared" si="52"/>
        <v>0</v>
      </c>
      <c r="O129" s="165">
        <f t="shared" si="52"/>
        <v>0</v>
      </c>
      <c r="P129" s="165">
        <f t="shared" si="52"/>
        <v>0</v>
      </c>
      <c r="Q129" s="165">
        <f t="shared" si="52"/>
        <v>282214.15652202489</v>
      </c>
      <c r="R129" s="165">
        <f t="shared" si="52"/>
        <v>0</v>
      </c>
      <c r="S129" s="165">
        <f t="shared" si="52"/>
        <v>0</v>
      </c>
      <c r="T129" s="165">
        <f t="shared" si="52"/>
        <v>0</v>
      </c>
      <c r="U129" s="165">
        <f t="shared" si="52"/>
        <v>0</v>
      </c>
      <c r="V129" s="165">
        <f t="shared" si="52"/>
        <v>0</v>
      </c>
      <c r="W129" s="165">
        <f t="shared" si="52"/>
        <v>0</v>
      </c>
      <c r="X129" s="165">
        <f t="shared" si="52"/>
        <v>0</v>
      </c>
      <c r="Y129" s="165">
        <f t="shared" si="52"/>
        <v>0</v>
      </c>
      <c r="Z129" s="165">
        <f t="shared" si="52"/>
        <v>0</v>
      </c>
    </row>
    <row r="130" spans="2:26" ht="15" customHeight="1" outlineLevel="1" x14ac:dyDescent="0.3"/>
    <row r="131" spans="2:26" ht="15" customHeight="1" outlineLevel="1" x14ac:dyDescent="0.3">
      <c r="B131" s="82" t="s">
        <v>86</v>
      </c>
      <c r="C131" s="85"/>
      <c r="D131" s="162">
        <v>3</v>
      </c>
      <c r="E131" s="86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spans="2:26" ht="15" customHeight="1" outlineLevel="1" x14ac:dyDescent="0.3">
      <c r="C132" s="89"/>
      <c r="G132" s="90" t="s">
        <v>63</v>
      </c>
      <c r="H132" s="90" t="s">
        <v>62</v>
      </c>
      <c r="I132" s="91"/>
    </row>
    <row r="133" spans="2:26" ht="15" customHeight="1" outlineLevel="1" x14ac:dyDescent="0.3">
      <c r="C133" s="84" t="s">
        <v>58</v>
      </c>
      <c r="G133" s="35">
        <f>G57</f>
        <v>56200</v>
      </c>
      <c r="H133" s="35">
        <f>H57</f>
        <v>29000</v>
      </c>
      <c r="I133" s="91"/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0.3</v>
      </c>
      <c r="R133" s="5">
        <v>0.1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</row>
    <row r="134" spans="2:26" ht="15" customHeight="1" outlineLevel="1" x14ac:dyDescent="0.3">
      <c r="C134" s="84" t="s">
        <v>59</v>
      </c>
      <c r="G134" s="35">
        <f>G58</f>
        <v>35456.1</v>
      </c>
      <c r="H134" s="35">
        <f>H58</f>
        <v>29000</v>
      </c>
      <c r="I134" s="91"/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0.3</v>
      </c>
      <c r="R134" s="5">
        <v>0.1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</row>
    <row r="135" spans="2:26" ht="15" customHeight="1" outlineLevel="1" x14ac:dyDescent="0.3"/>
    <row r="136" spans="2:26" ht="15" customHeight="1" outlineLevel="1" x14ac:dyDescent="0.3">
      <c r="C136" s="89" t="s">
        <v>83</v>
      </c>
    </row>
    <row r="137" spans="2:26" ht="15" customHeight="1" outlineLevel="1" x14ac:dyDescent="0.3">
      <c r="C137" s="84" t="s">
        <v>58</v>
      </c>
      <c r="E137" s="76" t="s">
        <v>63</v>
      </c>
      <c r="G137" s="33" cm="1">
        <f t="array" ref="G137">SUM($L133:$Z133*$G133)</f>
        <v>22480</v>
      </c>
      <c r="H137" s="31"/>
      <c r="I137" s="31"/>
      <c r="J137" s="48">
        <f>SUM(L137:Z137)</f>
        <v>22480</v>
      </c>
      <c r="K137" s="26"/>
      <c r="L137" s="23">
        <f t="shared" ref="L137:Z137" si="53">ROUND($G133*L133,0)</f>
        <v>0</v>
      </c>
      <c r="M137" s="23">
        <f t="shared" si="53"/>
        <v>0</v>
      </c>
      <c r="N137" s="23">
        <f t="shared" si="53"/>
        <v>0</v>
      </c>
      <c r="O137" s="23">
        <f t="shared" si="53"/>
        <v>0</v>
      </c>
      <c r="P137" s="23">
        <f t="shared" si="53"/>
        <v>0</v>
      </c>
      <c r="Q137" s="23">
        <f t="shared" si="53"/>
        <v>16860</v>
      </c>
      <c r="R137" s="23">
        <f t="shared" si="53"/>
        <v>5620</v>
      </c>
      <c r="S137" s="23">
        <f t="shared" si="53"/>
        <v>0</v>
      </c>
      <c r="T137" s="23">
        <f t="shared" si="53"/>
        <v>0</v>
      </c>
      <c r="U137" s="23">
        <f t="shared" si="53"/>
        <v>0</v>
      </c>
      <c r="V137" s="23">
        <f t="shared" si="53"/>
        <v>0</v>
      </c>
      <c r="W137" s="23">
        <f t="shared" si="53"/>
        <v>0</v>
      </c>
      <c r="X137" s="23">
        <f t="shared" si="53"/>
        <v>0</v>
      </c>
      <c r="Y137" s="23">
        <f t="shared" si="53"/>
        <v>0</v>
      </c>
      <c r="Z137" s="23">
        <f t="shared" si="53"/>
        <v>0</v>
      </c>
    </row>
    <row r="138" spans="2:26" ht="15" customHeight="1" outlineLevel="1" x14ac:dyDescent="0.3">
      <c r="C138" s="84" t="s">
        <v>59</v>
      </c>
      <c r="E138" s="76" t="s">
        <v>63</v>
      </c>
      <c r="G138" s="33" cm="1">
        <f t="array" ref="G138">SUM($L134:$Z134*$G134)</f>
        <v>14182.44</v>
      </c>
      <c r="H138" s="31"/>
      <c r="I138" s="31"/>
      <c r="J138" s="48">
        <f>SUM(L138:Z138)</f>
        <v>14183</v>
      </c>
      <c r="K138" s="26"/>
      <c r="L138" s="23">
        <f t="shared" ref="L138:Z138" si="54">ROUND($G134*L134,0)</f>
        <v>0</v>
      </c>
      <c r="M138" s="23">
        <f t="shared" si="54"/>
        <v>0</v>
      </c>
      <c r="N138" s="23">
        <f t="shared" si="54"/>
        <v>0</v>
      </c>
      <c r="O138" s="23">
        <f t="shared" si="54"/>
        <v>0</v>
      </c>
      <c r="P138" s="23">
        <f t="shared" si="54"/>
        <v>0</v>
      </c>
      <c r="Q138" s="23">
        <f t="shared" si="54"/>
        <v>10637</v>
      </c>
      <c r="R138" s="23">
        <f t="shared" si="54"/>
        <v>3546</v>
      </c>
      <c r="S138" s="23">
        <f t="shared" si="54"/>
        <v>0</v>
      </c>
      <c r="T138" s="23">
        <f t="shared" si="54"/>
        <v>0</v>
      </c>
      <c r="U138" s="23">
        <f t="shared" si="54"/>
        <v>0</v>
      </c>
      <c r="V138" s="23">
        <f t="shared" si="54"/>
        <v>0</v>
      </c>
      <c r="W138" s="23">
        <f t="shared" si="54"/>
        <v>0</v>
      </c>
      <c r="X138" s="23">
        <f t="shared" si="54"/>
        <v>0</v>
      </c>
      <c r="Y138" s="23">
        <f t="shared" si="54"/>
        <v>0</v>
      </c>
      <c r="Z138" s="23">
        <f t="shared" si="54"/>
        <v>0</v>
      </c>
    </row>
    <row r="139" spans="2:26" ht="15" customHeight="1" outlineLevel="1" x14ac:dyDescent="0.3">
      <c r="C139" s="78" t="s">
        <v>65</v>
      </c>
      <c r="D139" s="92"/>
      <c r="E139" s="93" t="s">
        <v>63</v>
      </c>
      <c r="F139" s="92"/>
      <c r="G139" s="36">
        <f>SUM(G137:G138)</f>
        <v>36662.44</v>
      </c>
      <c r="H139" s="32"/>
      <c r="I139" s="32"/>
      <c r="J139" s="163">
        <f>SUM(J137:J138)</f>
        <v>36663</v>
      </c>
      <c r="K139" s="27"/>
      <c r="L139" s="163">
        <f t="shared" ref="L139:Z139" si="55">SUM(L137:L138)</f>
        <v>0</v>
      </c>
      <c r="M139" s="163">
        <f t="shared" si="55"/>
        <v>0</v>
      </c>
      <c r="N139" s="163">
        <f t="shared" si="55"/>
        <v>0</v>
      </c>
      <c r="O139" s="163">
        <f t="shared" si="55"/>
        <v>0</v>
      </c>
      <c r="P139" s="163">
        <f t="shared" si="55"/>
        <v>0</v>
      </c>
      <c r="Q139" s="163">
        <f t="shared" si="55"/>
        <v>27497</v>
      </c>
      <c r="R139" s="163">
        <f t="shared" si="55"/>
        <v>9166</v>
      </c>
      <c r="S139" s="163">
        <f t="shared" si="55"/>
        <v>0</v>
      </c>
      <c r="T139" s="163">
        <f t="shared" si="55"/>
        <v>0</v>
      </c>
      <c r="U139" s="163">
        <f t="shared" si="55"/>
        <v>0</v>
      </c>
      <c r="V139" s="163">
        <f t="shared" si="55"/>
        <v>0</v>
      </c>
      <c r="W139" s="163">
        <f t="shared" si="55"/>
        <v>0</v>
      </c>
      <c r="X139" s="163">
        <f t="shared" si="55"/>
        <v>0</v>
      </c>
      <c r="Y139" s="163">
        <f t="shared" si="55"/>
        <v>0</v>
      </c>
      <c r="Z139" s="163">
        <f t="shared" si="55"/>
        <v>0</v>
      </c>
    </row>
    <row r="140" spans="2:26" ht="15" customHeight="1" outlineLevel="1" x14ac:dyDescent="0.3"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2:26" ht="15" customHeight="1" outlineLevel="1" x14ac:dyDescent="0.3">
      <c r="C141" s="89" t="s">
        <v>85</v>
      </c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2:26" ht="15" customHeight="1" outlineLevel="1" x14ac:dyDescent="0.3">
      <c r="C142" s="84" t="s">
        <v>58</v>
      </c>
      <c r="E142" s="76" t="s">
        <v>70</v>
      </c>
      <c r="G142" s="23">
        <f>$H133</f>
        <v>29000</v>
      </c>
      <c r="J142" s="164">
        <f>SUM(L142:Z142)</f>
        <v>651920</v>
      </c>
      <c r="K142" s="19"/>
      <c r="L142" s="24">
        <f t="shared" ref="L142:Z142" si="56">(($G142*L$54)*L137)/$G$6</f>
        <v>0</v>
      </c>
      <c r="M142" s="24">
        <f t="shared" si="56"/>
        <v>0</v>
      </c>
      <c r="N142" s="24">
        <f t="shared" si="56"/>
        <v>0</v>
      </c>
      <c r="O142" s="24">
        <f t="shared" si="56"/>
        <v>0</v>
      </c>
      <c r="P142" s="24">
        <f t="shared" si="56"/>
        <v>0</v>
      </c>
      <c r="Q142" s="24">
        <f t="shared" si="56"/>
        <v>488940</v>
      </c>
      <c r="R142" s="24">
        <f t="shared" si="56"/>
        <v>162980</v>
      </c>
      <c r="S142" s="24">
        <f t="shared" si="56"/>
        <v>0</v>
      </c>
      <c r="T142" s="24">
        <f t="shared" si="56"/>
        <v>0</v>
      </c>
      <c r="U142" s="24">
        <f t="shared" si="56"/>
        <v>0</v>
      </c>
      <c r="V142" s="24">
        <f t="shared" si="56"/>
        <v>0</v>
      </c>
      <c r="W142" s="24">
        <f t="shared" si="56"/>
        <v>0</v>
      </c>
      <c r="X142" s="24">
        <f t="shared" si="56"/>
        <v>0</v>
      </c>
      <c r="Y142" s="24">
        <f t="shared" si="56"/>
        <v>0</v>
      </c>
      <c r="Z142" s="24">
        <f t="shared" si="56"/>
        <v>0</v>
      </c>
    </row>
    <row r="143" spans="2:26" ht="15" customHeight="1" outlineLevel="1" x14ac:dyDescent="0.3">
      <c r="C143" s="84" t="s">
        <v>59</v>
      </c>
      <c r="E143" s="76" t="s">
        <v>70</v>
      </c>
      <c r="G143" s="23">
        <f>$H134</f>
        <v>29000</v>
      </c>
      <c r="J143" s="164">
        <f>SUM(L143:Z143)</f>
        <v>411307</v>
      </c>
      <c r="K143" s="19"/>
      <c r="L143" s="24">
        <f t="shared" ref="L143:Z143" si="57">(($G143*L$54)*L138)/$G$6</f>
        <v>0</v>
      </c>
      <c r="M143" s="24">
        <f t="shared" si="57"/>
        <v>0</v>
      </c>
      <c r="N143" s="24">
        <f t="shared" si="57"/>
        <v>0</v>
      </c>
      <c r="O143" s="24">
        <f t="shared" si="57"/>
        <v>0</v>
      </c>
      <c r="P143" s="24">
        <f t="shared" si="57"/>
        <v>0</v>
      </c>
      <c r="Q143" s="24">
        <f t="shared" si="57"/>
        <v>308473</v>
      </c>
      <c r="R143" s="24">
        <f t="shared" si="57"/>
        <v>102834</v>
      </c>
      <c r="S143" s="24">
        <f t="shared" si="57"/>
        <v>0</v>
      </c>
      <c r="T143" s="24">
        <f t="shared" si="57"/>
        <v>0</v>
      </c>
      <c r="U143" s="24">
        <f t="shared" si="57"/>
        <v>0</v>
      </c>
      <c r="V143" s="24">
        <f t="shared" si="57"/>
        <v>0</v>
      </c>
      <c r="W143" s="24">
        <f t="shared" si="57"/>
        <v>0</v>
      </c>
      <c r="X143" s="24">
        <f t="shared" si="57"/>
        <v>0</v>
      </c>
      <c r="Y143" s="24">
        <f t="shared" si="57"/>
        <v>0</v>
      </c>
      <c r="Z143" s="24">
        <f t="shared" si="57"/>
        <v>0</v>
      </c>
    </row>
    <row r="144" spans="2:26" ht="15" customHeight="1" outlineLevel="1" x14ac:dyDescent="0.3">
      <c r="C144" s="78" t="s">
        <v>84</v>
      </c>
      <c r="D144" s="92"/>
      <c r="E144" s="93" t="s">
        <v>70</v>
      </c>
      <c r="F144" s="92"/>
      <c r="G144" s="36">
        <f>AVERAGE(G142:G143)</f>
        <v>29000</v>
      </c>
      <c r="H144" s="32"/>
      <c r="I144" s="32"/>
      <c r="J144" s="165">
        <f>SUM(L144:Z144)</f>
        <v>1063227</v>
      </c>
      <c r="K144" s="27"/>
      <c r="L144" s="165">
        <f t="shared" ref="L144:Z144" si="58">SUM(L142:L143)</f>
        <v>0</v>
      </c>
      <c r="M144" s="165">
        <f t="shared" si="58"/>
        <v>0</v>
      </c>
      <c r="N144" s="165">
        <f t="shared" si="58"/>
        <v>0</v>
      </c>
      <c r="O144" s="165">
        <f t="shared" si="58"/>
        <v>0</v>
      </c>
      <c r="P144" s="165">
        <f t="shared" si="58"/>
        <v>0</v>
      </c>
      <c r="Q144" s="165">
        <f t="shared" si="58"/>
        <v>797413</v>
      </c>
      <c r="R144" s="165">
        <f t="shared" si="58"/>
        <v>265814</v>
      </c>
      <c r="S144" s="165">
        <f t="shared" si="58"/>
        <v>0</v>
      </c>
      <c r="T144" s="165">
        <f t="shared" si="58"/>
        <v>0</v>
      </c>
      <c r="U144" s="165">
        <f t="shared" si="58"/>
        <v>0</v>
      </c>
      <c r="V144" s="165">
        <f t="shared" si="58"/>
        <v>0</v>
      </c>
      <c r="W144" s="165">
        <f t="shared" si="58"/>
        <v>0</v>
      </c>
      <c r="X144" s="165">
        <f t="shared" si="58"/>
        <v>0</v>
      </c>
      <c r="Y144" s="165">
        <f t="shared" si="58"/>
        <v>0</v>
      </c>
      <c r="Z144" s="165">
        <f t="shared" si="58"/>
        <v>0</v>
      </c>
    </row>
    <row r="145" spans="2:26" ht="15" customHeight="1" outlineLevel="1" x14ac:dyDescent="0.3"/>
    <row r="146" spans="2:26" ht="15" customHeight="1" outlineLevel="1" x14ac:dyDescent="0.3">
      <c r="B146" s="82" t="s">
        <v>7</v>
      </c>
      <c r="C146" s="85"/>
      <c r="D146" s="162">
        <v>2</v>
      </c>
      <c r="E146" s="86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spans="2:26" ht="15" customHeight="1" outlineLevel="1" x14ac:dyDescent="0.3">
      <c r="C147" s="89"/>
      <c r="G147" s="90" t="s">
        <v>76</v>
      </c>
      <c r="H147" s="90" t="s">
        <v>77</v>
      </c>
      <c r="I147" s="91"/>
    </row>
    <row r="148" spans="2:26" ht="15" customHeight="1" outlineLevel="1" x14ac:dyDescent="0.3">
      <c r="C148" s="84" t="s">
        <v>78</v>
      </c>
      <c r="G148" s="35">
        <f t="shared" ref="G148:H150" si="59">G86</f>
        <v>70</v>
      </c>
      <c r="H148" s="35">
        <f t="shared" si="59"/>
        <v>2590000</v>
      </c>
      <c r="I148" s="91"/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0.1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</row>
    <row r="149" spans="2:26" ht="15" customHeight="1" outlineLevel="1" x14ac:dyDescent="0.3">
      <c r="C149" s="84" t="s">
        <v>79</v>
      </c>
      <c r="G149" s="35">
        <f t="shared" si="59"/>
        <v>160</v>
      </c>
      <c r="H149" s="35">
        <f t="shared" si="59"/>
        <v>2705625</v>
      </c>
      <c r="I149" s="91"/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0.1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</row>
    <row r="150" spans="2:26" ht="15" customHeight="1" outlineLevel="1" x14ac:dyDescent="0.3">
      <c r="C150" s="95" t="s">
        <v>80</v>
      </c>
      <c r="G150" s="35">
        <f t="shared" si="59"/>
        <v>80</v>
      </c>
      <c r="H150" s="35">
        <f t="shared" si="59"/>
        <v>3933900</v>
      </c>
      <c r="I150" s="91"/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0.1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</row>
    <row r="151" spans="2:26" ht="15" customHeight="1" outlineLevel="1" x14ac:dyDescent="0.3">
      <c r="C151" s="95"/>
    </row>
    <row r="152" spans="2:26" ht="15" customHeight="1" outlineLevel="1" x14ac:dyDescent="0.3">
      <c r="C152" s="89" t="s">
        <v>797</v>
      </c>
    </row>
    <row r="153" spans="2:26" ht="15" customHeight="1" outlineLevel="1" x14ac:dyDescent="0.3">
      <c r="C153" s="84" t="s">
        <v>78</v>
      </c>
      <c r="E153" s="76" t="s">
        <v>63</v>
      </c>
      <c r="G153" s="33">
        <f>G148-G91</f>
        <v>6</v>
      </c>
      <c r="H153" s="31"/>
      <c r="I153" s="31"/>
      <c r="J153" s="48">
        <f>SUM(L153:Z153)</f>
        <v>6</v>
      </c>
      <c r="K153" s="26"/>
      <c r="L153" s="23">
        <f>IF(L148&gt;0,$G153,0)</f>
        <v>0</v>
      </c>
      <c r="M153" s="23">
        <f t="shared" ref="M153:Z153" si="60">IF(M148&gt;0,$G153,0)</f>
        <v>0</v>
      </c>
      <c r="N153" s="23">
        <f t="shared" si="60"/>
        <v>0</v>
      </c>
      <c r="O153" s="23">
        <f t="shared" si="60"/>
        <v>0</v>
      </c>
      <c r="P153" s="23">
        <f t="shared" si="60"/>
        <v>0</v>
      </c>
      <c r="Q153" s="23">
        <f t="shared" si="60"/>
        <v>6</v>
      </c>
      <c r="R153" s="23">
        <f t="shared" si="60"/>
        <v>0</v>
      </c>
      <c r="S153" s="23">
        <f t="shared" si="60"/>
        <v>0</v>
      </c>
      <c r="T153" s="23">
        <f t="shared" si="60"/>
        <v>0</v>
      </c>
      <c r="U153" s="23">
        <f t="shared" si="60"/>
        <v>0</v>
      </c>
      <c r="V153" s="23">
        <f t="shared" si="60"/>
        <v>0</v>
      </c>
      <c r="W153" s="23">
        <f t="shared" si="60"/>
        <v>0</v>
      </c>
      <c r="X153" s="23">
        <f t="shared" si="60"/>
        <v>0</v>
      </c>
      <c r="Y153" s="23">
        <f t="shared" si="60"/>
        <v>0</v>
      </c>
      <c r="Z153" s="23">
        <f t="shared" si="60"/>
        <v>0</v>
      </c>
    </row>
    <row r="154" spans="2:26" ht="15" customHeight="1" outlineLevel="1" x14ac:dyDescent="0.3">
      <c r="C154" s="84" t="s">
        <v>79</v>
      </c>
      <c r="E154" s="76"/>
      <c r="G154" s="33">
        <f>G149-G92</f>
        <v>16</v>
      </c>
      <c r="H154" s="31"/>
      <c r="I154" s="31"/>
      <c r="J154" s="48">
        <f>SUM(L154:Z154)</f>
        <v>16</v>
      </c>
      <c r="K154" s="26"/>
      <c r="L154" s="23">
        <f t="shared" ref="L154:Z155" si="61">IF(L149&gt;0,$G154,0)</f>
        <v>0</v>
      </c>
      <c r="M154" s="23">
        <f t="shared" si="61"/>
        <v>0</v>
      </c>
      <c r="N154" s="23">
        <f t="shared" si="61"/>
        <v>0</v>
      </c>
      <c r="O154" s="23">
        <f t="shared" si="61"/>
        <v>0</v>
      </c>
      <c r="P154" s="23">
        <f t="shared" si="61"/>
        <v>0</v>
      </c>
      <c r="Q154" s="23">
        <f t="shared" si="61"/>
        <v>16</v>
      </c>
      <c r="R154" s="23">
        <f t="shared" si="61"/>
        <v>0</v>
      </c>
      <c r="S154" s="23">
        <f t="shared" si="61"/>
        <v>0</v>
      </c>
      <c r="T154" s="23">
        <f t="shared" si="61"/>
        <v>0</v>
      </c>
      <c r="U154" s="23">
        <f t="shared" si="61"/>
        <v>0</v>
      </c>
      <c r="V154" s="23">
        <f t="shared" si="61"/>
        <v>0</v>
      </c>
      <c r="W154" s="23">
        <f t="shared" si="61"/>
        <v>0</v>
      </c>
      <c r="X154" s="23">
        <f t="shared" si="61"/>
        <v>0</v>
      </c>
      <c r="Y154" s="23">
        <f t="shared" si="61"/>
        <v>0</v>
      </c>
      <c r="Z154" s="23">
        <f t="shared" si="61"/>
        <v>0</v>
      </c>
    </row>
    <row r="155" spans="2:26" ht="15" customHeight="1" outlineLevel="1" x14ac:dyDescent="0.3">
      <c r="C155" s="95" t="s">
        <v>80</v>
      </c>
      <c r="E155" s="76" t="s">
        <v>63</v>
      </c>
      <c r="G155" s="33">
        <f>G150-G93</f>
        <v>8</v>
      </c>
      <c r="H155" s="31"/>
      <c r="I155" s="31"/>
      <c r="J155" s="48">
        <f>SUM(L155:Z155)</f>
        <v>8</v>
      </c>
      <c r="K155" s="26"/>
      <c r="L155" s="23">
        <f t="shared" si="61"/>
        <v>0</v>
      </c>
      <c r="M155" s="23">
        <f t="shared" si="61"/>
        <v>0</v>
      </c>
      <c r="N155" s="23">
        <f t="shared" si="61"/>
        <v>0</v>
      </c>
      <c r="O155" s="23">
        <f t="shared" si="61"/>
        <v>0</v>
      </c>
      <c r="P155" s="23">
        <f t="shared" si="61"/>
        <v>0</v>
      </c>
      <c r="Q155" s="23">
        <f t="shared" si="61"/>
        <v>8</v>
      </c>
      <c r="R155" s="23">
        <f t="shared" si="61"/>
        <v>0</v>
      </c>
      <c r="S155" s="23">
        <f t="shared" si="61"/>
        <v>0</v>
      </c>
      <c r="T155" s="23">
        <f t="shared" si="61"/>
        <v>0</v>
      </c>
      <c r="U155" s="23">
        <f t="shared" si="61"/>
        <v>0</v>
      </c>
      <c r="V155" s="23">
        <f t="shared" si="61"/>
        <v>0</v>
      </c>
      <c r="W155" s="23">
        <f t="shared" si="61"/>
        <v>0</v>
      </c>
      <c r="X155" s="23">
        <f t="shared" si="61"/>
        <v>0</v>
      </c>
      <c r="Y155" s="23">
        <f t="shared" si="61"/>
        <v>0</v>
      </c>
      <c r="Z155" s="23">
        <f t="shared" si="61"/>
        <v>0</v>
      </c>
    </row>
    <row r="156" spans="2:26" ht="15" customHeight="1" outlineLevel="1" x14ac:dyDescent="0.3">
      <c r="C156" s="78" t="s">
        <v>65</v>
      </c>
      <c r="D156" s="92"/>
      <c r="E156" s="93" t="s">
        <v>63</v>
      </c>
      <c r="F156" s="92"/>
      <c r="G156" s="36">
        <f>SUM(G153:G155)</f>
        <v>30</v>
      </c>
      <c r="H156" s="32"/>
      <c r="I156" s="32"/>
      <c r="J156" s="163">
        <f>SUM(J153:J155)</f>
        <v>30</v>
      </c>
      <c r="K156" s="27"/>
      <c r="L156" s="163">
        <f t="shared" ref="L156:Z156" si="62">SUM(L153:L155)</f>
        <v>0</v>
      </c>
      <c r="M156" s="163">
        <f t="shared" si="62"/>
        <v>0</v>
      </c>
      <c r="N156" s="163">
        <f t="shared" si="62"/>
        <v>0</v>
      </c>
      <c r="O156" s="163">
        <f t="shared" si="62"/>
        <v>0</v>
      </c>
      <c r="P156" s="163">
        <f t="shared" si="62"/>
        <v>0</v>
      </c>
      <c r="Q156" s="163">
        <f t="shared" si="62"/>
        <v>30</v>
      </c>
      <c r="R156" s="163">
        <f t="shared" si="62"/>
        <v>0</v>
      </c>
      <c r="S156" s="163">
        <f t="shared" si="62"/>
        <v>0</v>
      </c>
      <c r="T156" s="163">
        <f t="shared" si="62"/>
        <v>0</v>
      </c>
      <c r="U156" s="163">
        <f t="shared" si="62"/>
        <v>0</v>
      </c>
      <c r="V156" s="163">
        <f t="shared" si="62"/>
        <v>0</v>
      </c>
      <c r="W156" s="163">
        <f t="shared" si="62"/>
        <v>0</v>
      </c>
      <c r="X156" s="163">
        <f t="shared" si="62"/>
        <v>0</v>
      </c>
      <c r="Y156" s="163">
        <f t="shared" si="62"/>
        <v>0</v>
      </c>
      <c r="Z156" s="163">
        <f t="shared" si="62"/>
        <v>0</v>
      </c>
    </row>
    <row r="157" spans="2:26" ht="15" customHeight="1" outlineLevel="1" x14ac:dyDescent="0.3"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2:26" ht="15" customHeight="1" outlineLevel="1" x14ac:dyDescent="0.3">
      <c r="C158" s="89" t="s">
        <v>85</v>
      </c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2:26" ht="15" customHeight="1" outlineLevel="1" x14ac:dyDescent="0.3">
      <c r="C159" s="84" t="s">
        <v>78</v>
      </c>
      <c r="E159" s="76" t="s">
        <v>70</v>
      </c>
      <c r="G159" s="23">
        <f>$H148</f>
        <v>2590000</v>
      </c>
      <c r="J159" s="164">
        <f>SUM(L159:Z159)</f>
        <v>15540</v>
      </c>
      <c r="K159" s="19"/>
      <c r="L159" s="24">
        <f>(($G159*L$83)*L153)/$G$6</f>
        <v>0</v>
      </c>
      <c r="M159" s="24">
        <f t="shared" ref="M159:Z159" si="63">(($G159*M$83)*M153)/$G$6</f>
        <v>0</v>
      </c>
      <c r="N159" s="24">
        <f t="shared" si="63"/>
        <v>0</v>
      </c>
      <c r="O159" s="24">
        <f t="shared" si="63"/>
        <v>0</v>
      </c>
      <c r="P159" s="24">
        <f t="shared" si="63"/>
        <v>0</v>
      </c>
      <c r="Q159" s="24">
        <f t="shared" si="63"/>
        <v>15540</v>
      </c>
      <c r="R159" s="24">
        <f t="shared" si="63"/>
        <v>0</v>
      </c>
      <c r="S159" s="24">
        <f t="shared" si="63"/>
        <v>0</v>
      </c>
      <c r="T159" s="24">
        <f t="shared" si="63"/>
        <v>0</v>
      </c>
      <c r="U159" s="24">
        <f t="shared" si="63"/>
        <v>0</v>
      </c>
      <c r="V159" s="24">
        <f t="shared" si="63"/>
        <v>0</v>
      </c>
      <c r="W159" s="24">
        <f t="shared" si="63"/>
        <v>0</v>
      </c>
      <c r="X159" s="24">
        <f t="shared" si="63"/>
        <v>0</v>
      </c>
      <c r="Y159" s="24">
        <f t="shared" si="63"/>
        <v>0</v>
      </c>
      <c r="Z159" s="24">
        <f t="shared" si="63"/>
        <v>0</v>
      </c>
    </row>
    <row r="160" spans="2:26" ht="15" customHeight="1" outlineLevel="1" x14ac:dyDescent="0.3">
      <c r="C160" s="84" t="s">
        <v>79</v>
      </c>
      <c r="E160" s="76" t="s">
        <v>70</v>
      </c>
      <c r="G160" s="23">
        <f>$H149</f>
        <v>2705625</v>
      </c>
      <c r="J160" s="164">
        <f>SUM(L160:Z160)</f>
        <v>43290</v>
      </c>
      <c r="K160" s="19"/>
      <c r="L160" s="24">
        <f t="shared" ref="L160" si="64">(($G160*L$83)*L154)/$G$6</f>
        <v>0</v>
      </c>
      <c r="M160" s="24">
        <f t="shared" ref="M160:Z160" si="65">(($G160*M$83)*M154)/$G$6</f>
        <v>0</v>
      </c>
      <c r="N160" s="24">
        <f t="shared" si="65"/>
        <v>0</v>
      </c>
      <c r="O160" s="24">
        <f t="shared" si="65"/>
        <v>0</v>
      </c>
      <c r="P160" s="24">
        <f t="shared" si="65"/>
        <v>0</v>
      </c>
      <c r="Q160" s="24">
        <f t="shared" si="65"/>
        <v>43290</v>
      </c>
      <c r="R160" s="24">
        <f t="shared" si="65"/>
        <v>0</v>
      </c>
      <c r="S160" s="24">
        <f t="shared" si="65"/>
        <v>0</v>
      </c>
      <c r="T160" s="24">
        <f t="shared" si="65"/>
        <v>0</v>
      </c>
      <c r="U160" s="24">
        <f t="shared" si="65"/>
        <v>0</v>
      </c>
      <c r="V160" s="24">
        <f t="shared" si="65"/>
        <v>0</v>
      </c>
      <c r="W160" s="24">
        <f t="shared" si="65"/>
        <v>0</v>
      </c>
      <c r="X160" s="24">
        <f t="shared" si="65"/>
        <v>0</v>
      </c>
      <c r="Y160" s="24">
        <f t="shared" si="65"/>
        <v>0</v>
      </c>
      <c r="Z160" s="24">
        <f t="shared" si="65"/>
        <v>0</v>
      </c>
    </row>
    <row r="161" spans="2:26" ht="15" customHeight="1" outlineLevel="1" x14ac:dyDescent="0.3">
      <c r="C161" s="95" t="s">
        <v>80</v>
      </c>
      <c r="E161" s="76" t="s">
        <v>70</v>
      </c>
      <c r="G161" s="23">
        <f>$H150</f>
        <v>3933900</v>
      </c>
      <c r="J161" s="164">
        <f>SUM(L161:Z161)</f>
        <v>31471.200000000001</v>
      </c>
      <c r="K161" s="19"/>
      <c r="L161" s="24">
        <f t="shared" ref="L161" si="66">(($G161*L$83)*L155)/$G$6</f>
        <v>0</v>
      </c>
      <c r="M161" s="24">
        <f t="shared" ref="M161:Z161" si="67">(($G161*M$83)*M155)/$G$6</f>
        <v>0</v>
      </c>
      <c r="N161" s="24">
        <f t="shared" si="67"/>
        <v>0</v>
      </c>
      <c r="O161" s="24">
        <f t="shared" si="67"/>
        <v>0</v>
      </c>
      <c r="P161" s="24">
        <f t="shared" si="67"/>
        <v>0</v>
      </c>
      <c r="Q161" s="24">
        <f t="shared" si="67"/>
        <v>31471.200000000001</v>
      </c>
      <c r="R161" s="24">
        <f t="shared" si="67"/>
        <v>0</v>
      </c>
      <c r="S161" s="24">
        <f t="shared" si="67"/>
        <v>0</v>
      </c>
      <c r="T161" s="24">
        <f t="shared" si="67"/>
        <v>0</v>
      </c>
      <c r="U161" s="24">
        <f t="shared" si="67"/>
        <v>0</v>
      </c>
      <c r="V161" s="24">
        <f t="shared" si="67"/>
        <v>0</v>
      </c>
      <c r="W161" s="24">
        <f t="shared" si="67"/>
        <v>0</v>
      </c>
      <c r="X161" s="24">
        <f t="shared" si="67"/>
        <v>0</v>
      </c>
      <c r="Y161" s="24">
        <f t="shared" si="67"/>
        <v>0</v>
      </c>
      <c r="Z161" s="24">
        <f t="shared" si="67"/>
        <v>0</v>
      </c>
    </row>
    <row r="162" spans="2:26" ht="15" customHeight="1" outlineLevel="1" x14ac:dyDescent="0.3">
      <c r="C162" s="78" t="s">
        <v>84</v>
      </c>
      <c r="D162" s="92"/>
      <c r="E162" s="93" t="s">
        <v>70</v>
      </c>
      <c r="F162" s="92"/>
      <c r="G162" s="36">
        <f>AVERAGE(G159:G160)</f>
        <v>2647812.5</v>
      </c>
      <c r="H162" s="32"/>
      <c r="I162" s="32"/>
      <c r="J162" s="165">
        <f>SUM(J159:J161)</f>
        <v>90301.2</v>
      </c>
      <c r="K162" s="165"/>
      <c r="L162" s="165">
        <f>SUM(L159:L161)</f>
        <v>0</v>
      </c>
      <c r="M162" s="165">
        <f t="shared" ref="M162:Z162" si="68">SUM(M159:M161)</f>
        <v>0</v>
      </c>
      <c r="N162" s="165">
        <f t="shared" si="68"/>
        <v>0</v>
      </c>
      <c r="O162" s="165">
        <f t="shared" si="68"/>
        <v>0</v>
      </c>
      <c r="P162" s="165">
        <f t="shared" si="68"/>
        <v>0</v>
      </c>
      <c r="Q162" s="165">
        <f t="shared" si="68"/>
        <v>90301.2</v>
      </c>
      <c r="R162" s="165">
        <f t="shared" si="68"/>
        <v>0</v>
      </c>
      <c r="S162" s="165">
        <f t="shared" si="68"/>
        <v>0</v>
      </c>
      <c r="T162" s="165">
        <f t="shared" si="68"/>
        <v>0</v>
      </c>
      <c r="U162" s="165">
        <f t="shared" si="68"/>
        <v>0</v>
      </c>
      <c r="V162" s="165">
        <f t="shared" si="68"/>
        <v>0</v>
      </c>
      <c r="W162" s="165">
        <f t="shared" si="68"/>
        <v>0</v>
      </c>
      <c r="X162" s="165">
        <f t="shared" si="68"/>
        <v>0</v>
      </c>
      <c r="Y162" s="165">
        <f t="shared" si="68"/>
        <v>0</v>
      </c>
      <c r="Z162" s="165">
        <f t="shared" si="68"/>
        <v>0</v>
      </c>
    </row>
    <row r="163" spans="2:26" ht="15" customHeight="1" outlineLevel="1" x14ac:dyDescent="0.3"/>
    <row r="164" spans="2:26" ht="15" customHeight="1" outlineLevel="1" x14ac:dyDescent="0.3">
      <c r="C164" s="8" t="str">
        <f t="shared" ref="C164:C169" si="69">C16</f>
        <v xml:space="preserve">Pre-Sales from Branded Apartments T2 &amp; T3 </v>
      </c>
      <c r="D164" s="161">
        <v>2</v>
      </c>
      <c r="J164" s="23">
        <f t="shared" ref="J164:J169" si="70">SUM(L164:Z164)</f>
        <v>2539826.8929531374</v>
      </c>
      <c r="K164" s="19"/>
      <c r="L164" s="23">
        <f t="shared" ref="L164:Z164" si="71">L186</f>
        <v>0</v>
      </c>
      <c r="M164" s="23">
        <f t="shared" si="71"/>
        <v>42332.123478303729</v>
      </c>
      <c r="N164" s="23">
        <f t="shared" si="71"/>
        <v>550297.50206893124</v>
      </c>
      <c r="O164" s="23">
        <f t="shared" si="71"/>
        <v>1058262.8806595586</v>
      </c>
      <c r="P164" s="23">
        <f t="shared" si="71"/>
        <v>888934.38674634369</v>
      </c>
      <c r="Q164" s="23">
        <f t="shared" si="71"/>
        <v>0</v>
      </c>
      <c r="R164" s="23">
        <f t="shared" si="71"/>
        <v>0</v>
      </c>
      <c r="S164" s="23">
        <f t="shared" si="71"/>
        <v>0</v>
      </c>
      <c r="T164" s="23">
        <f t="shared" si="71"/>
        <v>0</v>
      </c>
      <c r="U164" s="23">
        <f t="shared" si="71"/>
        <v>0</v>
      </c>
      <c r="V164" s="23">
        <f t="shared" si="71"/>
        <v>0</v>
      </c>
      <c r="W164" s="23">
        <f t="shared" si="71"/>
        <v>0</v>
      </c>
      <c r="X164" s="23">
        <f t="shared" si="71"/>
        <v>0</v>
      </c>
      <c r="Y164" s="23">
        <f t="shared" si="71"/>
        <v>0</v>
      </c>
      <c r="Z164" s="23">
        <f t="shared" si="71"/>
        <v>0</v>
      </c>
    </row>
    <row r="165" spans="2:26" ht="15" customHeight="1" outlineLevel="1" x14ac:dyDescent="0.3">
      <c r="C165" s="8" t="str">
        <f t="shared" si="69"/>
        <v xml:space="preserve">Pre-Sales from Branded Apartments T4 &amp; T5 </v>
      </c>
      <c r="D165" s="161">
        <v>3</v>
      </c>
      <c r="J165" s="23">
        <f t="shared" si="70"/>
        <v>1594796.9999999998</v>
      </c>
      <c r="K165" s="19"/>
      <c r="L165" s="23">
        <f t="shared" ref="L165:Z165" si="72">L202</f>
        <v>0</v>
      </c>
      <c r="M165" s="23">
        <f t="shared" si="72"/>
        <v>0</v>
      </c>
      <c r="N165" s="23">
        <f t="shared" si="72"/>
        <v>159479.69999999998</v>
      </c>
      <c r="O165" s="23">
        <f t="shared" si="72"/>
        <v>478439.1</v>
      </c>
      <c r="P165" s="23">
        <f t="shared" si="72"/>
        <v>797398.5</v>
      </c>
      <c r="Q165" s="23">
        <f t="shared" si="72"/>
        <v>159479.70000000001</v>
      </c>
      <c r="R165" s="23">
        <f t="shared" si="72"/>
        <v>0</v>
      </c>
      <c r="S165" s="23">
        <f t="shared" si="72"/>
        <v>0</v>
      </c>
      <c r="T165" s="23">
        <f t="shared" si="72"/>
        <v>0</v>
      </c>
      <c r="U165" s="23">
        <f t="shared" si="72"/>
        <v>0</v>
      </c>
      <c r="V165" s="23">
        <f t="shared" si="72"/>
        <v>0</v>
      </c>
      <c r="W165" s="23">
        <f t="shared" si="72"/>
        <v>0</v>
      </c>
      <c r="X165" s="23">
        <f t="shared" si="72"/>
        <v>0</v>
      </c>
      <c r="Y165" s="23">
        <f t="shared" si="72"/>
        <v>0</v>
      </c>
      <c r="Z165" s="23">
        <f t="shared" si="72"/>
        <v>0</v>
      </c>
    </row>
    <row r="166" spans="2:26" ht="15" customHeight="1" outlineLevel="1" x14ac:dyDescent="0.3">
      <c r="C166" s="8" t="str">
        <f t="shared" si="69"/>
        <v>Pre-Sales from Residential Tower 01</v>
      </c>
      <c r="D166" s="161">
        <v>2</v>
      </c>
      <c r="J166" s="23">
        <f t="shared" si="70"/>
        <v>838610.8</v>
      </c>
      <c r="K166" s="19"/>
      <c r="L166" s="23">
        <f t="shared" ref="L166:Z166" si="73">L218</f>
        <v>0</v>
      </c>
      <c r="M166" s="23">
        <f t="shared" si="73"/>
        <v>0</v>
      </c>
      <c r="N166" s="23">
        <f t="shared" si="73"/>
        <v>0</v>
      </c>
      <c r="O166" s="23">
        <f t="shared" si="73"/>
        <v>0</v>
      </c>
      <c r="P166" s="23">
        <f t="shared" si="73"/>
        <v>0</v>
      </c>
      <c r="Q166" s="23">
        <f t="shared" si="73"/>
        <v>838610.8</v>
      </c>
      <c r="R166" s="23">
        <f t="shared" si="73"/>
        <v>0</v>
      </c>
      <c r="S166" s="23">
        <f t="shared" si="73"/>
        <v>0</v>
      </c>
      <c r="T166" s="23">
        <f t="shared" si="73"/>
        <v>0</v>
      </c>
      <c r="U166" s="23">
        <f t="shared" si="73"/>
        <v>0</v>
      </c>
      <c r="V166" s="23">
        <f t="shared" si="73"/>
        <v>0</v>
      </c>
      <c r="W166" s="23">
        <f t="shared" si="73"/>
        <v>0</v>
      </c>
      <c r="X166" s="23">
        <f t="shared" si="73"/>
        <v>0</v>
      </c>
      <c r="Y166" s="23">
        <f t="shared" si="73"/>
        <v>0</v>
      </c>
      <c r="Z166" s="23">
        <f t="shared" si="73"/>
        <v>0</v>
      </c>
    </row>
    <row r="167" spans="2:26" ht="15" customHeight="1" outlineLevel="1" x14ac:dyDescent="0.3">
      <c r="C167" s="8" t="str">
        <f t="shared" si="69"/>
        <v>Branded Apartments T2 &amp; T3</v>
      </c>
      <c r="D167" s="161">
        <v>2</v>
      </c>
      <c r="J167" s="23">
        <f t="shared" si="70"/>
        <v>282214.15652202489</v>
      </c>
      <c r="K167" s="19"/>
      <c r="L167" s="23">
        <f t="shared" ref="L167:Z167" si="74">L129</f>
        <v>0</v>
      </c>
      <c r="M167" s="23">
        <f t="shared" si="74"/>
        <v>0</v>
      </c>
      <c r="N167" s="23">
        <f t="shared" si="74"/>
        <v>0</v>
      </c>
      <c r="O167" s="23">
        <f t="shared" si="74"/>
        <v>0</v>
      </c>
      <c r="P167" s="23">
        <f t="shared" si="74"/>
        <v>0</v>
      </c>
      <c r="Q167" s="23">
        <f t="shared" si="74"/>
        <v>282214.15652202489</v>
      </c>
      <c r="R167" s="23">
        <f t="shared" si="74"/>
        <v>0</v>
      </c>
      <c r="S167" s="23">
        <f t="shared" si="74"/>
        <v>0</v>
      </c>
      <c r="T167" s="23">
        <f t="shared" si="74"/>
        <v>0</v>
      </c>
      <c r="U167" s="23">
        <f t="shared" si="74"/>
        <v>0</v>
      </c>
      <c r="V167" s="23">
        <f t="shared" si="74"/>
        <v>0</v>
      </c>
      <c r="W167" s="23">
        <f t="shared" si="74"/>
        <v>0</v>
      </c>
      <c r="X167" s="23">
        <f t="shared" si="74"/>
        <v>0</v>
      </c>
      <c r="Y167" s="23">
        <f t="shared" si="74"/>
        <v>0</v>
      </c>
      <c r="Z167" s="23">
        <f t="shared" si="74"/>
        <v>0</v>
      </c>
    </row>
    <row r="168" spans="2:26" ht="15" customHeight="1" outlineLevel="1" x14ac:dyDescent="0.3">
      <c r="C168" s="8" t="str">
        <f t="shared" si="69"/>
        <v xml:space="preserve">Branded Apartments T4 &amp; T5 </v>
      </c>
      <c r="D168" s="161">
        <v>3</v>
      </c>
      <c r="J168" s="23">
        <f t="shared" si="70"/>
        <v>1063227</v>
      </c>
      <c r="K168" s="19"/>
      <c r="L168" s="23">
        <f t="shared" ref="L168:Z168" si="75">L144</f>
        <v>0</v>
      </c>
      <c r="M168" s="23">
        <f t="shared" si="75"/>
        <v>0</v>
      </c>
      <c r="N168" s="23">
        <f t="shared" si="75"/>
        <v>0</v>
      </c>
      <c r="O168" s="23">
        <f t="shared" si="75"/>
        <v>0</v>
      </c>
      <c r="P168" s="23">
        <f t="shared" si="75"/>
        <v>0</v>
      </c>
      <c r="Q168" s="23">
        <f t="shared" si="75"/>
        <v>797413</v>
      </c>
      <c r="R168" s="23">
        <f t="shared" si="75"/>
        <v>265814</v>
      </c>
      <c r="S168" s="23">
        <f t="shared" si="75"/>
        <v>0</v>
      </c>
      <c r="T168" s="23">
        <f t="shared" si="75"/>
        <v>0</v>
      </c>
      <c r="U168" s="23">
        <f t="shared" si="75"/>
        <v>0</v>
      </c>
      <c r="V168" s="23">
        <f t="shared" si="75"/>
        <v>0</v>
      </c>
      <c r="W168" s="23">
        <f t="shared" si="75"/>
        <v>0</v>
      </c>
      <c r="X168" s="23">
        <f t="shared" si="75"/>
        <v>0</v>
      </c>
      <c r="Y168" s="23">
        <f t="shared" si="75"/>
        <v>0</v>
      </c>
      <c r="Z168" s="23">
        <f t="shared" si="75"/>
        <v>0</v>
      </c>
    </row>
    <row r="169" spans="2:26" ht="15" customHeight="1" outlineLevel="1" x14ac:dyDescent="0.3">
      <c r="C169" s="8" t="str">
        <f t="shared" si="69"/>
        <v>Residential Tower 01</v>
      </c>
      <c r="D169" s="161">
        <v>2</v>
      </c>
      <c r="J169" s="23">
        <f t="shared" si="70"/>
        <v>90301.2</v>
      </c>
      <c r="K169" s="19"/>
      <c r="L169" s="23">
        <f>L162</f>
        <v>0</v>
      </c>
      <c r="M169" s="23">
        <f t="shared" ref="M169:Z169" si="76">M162</f>
        <v>0</v>
      </c>
      <c r="N169" s="23">
        <f t="shared" si="76"/>
        <v>0</v>
      </c>
      <c r="O169" s="23">
        <f t="shared" si="76"/>
        <v>0</v>
      </c>
      <c r="P169" s="23">
        <f t="shared" si="76"/>
        <v>0</v>
      </c>
      <c r="Q169" s="23">
        <f t="shared" si="76"/>
        <v>90301.2</v>
      </c>
      <c r="R169" s="23">
        <f t="shared" si="76"/>
        <v>0</v>
      </c>
      <c r="S169" s="23">
        <f t="shared" si="76"/>
        <v>0</v>
      </c>
      <c r="T169" s="23">
        <f t="shared" si="76"/>
        <v>0</v>
      </c>
      <c r="U169" s="23">
        <f t="shared" si="76"/>
        <v>0</v>
      </c>
      <c r="V169" s="23">
        <f t="shared" si="76"/>
        <v>0</v>
      </c>
      <c r="W169" s="23">
        <f t="shared" si="76"/>
        <v>0</v>
      </c>
      <c r="X169" s="23">
        <f t="shared" si="76"/>
        <v>0</v>
      </c>
      <c r="Y169" s="23">
        <f t="shared" si="76"/>
        <v>0</v>
      </c>
      <c r="Z169" s="23">
        <f t="shared" si="76"/>
        <v>0</v>
      </c>
    </row>
    <row r="170" spans="2:26" ht="15" customHeight="1" outlineLevel="1" x14ac:dyDescent="0.3">
      <c r="C170" s="78" t="s">
        <v>90</v>
      </c>
      <c r="D170" s="78"/>
      <c r="E170" s="79"/>
      <c r="F170" s="78"/>
      <c r="G170" s="78"/>
      <c r="H170" s="78"/>
      <c r="I170" s="78"/>
      <c r="J170" s="160">
        <f>SUM(J164:J169)</f>
        <v>6408977.0494751623</v>
      </c>
      <c r="K170" s="160"/>
      <c r="L170" s="160">
        <f>SUM(L164:L169)</f>
        <v>0</v>
      </c>
      <c r="M170" s="160">
        <f t="shared" ref="M170:Z170" si="77">SUM(M164:M169)</f>
        <v>42332.123478303729</v>
      </c>
      <c r="N170" s="160">
        <f t="shared" si="77"/>
        <v>709777.20206893119</v>
      </c>
      <c r="O170" s="160">
        <f t="shared" si="77"/>
        <v>1536701.9806595584</v>
      </c>
      <c r="P170" s="160">
        <f t="shared" si="77"/>
        <v>1686332.8867463437</v>
      </c>
      <c r="Q170" s="160">
        <f t="shared" si="77"/>
        <v>2168018.8565220251</v>
      </c>
      <c r="R170" s="160">
        <f t="shared" si="77"/>
        <v>265814</v>
      </c>
      <c r="S170" s="160">
        <f t="shared" si="77"/>
        <v>0</v>
      </c>
      <c r="T170" s="160">
        <f t="shared" si="77"/>
        <v>0</v>
      </c>
      <c r="U170" s="160">
        <f t="shared" si="77"/>
        <v>0</v>
      </c>
      <c r="V170" s="160">
        <f t="shared" si="77"/>
        <v>0</v>
      </c>
      <c r="W170" s="160">
        <f t="shared" si="77"/>
        <v>0</v>
      </c>
      <c r="X170" s="160">
        <f t="shared" si="77"/>
        <v>0</v>
      </c>
      <c r="Y170" s="160">
        <f t="shared" si="77"/>
        <v>0</v>
      </c>
      <c r="Z170" s="160">
        <f t="shared" si="77"/>
        <v>0</v>
      </c>
    </row>
    <row r="171" spans="2:26" ht="15" customHeight="1" outlineLevel="1" x14ac:dyDescent="0.3"/>
    <row r="172" spans="2:26" ht="15" customHeight="1" outlineLevel="1" x14ac:dyDescent="0.3">
      <c r="B172" s="82" t="s">
        <v>52</v>
      </c>
      <c r="C172" s="82"/>
      <c r="D172" s="82"/>
      <c r="E172" s="83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2:26" ht="15" customHeight="1" outlineLevel="1" x14ac:dyDescent="0.3"/>
    <row r="174" spans="2:26" ht="15" customHeight="1" outlineLevel="1" x14ac:dyDescent="0.3">
      <c r="C174" s="37" t="s">
        <v>89</v>
      </c>
      <c r="J174" s="166">
        <f>SUM(L174:Z174)</f>
        <v>2539826.8929531374</v>
      </c>
      <c r="K174" s="19"/>
      <c r="L174" s="167">
        <f t="shared" ref="L174:Z174" si="78">L39</f>
        <v>0</v>
      </c>
      <c r="M174" s="167">
        <f t="shared" si="78"/>
        <v>141107.07826101244</v>
      </c>
      <c r="N174" s="167">
        <f t="shared" si="78"/>
        <v>846608.96431771247</v>
      </c>
      <c r="O174" s="167">
        <f t="shared" si="78"/>
        <v>846608.96431771247</v>
      </c>
      <c r="P174" s="167">
        <f t="shared" si="78"/>
        <v>705501.88605670002</v>
      </c>
      <c r="Q174" s="167">
        <f t="shared" si="78"/>
        <v>0</v>
      </c>
      <c r="R174" s="167">
        <f t="shared" si="78"/>
        <v>0</v>
      </c>
      <c r="S174" s="167">
        <f t="shared" si="78"/>
        <v>0</v>
      </c>
      <c r="T174" s="167">
        <f t="shared" si="78"/>
        <v>0</v>
      </c>
      <c r="U174" s="167">
        <f t="shared" si="78"/>
        <v>0</v>
      </c>
      <c r="V174" s="167">
        <f t="shared" si="78"/>
        <v>0</v>
      </c>
      <c r="W174" s="167">
        <f t="shared" si="78"/>
        <v>0</v>
      </c>
      <c r="X174" s="167">
        <f t="shared" si="78"/>
        <v>0</v>
      </c>
      <c r="Y174" s="167">
        <f t="shared" si="78"/>
        <v>0</v>
      </c>
      <c r="Z174" s="167">
        <f t="shared" si="78"/>
        <v>0</v>
      </c>
    </row>
    <row r="175" spans="2:26" ht="15" customHeight="1" outlineLevel="1" x14ac:dyDescent="0.3"/>
    <row r="176" spans="2:26" ht="15" customHeight="1" outlineLevel="1" x14ac:dyDescent="0.3">
      <c r="C176" s="8" t="s">
        <v>87</v>
      </c>
      <c r="L176" s="5">
        <v>0</v>
      </c>
      <c r="M176" s="5">
        <v>0.3</v>
      </c>
      <c r="N176" s="5">
        <v>0.3</v>
      </c>
      <c r="O176" s="5">
        <v>0.3</v>
      </c>
      <c r="P176" s="5">
        <v>0.1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</row>
    <row r="177" spans="2:26" ht="15" customHeight="1" outlineLevel="1" x14ac:dyDescent="0.3">
      <c r="C177" s="8" t="s">
        <v>88</v>
      </c>
      <c r="L177" s="4">
        <f t="shared" ref="L177:Z177" si="79">K177+L176</f>
        <v>0</v>
      </c>
      <c r="M177" s="4">
        <f t="shared" si="79"/>
        <v>0.3</v>
      </c>
      <c r="N177" s="4">
        <f t="shared" si="79"/>
        <v>0.6</v>
      </c>
      <c r="O177" s="4">
        <f t="shared" si="79"/>
        <v>0.89999999999999991</v>
      </c>
      <c r="P177" s="4">
        <f t="shared" si="79"/>
        <v>0.99999999999999989</v>
      </c>
      <c r="Q177" s="4">
        <f t="shared" si="79"/>
        <v>0.99999999999999989</v>
      </c>
      <c r="R177" s="4">
        <f t="shared" si="79"/>
        <v>0.99999999999999989</v>
      </c>
      <c r="S177" s="4">
        <f t="shared" si="79"/>
        <v>0.99999999999999989</v>
      </c>
      <c r="T177" s="4">
        <f t="shared" si="79"/>
        <v>0.99999999999999989</v>
      </c>
      <c r="U177" s="4">
        <f t="shared" si="79"/>
        <v>0.99999999999999989</v>
      </c>
      <c r="V177" s="4">
        <f t="shared" si="79"/>
        <v>0.99999999999999989</v>
      </c>
      <c r="W177" s="4">
        <f t="shared" si="79"/>
        <v>0.99999999999999989</v>
      </c>
      <c r="X177" s="4">
        <f t="shared" si="79"/>
        <v>0.99999999999999989</v>
      </c>
      <c r="Y177" s="4">
        <f t="shared" si="79"/>
        <v>0.99999999999999989</v>
      </c>
      <c r="Z177" s="4">
        <f t="shared" si="79"/>
        <v>0.99999999999999989</v>
      </c>
    </row>
    <row r="178" spans="2:26" ht="15" customHeight="1" outlineLevel="1" x14ac:dyDescent="0.3"/>
    <row r="179" spans="2:26" ht="15" customHeight="1" outlineLevel="1" x14ac:dyDescent="0.3"/>
    <row r="180" spans="2:26" ht="15" customHeight="1" outlineLevel="1" x14ac:dyDescent="0.3">
      <c r="C180" s="23">
        <v>2025</v>
      </c>
      <c r="E180" s="76" t="s">
        <v>70</v>
      </c>
      <c r="G180" s="33">
        <f t="shared" ref="G180:G185" si="80">SUMIF($L$4:$Z$4,$C180,$L$174:$Z$174)</f>
        <v>0</v>
      </c>
      <c r="J180" s="164">
        <f t="shared" ref="J180:J185" si="81">SUM(L180:Z180)</f>
        <v>0</v>
      </c>
      <c r="K180" s="19"/>
      <c r="L180" s="24" cm="1">
        <f t="array" ref="L180">IF(L$4&lt;$C180,0,IF(L$4=$C180,SUMIF($L$4:$Z$4,$C180,$L$174:$Z$174)*INDEX($L$177:$Z$177,$C180-$L$4+1),SUMIF($L$4:$Z$4,$C180,$L$174:$Z$174)*L$176))</f>
        <v>0</v>
      </c>
      <c r="M180" s="24" cm="1">
        <f t="array" ref="M180">IF(M$4&lt;$C180,0,IF(M$4=$C180,SUMIF($L$4:$Z$4,$C180,$L$174:$Z$174)*INDEX($L$177:$Z$177,$C180-$L$4+1),SUMIF($L$4:$Z$4,$C180,$L$174:$Z$174)*M$176))</f>
        <v>0</v>
      </c>
      <c r="N180" s="24" cm="1">
        <f t="array" ref="N180">IF(N$4&lt;$C180,0,IF(N$4=$C180,SUMIF($L$4:$Z$4,$C180,$L$174:$Z$174)*INDEX($L$177:$Z$177,$C180-$L$4+1),SUMIF($L$4:$Z$4,$C180,$L$174:$Z$174)*N$176))</f>
        <v>0</v>
      </c>
      <c r="O180" s="24" cm="1">
        <f t="array" ref="O180">IF(O$4&lt;$C180,0,IF(O$4=$C180,SUMIF($L$4:$Z$4,$C180,$L$174:$Z$174)*INDEX($L$177:$Z$177,$C180-$L$4+1),SUMIF($L$4:$Z$4,$C180,$L$174:$Z$174)*O$176))</f>
        <v>0</v>
      </c>
      <c r="P180" s="24" cm="1">
        <f t="array" ref="P180">IF(P$4&lt;$C180,0,IF(P$4=$C180,SUMIF($L$4:$Z$4,$C180,$L$174:$Z$174)*INDEX($L$177:$Z$177,$C180-$L$4+1),SUMIF($L$4:$Z$4,$C180,$L$174:$Z$174)*P$176))</f>
        <v>0</v>
      </c>
      <c r="Q180" s="24" cm="1">
        <f t="array" ref="Q180">IF(Q$4&lt;$C180,0,IF(Q$4=$C180,SUMIF($L$4:$Z$4,$C180,$L$174:$Z$174)*INDEX($L$177:$Z$177,$C180-$L$4+1),SUMIF($L$4:$Z$4,$C180,$L$174:$Z$174)*Q$176))</f>
        <v>0</v>
      </c>
      <c r="R180" s="24" cm="1">
        <f t="array" ref="R180">IF(R$4&lt;$C180,0,IF(R$4=$C180,SUMIF($L$4:$Z$4,$C180,$L$174:$Z$174)*INDEX($L$177:$Z$177,$C180-$L$4+1),SUMIF($L$4:$Z$4,$C180,$L$174:$Z$174)*R$176))</f>
        <v>0</v>
      </c>
      <c r="S180" s="24" cm="1">
        <f t="array" ref="S180">IF(S$4&lt;$C180,0,IF(S$4=$C180,SUMIF($L$4:$Z$4,$C180,$L$174:$Z$174)*INDEX($L$177:$Z$177,$C180-$L$4+1),SUMIF($L$4:$Z$4,$C180,$L$174:$Z$174)*S$176))</f>
        <v>0</v>
      </c>
      <c r="T180" s="24" cm="1">
        <f t="array" ref="T180">IF(T$4&lt;$C180,0,IF(T$4=$C180,SUMIF($L$4:$Z$4,$C180,$L$174:$Z$174)*INDEX($L$177:$Z$177,$C180-$L$4+1),SUMIF($L$4:$Z$4,$C180,$L$174:$Z$174)*T$176))</f>
        <v>0</v>
      </c>
      <c r="U180" s="24" cm="1">
        <f t="array" ref="U180">IF(U$4&lt;$C180,0,IF(U$4=$C180,SUMIF($L$4:$Z$4,$C180,$L$174:$Z$174)*INDEX($L$177:$Z$177,$C180-$L$4+1),SUMIF($L$4:$Z$4,$C180,$L$174:$Z$174)*U$176))</f>
        <v>0</v>
      </c>
      <c r="V180" s="24" cm="1">
        <f t="array" ref="V180">IF(V$4&lt;$C180,0,IF(V$4=$C180,SUMIF($L$4:$Z$4,$C180,$L$174:$Z$174)*INDEX($L$177:$Z$177,$C180-$L$4+1),SUMIF($L$4:$Z$4,$C180,$L$174:$Z$174)*V$176))</f>
        <v>0</v>
      </c>
      <c r="W180" s="24" cm="1">
        <f t="array" ref="W180">IF(W$4&lt;$C180,0,IF(W$4=$C180,SUMIF($L$4:$Z$4,$C180,$L$174:$Z$174)*INDEX($L$177:$Z$177,$C180-$L$4+1),SUMIF($L$4:$Z$4,$C180,$L$174:$Z$174)*W$176))</f>
        <v>0</v>
      </c>
      <c r="X180" s="24" cm="1">
        <f t="array" ref="X180">IF(X$4&lt;$C180,0,IF(X$4=$C180,SUMIF($L$4:$Z$4,$C180,$L$174:$Z$174)*INDEX($L$177:$Z$177,$C180-$L$4+1),SUMIF($L$4:$Z$4,$C180,$L$174:$Z$174)*X$176))</f>
        <v>0</v>
      </c>
      <c r="Y180" s="24" cm="1">
        <f t="array" ref="Y180">IF(Y$4&lt;$C180,0,IF(Y$4=$C180,SUMIF($L$4:$Z$4,$C180,$L$174:$Z$174)*INDEX($L$177:$Z$177,$C180-$L$4+1),SUMIF($L$4:$Z$4,$C180,$L$174:$Z$174)*Y$176))</f>
        <v>0</v>
      </c>
      <c r="Z180" s="24" cm="1">
        <f t="array" ref="Z180">IF(Z$4&lt;$C180,0,IF(Z$4=$C180,SUMIF($L$4:$Z$4,$C180,$L$174:$Z$174)*INDEX($L$177:$Z$177,$C180-$L$4+1),SUMIF($L$4:$Z$4,$C180,$L$174:$Z$174)*Z$176))</f>
        <v>0</v>
      </c>
    </row>
    <row r="181" spans="2:26" ht="15" customHeight="1" outlineLevel="1" x14ac:dyDescent="0.3">
      <c r="C181" s="23">
        <f>C180+1</f>
        <v>2026</v>
      </c>
      <c r="E181" s="76" t="s">
        <v>70</v>
      </c>
      <c r="G181" s="33">
        <f t="shared" si="80"/>
        <v>141107.07826101244</v>
      </c>
      <c r="J181" s="164">
        <f t="shared" si="81"/>
        <v>141107.07826101244</v>
      </c>
      <c r="K181" s="19"/>
      <c r="L181" s="24" cm="1">
        <f t="array" ref="L181">IF(L$4&lt;$C181,0,IF(L$4=$C181,SUMIF($L$4:$Z$4,$C181,$L$174:$Z$174)*INDEX($L$177:$Z$177,$C181-$L$4+1),SUMIF($L$4:$Z$4,$C181,$L$174:$Z$174)*L$176))</f>
        <v>0</v>
      </c>
      <c r="M181" s="24" cm="1">
        <f t="array" ref="M181">IF(M$4&lt;$C181,0,IF(M$4=$C181,SUMIF($L$4:$Z$4,$C181,$L$174:$Z$174)*INDEX($L$177:$Z$177,$C181-$L$4+1),SUMIF($L$4:$Z$4,$C181,$L$174:$Z$174)*M$176))</f>
        <v>42332.123478303729</v>
      </c>
      <c r="N181" s="24" cm="1">
        <f t="array" ref="N181">IF(N$4&lt;$C181,0,IF(N$4=$C181,SUMIF($L$4:$Z$4,$C181,$L$174:$Z$174)*INDEX($L$177:$Z$177,$C181-$L$4+1),SUMIF($L$4:$Z$4,$C181,$L$174:$Z$174)*N$176))</f>
        <v>42332.123478303729</v>
      </c>
      <c r="O181" s="24" cm="1">
        <f t="array" ref="O181">IF(O$4&lt;$C181,0,IF(O$4=$C181,SUMIF($L$4:$Z$4,$C181,$L$174:$Z$174)*INDEX($L$177:$Z$177,$C181-$L$4+1),SUMIF($L$4:$Z$4,$C181,$L$174:$Z$174)*O$176))</f>
        <v>42332.123478303729</v>
      </c>
      <c r="P181" s="24" cm="1">
        <f t="array" ref="P181">IF(P$4&lt;$C181,0,IF(P$4=$C181,SUMIF($L$4:$Z$4,$C181,$L$174:$Z$174)*INDEX($L$177:$Z$177,$C181-$L$4+1),SUMIF($L$4:$Z$4,$C181,$L$174:$Z$174)*P$176))</f>
        <v>14110.707826101245</v>
      </c>
      <c r="Q181" s="24" cm="1">
        <f t="array" ref="Q181">IF(Q$4&lt;$C181,0,IF(Q$4=$C181,SUMIF($L$4:$Z$4,$C181,$L$174:$Z$174)*INDEX($L$177:$Z$177,$C181-$L$4+1),SUMIF($L$4:$Z$4,$C181,$L$174:$Z$174)*Q$176))</f>
        <v>0</v>
      </c>
      <c r="R181" s="24" cm="1">
        <f t="array" ref="R181">IF(R$4&lt;$C181,0,IF(R$4=$C181,SUMIF($L$4:$Z$4,$C181,$L$174:$Z$174)*INDEX($L$177:$Z$177,$C181-$L$4+1),SUMIF($L$4:$Z$4,$C181,$L$174:$Z$174)*R$176))</f>
        <v>0</v>
      </c>
      <c r="S181" s="24" cm="1">
        <f t="array" ref="S181">IF(S$4&lt;$C181,0,IF(S$4=$C181,SUMIF($L$4:$Z$4,$C181,$L$174:$Z$174)*INDEX($L$177:$Z$177,$C181-$L$4+1),SUMIF($L$4:$Z$4,$C181,$L$174:$Z$174)*S$176))</f>
        <v>0</v>
      </c>
      <c r="T181" s="24" cm="1">
        <f t="array" ref="T181">IF(T$4&lt;$C181,0,IF(T$4=$C181,SUMIF($L$4:$Z$4,$C181,$L$174:$Z$174)*INDEX($L$177:$Z$177,$C181-$L$4+1),SUMIF($L$4:$Z$4,$C181,$L$174:$Z$174)*T$176))</f>
        <v>0</v>
      </c>
      <c r="U181" s="24" cm="1">
        <f t="array" ref="U181">IF(U$4&lt;$C181,0,IF(U$4=$C181,SUMIF($L$4:$Z$4,$C181,$L$174:$Z$174)*INDEX($L$177:$Z$177,$C181-$L$4+1),SUMIF($L$4:$Z$4,$C181,$L$174:$Z$174)*U$176))</f>
        <v>0</v>
      </c>
      <c r="V181" s="24" cm="1">
        <f t="array" ref="V181">IF(V$4&lt;$C181,0,IF(V$4=$C181,SUMIF($L$4:$Z$4,$C181,$L$174:$Z$174)*INDEX($L$177:$Z$177,$C181-$L$4+1),SUMIF($L$4:$Z$4,$C181,$L$174:$Z$174)*V$176))</f>
        <v>0</v>
      </c>
      <c r="W181" s="24" cm="1">
        <f t="array" ref="W181">IF(W$4&lt;$C181,0,IF(W$4=$C181,SUMIF($L$4:$Z$4,$C181,$L$174:$Z$174)*INDEX($L$177:$Z$177,$C181-$L$4+1),SUMIF($L$4:$Z$4,$C181,$L$174:$Z$174)*W$176))</f>
        <v>0</v>
      </c>
      <c r="X181" s="24" cm="1">
        <f t="array" ref="X181">IF(X$4&lt;$C181,0,IF(X$4=$C181,SUMIF($L$4:$Z$4,$C181,$L$174:$Z$174)*INDEX($L$177:$Z$177,$C181-$L$4+1),SUMIF($L$4:$Z$4,$C181,$L$174:$Z$174)*X$176))</f>
        <v>0</v>
      </c>
      <c r="Y181" s="24" cm="1">
        <f t="array" ref="Y181">IF(Y$4&lt;$C181,0,IF(Y$4=$C181,SUMIF($L$4:$Z$4,$C181,$L$174:$Z$174)*INDEX($L$177:$Z$177,$C181-$L$4+1),SUMIF($L$4:$Z$4,$C181,$L$174:$Z$174)*Y$176))</f>
        <v>0</v>
      </c>
      <c r="Z181" s="24" cm="1">
        <f t="array" ref="Z181">IF(Z$4&lt;$C181,0,IF(Z$4=$C181,SUMIF($L$4:$Z$4,$C181,$L$174:$Z$174)*INDEX($L$177:$Z$177,$C181-$L$4+1),SUMIF($L$4:$Z$4,$C181,$L$174:$Z$174)*Z$176))</f>
        <v>0</v>
      </c>
    </row>
    <row r="182" spans="2:26" ht="15" customHeight="1" outlineLevel="1" x14ac:dyDescent="0.3">
      <c r="C182" s="23">
        <f>C181+1</f>
        <v>2027</v>
      </c>
      <c r="E182" s="76" t="s">
        <v>70</v>
      </c>
      <c r="G182" s="33">
        <f t="shared" si="80"/>
        <v>846608.96431771247</v>
      </c>
      <c r="J182" s="164">
        <f t="shared" si="81"/>
        <v>846608.96431771235</v>
      </c>
      <c r="K182" s="19"/>
      <c r="L182" s="24" cm="1">
        <f t="array" ref="L182">IF(L$4&lt;$C182,0,IF(L$4=$C182,SUMIF($L$4:$Z$4,$C182,$L$174:$Z$174)*INDEX($L$177:$Z$177,$C182-$L$4+1),SUMIF($L$4:$Z$4,$C182,$L$174:$Z$174)*L$176))</f>
        <v>0</v>
      </c>
      <c r="M182" s="24" cm="1">
        <f t="array" ref="M182">IF(M$4&lt;$C182,0,IF(M$4=$C182,SUMIF($L$4:$Z$4,$C182,$L$174:$Z$174)*INDEX($L$177:$Z$177,$C182-$L$4+1),SUMIF($L$4:$Z$4,$C182,$L$174:$Z$174)*M$176))</f>
        <v>0</v>
      </c>
      <c r="N182" s="24" cm="1">
        <f t="array" ref="N182">IF(N$4&lt;$C182,0,IF(N$4=$C182,SUMIF($L$4:$Z$4,$C182,$L$174:$Z$174)*INDEX($L$177:$Z$177,$C182-$L$4+1),SUMIF($L$4:$Z$4,$C182,$L$174:$Z$174)*N$176))</f>
        <v>507965.37859062746</v>
      </c>
      <c r="O182" s="24" cm="1">
        <f t="array" ref="O182">IF(O$4&lt;$C182,0,IF(O$4=$C182,SUMIF($L$4:$Z$4,$C182,$L$174:$Z$174)*INDEX($L$177:$Z$177,$C182-$L$4+1),SUMIF($L$4:$Z$4,$C182,$L$174:$Z$174)*O$176))</f>
        <v>253982.68929531373</v>
      </c>
      <c r="P182" s="24" cm="1">
        <f t="array" ref="P182">IF(P$4&lt;$C182,0,IF(P$4=$C182,SUMIF($L$4:$Z$4,$C182,$L$174:$Z$174)*INDEX($L$177:$Z$177,$C182-$L$4+1),SUMIF($L$4:$Z$4,$C182,$L$174:$Z$174)*P$176))</f>
        <v>84660.896431771253</v>
      </c>
      <c r="Q182" s="24" cm="1">
        <f t="array" ref="Q182">IF(Q$4&lt;$C182,0,IF(Q$4=$C182,SUMIF($L$4:$Z$4,$C182,$L$174:$Z$174)*INDEX($L$177:$Z$177,$C182-$L$4+1),SUMIF($L$4:$Z$4,$C182,$L$174:$Z$174)*Q$176))</f>
        <v>0</v>
      </c>
      <c r="R182" s="24" cm="1">
        <f t="array" ref="R182">IF(R$4&lt;$C182,0,IF(R$4=$C182,SUMIF($L$4:$Z$4,$C182,$L$174:$Z$174)*INDEX($L$177:$Z$177,$C182-$L$4+1),SUMIF($L$4:$Z$4,$C182,$L$174:$Z$174)*R$176))</f>
        <v>0</v>
      </c>
      <c r="S182" s="24" cm="1">
        <f t="array" ref="S182">IF(S$4&lt;$C182,0,IF(S$4=$C182,SUMIF($L$4:$Z$4,$C182,$L$174:$Z$174)*INDEX($L$177:$Z$177,$C182-$L$4+1),SUMIF($L$4:$Z$4,$C182,$L$174:$Z$174)*S$176))</f>
        <v>0</v>
      </c>
      <c r="T182" s="24" cm="1">
        <f t="array" ref="T182">IF(T$4&lt;$C182,0,IF(T$4=$C182,SUMIF($L$4:$Z$4,$C182,$L$174:$Z$174)*INDEX($L$177:$Z$177,$C182-$L$4+1),SUMIF($L$4:$Z$4,$C182,$L$174:$Z$174)*T$176))</f>
        <v>0</v>
      </c>
      <c r="U182" s="24" cm="1">
        <f t="array" ref="U182">IF(U$4&lt;$C182,0,IF(U$4=$C182,SUMIF($L$4:$Z$4,$C182,$L$174:$Z$174)*INDEX($L$177:$Z$177,$C182-$L$4+1),SUMIF($L$4:$Z$4,$C182,$L$174:$Z$174)*U$176))</f>
        <v>0</v>
      </c>
      <c r="V182" s="24" cm="1">
        <f t="array" ref="V182">IF(V$4&lt;$C182,0,IF(V$4=$C182,SUMIF($L$4:$Z$4,$C182,$L$174:$Z$174)*INDEX($L$177:$Z$177,$C182-$L$4+1),SUMIF($L$4:$Z$4,$C182,$L$174:$Z$174)*V$176))</f>
        <v>0</v>
      </c>
      <c r="W182" s="24" cm="1">
        <f t="array" ref="W182">IF(W$4&lt;$C182,0,IF(W$4=$C182,SUMIF($L$4:$Z$4,$C182,$L$174:$Z$174)*INDEX($L$177:$Z$177,$C182-$L$4+1),SUMIF($L$4:$Z$4,$C182,$L$174:$Z$174)*W$176))</f>
        <v>0</v>
      </c>
      <c r="X182" s="24" cm="1">
        <f t="array" ref="X182">IF(X$4&lt;$C182,0,IF(X$4=$C182,SUMIF($L$4:$Z$4,$C182,$L$174:$Z$174)*INDEX($L$177:$Z$177,$C182-$L$4+1),SUMIF($L$4:$Z$4,$C182,$L$174:$Z$174)*X$176))</f>
        <v>0</v>
      </c>
      <c r="Y182" s="24" cm="1">
        <f t="array" ref="Y182">IF(Y$4&lt;$C182,0,IF(Y$4=$C182,SUMIF($L$4:$Z$4,$C182,$L$174:$Z$174)*INDEX($L$177:$Z$177,$C182-$L$4+1),SUMIF($L$4:$Z$4,$C182,$L$174:$Z$174)*Y$176))</f>
        <v>0</v>
      </c>
      <c r="Z182" s="24" cm="1">
        <f t="array" ref="Z182">IF(Z$4&lt;$C182,0,IF(Z$4=$C182,SUMIF($L$4:$Z$4,$C182,$L$174:$Z$174)*INDEX($L$177:$Z$177,$C182-$L$4+1),SUMIF($L$4:$Z$4,$C182,$L$174:$Z$174)*Z$176))</f>
        <v>0</v>
      </c>
    </row>
    <row r="183" spans="2:26" ht="15" customHeight="1" outlineLevel="1" x14ac:dyDescent="0.3">
      <c r="C183" s="23">
        <f>C182+1</f>
        <v>2028</v>
      </c>
      <c r="E183" s="76" t="s">
        <v>70</v>
      </c>
      <c r="G183" s="33">
        <f t="shared" si="80"/>
        <v>846608.96431771247</v>
      </c>
      <c r="J183" s="164">
        <f t="shared" si="81"/>
        <v>846608.96431771235</v>
      </c>
      <c r="K183" s="19"/>
      <c r="L183" s="24" cm="1">
        <f t="array" ref="L183">IF(L$4&lt;$C183,0,IF(L$4=$C183,SUMIF($L$4:$Z$4,$C183,$L$174:$Z$174)*INDEX($L$177:$Z$177,$C183-$L$4+1),SUMIF($L$4:$Z$4,$C183,$L$174:$Z$174)*L$176))</f>
        <v>0</v>
      </c>
      <c r="M183" s="24" cm="1">
        <f t="array" ref="M183">IF(M$4&lt;$C183,0,IF(M$4=$C183,SUMIF($L$4:$Z$4,$C183,$L$174:$Z$174)*INDEX($L$177:$Z$177,$C183-$L$4+1),SUMIF($L$4:$Z$4,$C183,$L$174:$Z$174)*M$176))</f>
        <v>0</v>
      </c>
      <c r="N183" s="24" cm="1">
        <f t="array" ref="N183">IF(N$4&lt;$C183,0,IF(N$4=$C183,SUMIF($L$4:$Z$4,$C183,$L$174:$Z$174)*INDEX($L$177:$Z$177,$C183-$L$4+1),SUMIF($L$4:$Z$4,$C183,$L$174:$Z$174)*N$176))</f>
        <v>0</v>
      </c>
      <c r="O183" s="24" cm="1">
        <f t="array" ref="O183">IF(O$4&lt;$C183,0,IF(O$4=$C183,SUMIF($L$4:$Z$4,$C183,$L$174:$Z$174)*INDEX($L$177:$Z$177,$C183-$L$4+1),SUMIF($L$4:$Z$4,$C183,$L$174:$Z$174)*O$176))</f>
        <v>761948.06788594113</v>
      </c>
      <c r="P183" s="24" cm="1">
        <f t="array" ref="P183">IF(P$4&lt;$C183,0,IF(P$4=$C183,SUMIF($L$4:$Z$4,$C183,$L$174:$Z$174)*INDEX($L$177:$Z$177,$C183-$L$4+1),SUMIF($L$4:$Z$4,$C183,$L$174:$Z$174)*P$176))</f>
        <v>84660.896431771253</v>
      </c>
      <c r="Q183" s="24" cm="1">
        <f t="array" ref="Q183">IF(Q$4&lt;$C183,0,IF(Q$4=$C183,SUMIF($L$4:$Z$4,$C183,$L$174:$Z$174)*INDEX($L$177:$Z$177,$C183-$L$4+1),SUMIF($L$4:$Z$4,$C183,$L$174:$Z$174)*Q$176))</f>
        <v>0</v>
      </c>
      <c r="R183" s="24" cm="1">
        <f t="array" ref="R183">IF(R$4&lt;$C183,0,IF(R$4=$C183,SUMIF($L$4:$Z$4,$C183,$L$174:$Z$174)*INDEX($L$177:$Z$177,$C183-$L$4+1),SUMIF($L$4:$Z$4,$C183,$L$174:$Z$174)*R$176))</f>
        <v>0</v>
      </c>
      <c r="S183" s="24" cm="1">
        <f t="array" ref="S183">IF(S$4&lt;$C183,0,IF(S$4=$C183,SUMIF($L$4:$Z$4,$C183,$L$174:$Z$174)*INDEX($L$177:$Z$177,$C183-$L$4+1),SUMIF($L$4:$Z$4,$C183,$L$174:$Z$174)*S$176))</f>
        <v>0</v>
      </c>
      <c r="T183" s="24" cm="1">
        <f t="array" ref="T183">IF(T$4&lt;$C183,0,IF(T$4=$C183,SUMIF($L$4:$Z$4,$C183,$L$174:$Z$174)*INDEX($L$177:$Z$177,$C183-$L$4+1),SUMIF($L$4:$Z$4,$C183,$L$174:$Z$174)*T$176))</f>
        <v>0</v>
      </c>
      <c r="U183" s="24" cm="1">
        <f t="array" ref="U183">IF(U$4&lt;$C183,0,IF(U$4=$C183,SUMIF($L$4:$Z$4,$C183,$L$174:$Z$174)*INDEX($L$177:$Z$177,$C183-$L$4+1),SUMIF($L$4:$Z$4,$C183,$L$174:$Z$174)*U$176))</f>
        <v>0</v>
      </c>
      <c r="V183" s="24" cm="1">
        <f t="array" ref="V183">IF(V$4&lt;$C183,0,IF(V$4=$C183,SUMIF($L$4:$Z$4,$C183,$L$174:$Z$174)*INDEX($L$177:$Z$177,$C183-$L$4+1),SUMIF($L$4:$Z$4,$C183,$L$174:$Z$174)*V$176))</f>
        <v>0</v>
      </c>
      <c r="W183" s="24" cm="1">
        <f t="array" ref="W183">IF(W$4&lt;$C183,0,IF(W$4=$C183,SUMIF($L$4:$Z$4,$C183,$L$174:$Z$174)*INDEX($L$177:$Z$177,$C183-$L$4+1),SUMIF($L$4:$Z$4,$C183,$L$174:$Z$174)*W$176))</f>
        <v>0</v>
      </c>
      <c r="X183" s="24" cm="1">
        <f t="array" ref="X183">IF(X$4&lt;$C183,0,IF(X$4=$C183,SUMIF($L$4:$Z$4,$C183,$L$174:$Z$174)*INDEX($L$177:$Z$177,$C183-$L$4+1),SUMIF($L$4:$Z$4,$C183,$L$174:$Z$174)*X$176))</f>
        <v>0</v>
      </c>
      <c r="Y183" s="24" cm="1">
        <f t="array" ref="Y183">IF(Y$4&lt;$C183,0,IF(Y$4=$C183,SUMIF($L$4:$Z$4,$C183,$L$174:$Z$174)*INDEX($L$177:$Z$177,$C183-$L$4+1),SUMIF($L$4:$Z$4,$C183,$L$174:$Z$174)*Y$176))</f>
        <v>0</v>
      </c>
      <c r="Z183" s="24" cm="1">
        <f t="array" ref="Z183">IF(Z$4&lt;$C183,0,IF(Z$4=$C183,SUMIF($L$4:$Z$4,$C183,$L$174:$Z$174)*INDEX($L$177:$Z$177,$C183-$L$4+1),SUMIF($L$4:$Z$4,$C183,$L$174:$Z$174)*Z$176))</f>
        <v>0</v>
      </c>
    </row>
    <row r="184" spans="2:26" ht="15" customHeight="1" outlineLevel="1" x14ac:dyDescent="0.3">
      <c r="C184" s="23">
        <f>C183+1</f>
        <v>2029</v>
      </c>
      <c r="E184" s="76" t="s">
        <v>70</v>
      </c>
      <c r="G184" s="33">
        <f t="shared" si="80"/>
        <v>705501.88605670002</v>
      </c>
      <c r="J184" s="164">
        <f t="shared" si="81"/>
        <v>705501.88605669991</v>
      </c>
      <c r="K184" s="19"/>
      <c r="L184" s="24" cm="1">
        <f t="array" ref="L184">IF(L$4&lt;$C184,0,IF(L$4=$C184,SUMIF($L$4:$Z$4,$C184,$L$174:$Z$174)*INDEX($L$177:$Z$177,$C184-$L$4+1),SUMIF($L$4:$Z$4,$C184,$L$174:$Z$174)*L$176))</f>
        <v>0</v>
      </c>
      <c r="M184" s="24" cm="1">
        <f t="array" ref="M184">IF(M$4&lt;$C184,0,IF(M$4=$C184,SUMIF($L$4:$Z$4,$C184,$L$174:$Z$174)*INDEX($L$177:$Z$177,$C184-$L$4+1),SUMIF($L$4:$Z$4,$C184,$L$174:$Z$174)*M$176))</f>
        <v>0</v>
      </c>
      <c r="N184" s="24" cm="1">
        <f t="array" ref="N184">IF(N$4&lt;$C184,0,IF(N$4=$C184,SUMIF($L$4:$Z$4,$C184,$L$174:$Z$174)*INDEX($L$177:$Z$177,$C184-$L$4+1),SUMIF($L$4:$Z$4,$C184,$L$174:$Z$174)*N$176))</f>
        <v>0</v>
      </c>
      <c r="O184" s="24" cm="1">
        <f t="array" ref="O184">IF(O$4&lt;$C184,0,IF(O$4=$C184,SUMIF($L$4:$Z$4,$C184,$L$174:$Z$174)*INDEX($L$177:$Z$177,$C184-$L$4+1),SUMIF($L$4:$Z$4,$C184,$L$174:$Z$174)*O$176))</f>
        <v>0</v>
      </c>
      <c r="P184" s="24" cm="1">
        <f t="array" ref="P184">IF(P$4&lt;$C184,0,IF(P$4=$C184,SUMIF($L$4:$Z$4,$C184,$L$174:$Z$174)*INDEX($L$177:$Z$177,$C184-$L$4+1),SUMIF($L$4:$Z$4,$C184,$L$174:$Z$174)*P$176))</f>
        <v>705501.88605669991</v>
      </c>
      <c r="Q184" s="24" cm="1">
        <f t="array" ref="Q184">IF(Q$4&lt;$C184,0,IF(Q$4=$C184,SUMIF($L$4:$Z$4,$C184,$L$174:$Z$174)*INDEX($L$177:$Z$177,$C184-$L$4+1),SUMIF($L$4:$Z$4,$C184,$L$174:$Z$174)*Q$176))</f>
        <v>0</v>
      </c>
      <c r="R184" s="24" cm="1">
        <f t="array" ref="R184">IF(R$4&lt;$C184,0,IF(R$4=$C184,SUMIF($L$4:$Z$4,$C184,$L$174:$Z$174)*INDEX($L$177:$Z$177,$C184-$L$4+1),SUMIF($L$4:$Z$4,$C184,$L$174:$Z$174)*R$176))</f>
        <v>0</v>
      </c>
      <c r="S184" s="24" cm="1">
        <f t="array" ref="S184">IF(S$4&lt;$C184,0,IF(S$4=$C184,SUMIF($L$4:$Z$4,$C184,$L$174:$Z$174)*INDEX($L$177:$Z$177,$C184-$L$4+1),SUMIF($L$4:$Z$4,$C184,$L$174:$Z$174)*S$176))</f>
        <v>0</v>
      </c>
      <c r="T184" s="24" cm="1">
        <f t="array" ref="T184">IF(T$4&lt;$C184,0,IF(T$4=$C184,SUMIF($L$4:$Z$4,$C184,$L$174:$Z$174)*INDEX($L$177:$Z$177,$C184-$L$4+1),SUMIF($L$4:$Z$4,$C184,$L$174:$Z$174)*T$176))</f>
        <v>0</v>
      </c>
      <c r="U184" s="24" cm="1">
        <f t="array" ref="U184">IF(U$4&lt;$C184,0,IF(U$4=$C184,SUMIF($L$4:$Z$4,$C184,$L$174:$Z$174)*INDEX($L$177:$Z$177,$C184-$L$4+1),SUMIF($L$4:$Z$4,$C184,$L$174:$Z$174)*U$176))</f>
        <v>0</v>
      </c>
      <c r="V184" s="24" cm="1">
        <f t="array" ref="V184">IF(V$4&lt;$C184,0,IF(V$4=$C184,SUMIF($L$4:$Z$4,$C184,$L$174:$Z$174)*INDEX($L$177:$Z$177,$C184-$L$4+1),SUMIF($L$4:$Z$4,$C184,$L$174:$Z$174)*V$176))</f>
        <v>0</v>
      </c>
      <c r="W184" s="24" cm="1">
        <f t="array" ref="W184">IF(W$4&lt;$C184,0,IF(W$4=$C184,SUMIF($L$4:$Z$4,$C184,$L$174:$Z$174)*INDEX($L$177:$Z$177,$C184-$L$4+1),SUMIF($L$4:$Z$4,$C184,$L$174:$Z$174)*W$176))</f>
        <v>0</v>
      </c>
      <c r="X184" s="24" cm="1">
        <f t="array" ref="X184">IF(X$4&lt;$C184,0,IF(X$4=$C184,SUMIF($L$4:$Z$4,$C184,$L$174:$Z$174)*INDEX($L$177:$Z$177,$C184-$L$4+1),SUMIF($L$4:$Z$4,$C184,$L$174:$Z$174)*X$176))</f>
        <v>0</v>
      </c>
      <c r="Y184" s="24" cm="1">
        <f t="array" ref="Y184">IF(Y$4&lt;$C184,0,IF(Y$4=$C184,SUMIF($L$4:$Z$4,$C184,$L$174:$Z$174)*INDEX($L$177:$Z$177,$C184-$L$4+1),SUMIF($L$4:$Z$4,$C184,$L$174:$Z$174)*Y$176))</f>
        <v>0</v>
      </c>
      <c r="Z184" s="24" cm="1">
        <f t="array" ref="Z184">IF(Z$4&lt;$C184,0,IF(Z$4=$C184,SUMIF($L$4:$Z$4,$C184,$L$174:$Z$174)*INDEX($L$177:$Z$177,$C184-$L$4+1),SUMIF($L$4:$Z$4,$C184,$L$174:$Z$174)*Z$176))</f>
        <v>0</v>
      </c>
    </row>
    <row r="185" spans="2:26" ht="15" customHeight="1" outlineLevel="1" x14ac:dyDescent="0.3">
      <c r="C185" s="23">
        <f>C184+1</f>
        <v>2030</v>
      </c>
      <c r="E185" s="76" t="s">
        <v>70</v>
      </c>
      <c r="G185" s="33">
        <f t="shared" si="80"/>
        <v>0</v>
      </c>
      <c r="J185" s="164">
        <f t="shared" si="81"/>
        <v>0</v>
      </c>
      <c r="K185" s="19"/>
      <c r="L185" s="24" cm="1">
        <f t="array" ref="L185">IF(L$4&lt;$C185,0,IF(L$4=$C185,SUMIF($L$4:$Z$4,$C185,$L$174:$Z$174)*INDEX($L$177:$Z$177,$C185-$L$4+1),SUMIF($L$4:$Z$4,$C185,$L$174:$Z$174)*L$176))</f>
        <v>0</v>
      </c>
      <c r="M185" s="24" cm="1">
        <f t="array" ref="M185">IF(M$4&lt;$C185,0,IF(M$4=$C185,SUMIF($L$4:$Z$4,$C185,$L$174:$Z$174)*INDEX($L$177:$Z$177,$C185-$L$4+1),SUMIF($L$4:$Z$4,$C185,$L$174:$Z$174)*M$176))</f>
        <v>0</v>
      </c>
      <c r="N185" s="24" cm="1">
        <f t="array" ref="N185">IF(N$4&lt;$C185,0,IF(N$4=$C185,SUMIF($L$4:$Z$4,$C185,$L$174:$Z$174)*INDEX($L$177:$Z$177,$C185-$L$4+1),SUMIF($L$4:$Z$4,$C185,$L$174:$Z$174)*N$176))</f>
        <v>0</v>
      </c>
      <c r="O185" s="24" cm="1">
        <f t="array" ref="O185">IF(O$4&lt;$C185,0,IF(O$4=$C185,SUMIF($L$4:$Z$4,$C185,$L$174:$Z$174)*INDEX($L$177:$Z$177,$C185-$L$4+1),SUMIF($L$4:$Z$4,$C185,$L$174:$Z$174)*O$176))</f>
        <v>0</v>
      </c>
      <c r="P185" s="24" cm="1">
        <f t="array" ref="P185">IF(P$4&lt;$C185,0,IF(P$4=$C185,SUMIF($L$4:$Z$4,$C185,$L$174:$Z$174)*INDEX($L$177:$Z$177,$C185-$L$4+1),SUMIF($L$4:$Z$4,$C185,$L$174:$Z$174)*P$176))</f>
        <v>0</v>
      </c>
      <c r="Q185" s="24" cm="1">
        <f t="array" ref="Q185">IF(Q$4&lt;$C185,0,IF(Q$4=$C185,SUMIF($L$4:$Z$4,$C185,$L$174:$Z$174)*INDEX($L$177:$Z$177,$C185-$L$4+1),SUMIF($L$4:$Z$4,$C185,$L$174:$Z$174)*Q$176))</f>
        <v>0</v>
      </c>
      <c r="R185" s="24" cm="1">
        <f t="array" ref="R185">IF(R$4&lt;$C185,0,IF(R$4=$C185,SUMIF($L$4:$Z$4,$C185,$L$174:$Z$174)*INDEX($L$177:$Z$177,$C185-$L$4+1),SUMIF($L$4:$Z$4,$C185,$L$174:$Z$174)*R$176))</f>
        <v>0</v>
      </c>
      <c r="S185" s="24" cm="1">
        <f t="array" ref="S185">IF(S$4&lt;$C185,0,IF(S$4=$C185,SUMIF($L$4:$Z$4,$C185,$L$174:$Z$174)*INDEX($L$177:$Z$177,$C185-$L$4+1),SUMIF($L$4:$Z$4,$C185,$L$174:$Z$174)*S$176))</f>
        <v>0</v>
      </c>
      <c r="T185" s="24" cm="1">
        <f t="array" ref="T185">IF(T$4&lt;$C185,0,IF(T$4=$C185,SUMIF($L$4:$Z$4,$C185,$L$174:$Z$174)*INDEX($L$177:$Z$177,$C185-$L$4+1),SUMIF($L$4:$Z$4,$C185,$L$174:$Z$174)*T$176))</f>
        <v>0</v>
      </c>
      <c r="U185" s="24" cm="1">
        <f t="array" ref="U185">IF(U$4&lt;$C185,0,IF(U$4=$C185,SUMIF($L$4:$Z$4,$C185,$L$174:$Z$174)*INDEX($L$177:$Z$177,$C185-$L$4+1),SUMIF($L$4:$Z$4,$C185,$L$174:$Z$174)*U$176))</f>
        <v>0</v>
      </c>
      <c r="V185" s="24" cm="1">
        <f t="array" ref="V185">IF(V$4&lt;$C185,0,IF(V$4=$C185,SUMIF($L$4:$Z$4,$C185,$L$174:$Z$174)*INDEX($L$177:$Z$177,$C185-$L$4+1),SUMIF($L$4:$Z$4,$C185,$L$174:$Z$174)*V$176))</f>
        <v>0</v>
      </c>
      <c r="W185" s="24" cm="1">
        <f t="array" ref="W185">IF(W$4&lt;$C185,0,IF(W$4=$C185,SUMIF($L$4:$Z$4,$C185,$L$174:$Z$174)*INDEX($L$177:$Z$177,$C185-$L$4+1),SUMIF($L$4:$Z$4,$C185,$L$174:$Z$174)*W$176))</f>
        <v>0</v>
      </c>
      <c r="X185" s="24" cm="1">
        <f t="array" ref="X185">IF(X$4&lt;$C185,0,IF(X$4=$C185,SUMIF($L$4:$Z$4,$C185,$L$174:$Z$174)*INDEX($L$177:$Z$177,$C185-$L$4+1),SUMIF($L$4:$Z$4,$C185,$L$174:$Z$174)*X$176))</f>
        <v>0</v>
      </c>
      <c r="Y185" s="24" cm="1">
        <f t="array" ref="Y185">IF(Y$4&lt;$C185,0,IF(Y$4=$C185,SUMIF($L$4:$Z$4,$C185,$L$174:$Z$174)*INDEX($L$177:$Z$177,$C185-$L$4+1),SUMIF($L$4:$Z$4,$C185,$L$174:$Z$174)*Y$176))</f>
        <v>0</v>
      </c>
      <c r="Z185" s="24" cm="1">
        <f t="array" ref="Z185">IF(Z$4&lt;$C185,0,IF(Z$4=$C185,SUMIF($L$4:$Z$4,$C185,$L$174:$Z$174)*INDEX($L$177:$Z$177,$C185-$L$4+1),SUMIF($L$4:$Z$4,$C185,$L$174:$Z$174)*Z$176))</f>
        <v>0</v>
      </c>
    </row>
    <row r="186" spans="2:26" ht="15" customHeight="1" outlineLevel="1" x14ac:dyDescent="0.3">
      <c r="C186" s="78" t="s">
        <v>74</v>
      </c>
      <c r="D186" s="78"/>
      <c r="E186" s="93" t="s">
        <v>70</v>
      </c>
      <c r="F186" s="78"/>
      <c r="G186" s="34">
        <f>SUM(G180:G185)</f>
        <v>2539826.8929531374</v>
      </c>
      <c r="H186" s="34"/>
      <c r="I186" s="34"/>
      <c r="J186" s="34">
        <f>SUM(J180:J185)</f>
        <v>2539826.8929531369</v>
      </c>
      <c r="K186" s="29"/>
      <c r="L186" s="34">
        <f t="shared" ref="L186:Z186" si="82">SUM(L180:L185)</f>
        <v>0</v>
      </c>
      <c r="M186" s="34">
        <f t="shared" si="82"/>
        <v>42332.123478303729</v>
      </c>
      <c r="N186" s="34">
        <f t="shared" si="82"/>
        <v>550297.50206893124</v>
      </c>
      <c r="O186" s="34">
        <f t="shared" si="82"/>
        <v>1058262.8806595586</v>
      </c>
      <c r="P186" s="34">
        <f t="shared" si="82"/>
        <v>888934.38674634369</v>
      </c>
      <c r="Q186" s="34">
        <f t="shared" si="82"/>
        <v>0</v>
      </c>
      <c r="R186" s="34">
        <f t="shared" si="82"/>
        <v>0</v>
      </c>
      <c r="S186" s="34">
        <f t="shared" si="82"/>
        <v>0</v>
      </c>
      <c r="T186" s="34">
        <f t="shared" si="82"/>
        <v>0</v>
      </c>
      <c r="U186" s="34">
        <f t="shared" si="82"/>
        <v>0</v>
      </c>
      <c r="V186" s="34">
        <f t="shared" si="82"/>
        <v>0</v>
      </c>
      <c r="W186" s="34">
        <f t="shared" si="82"/>
        <v>0</v>
      </c>
      <c r="X186" s="34">
        <f t="shared" si="82"/>
        <v>0</v>
      </c>
      <c r="Y186" s="34">
        <f t="shared" si="82"/>
        <v>0</v>
      </c>
      <c r="Z186" s="34">
        <f t="shared" si="82"/>
        <v>0</v>
      </c>
    </row>
    <row r="187" spans="2:26" ht="15" customHeight="1" outlineLevel="1" x14ac:dyDescent="0.3"/>
    <row r="188" spans="2:26" ht="15" customHeight="1" outlineLevel="1" x14ac:dyDescent="0.3">
      <c r="B188" s="82" t="s">
        <v>86</v>
      </c>
      <c r="C188" s="82"/>
      <c r="D188" s="82"/>
      <c r="E188" s="83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2:26" ht="15" customHeight="1" outlineLevel="1" x14ac:dyDescent="0.3"/>
    <row r="190" spans="2:26" ht="15" customHeight="1" outlineLevel="1" x14ac:dyDescent="0.3">
      <c r="C190" s="37" t="s">
        <v>89</v>
      </c>
      <c r="J190" s="166">
        <f>SUM(L190:Z190)</f>
        <v>1594797</v>
      </c>
      <c r="K190" s="19"/>
      <c r="L190" s="167">
        <f t="shared" ref="L190:Z190" si="83">L68</f>
        <v>0</v>
      </c>
      <c r="M190" s="167">
        <f t="shared" si="83"/>
        <v>0</v>
      </c>
      <c r="N190" s="167">
        <f t="shared" si="83"/>
        <v>531599</v>
      </c>
      <c r="O190" s="167">
        <f t="shared" si="83"/>
        <v>531599</v>
      </c>
      <c r="P190" s="167">
        <f t="shared" si="83"/>
        <v>531599</v>
      </c>
      <c r="Q190" s="167">
        <f t="shared" si="83"/>
        <v>0</v>
      </c>
      <c r="R190" s="167">
        <f t="shared" si="83"/>
        <v>0</v>
      </c>
      <c r="S190" s="167">
        <f t="shared" si="83"/>
        <v>0</v>
      </c>
      <c r="T190" s="167">
        <f t="shared" si="83"/>
        <v>0</v>
      </c>
      <c r="U190" s="167">
        <f t="shared" si="83"/>
        <v>0</v>
      </c>
      <c r="V190" s="167">
        <f t="shared" si="83"/>
        <v>0</v>
      </c>
      <c r="W190" s="167">
        <f t="shared" si="83"/>
        <v>0</v>
      </c>
      <c r="X190" s="167">
        <f t="shared" si="83"/>
        <v>0</v>
      </c>
      <c r="Y190" s="167">
        <f t="shared" si="83"/>
        <v>0</v>
      </c>
      <c r="Z190" s="167">
        <f t="shared" si="83"/>
        <v>0</v>
      </c>
    </row>
    <row r="191" spans="2:26" ht="15" customHeight="1" outlineLevel="1" x14ac:dyDescent="0.3"/>
    <row r="192" spans="2:26" ht="15" customHeight="1" outlineLevel="1" x14ac:dyDescent="0.3">
      <c r="C192" s="8" t="s">
        <v>87</v>
      </c>
      <c r="L192" s="5">
        <v>0</v>
      </c>
      <c r="M192" s="5">
        <v>0</v>
      </c>
      <c r="N192" s="5">
        <v>0.3</v>
      </c>
      <c r="O192" s="5">
        <v>0.3</v>
      </c>
      <c r="P192" s="5">
        <v>0.3</v>
      </c>
      <c r="Q192" s="5">
        <v>0.1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</row>
    <row r="193" spans="2:26" ht="15" customHeight="1" outlineLevel="1" x14ac:dyDescent="0.3">
      <c r="C193" s="8" t="s">
        <v>88</v>
      </c>
      <c r="L193" s="4">
        <f t="shared" ref="L193:Z193" si="84">K193+L192</f>
        <v>0</v>
      </c>
      <c r="M193" s="4">
        <f t="shared" si="84"/>
        <v>0</v>
      </c>
      <c r="N193" s="4">
        <f t="shared" si="84"/>
        <v>0.3</v>
      </c>
      <c r="O193" s="4">
        <f t="shared" si="84"/>
        <v>0.6</v>
      </c>
      <c r="P193" s="4">
        <f t="shared" si="84"/>
        <v>0.89999999999999991</v>
      </c>
      <c r="Q193" s="4">
        <f t="shared" si="84"/>
        <v>0.99999999999999989</v>
      </c>
      <c r="R193" s="4">
        <f t="shared" si="84"/>
        <v>0.99999999999999989</v>
      </c>
      <c r="S193" s="4">
        <f t="shared" si="84"/>
        <v>0.99999999999999989</v>
      </c>
      <c r="T193" s="4">
        <f t="shared" si="84"/>
        <v>0.99999999999999989</v>
      </c>
      <c r="U193" s="4">
        <f t="shared" si="84"/>
        <v>0.99999999999999989</v>
      </c>
      <c r="V193" s="4">
        <f t="shared" si="84"/>
        <v>0.99999999999999989</v>
      </c>
      <c r="W193" s="4">
        <f t="shared" si="84"/>
        <v>0.99999999999999989</v>
      </c>
      <c r="X193" s="4">
        <f t="shared" si="84"/>
        <v>0.99999999999999989</v>
      </c>
      <c r="Y193" s="4">
        <f t="shared" si="84"/>
        <v>0.99999999999999989</v>
      </c>
      <c r="Z193" s="4">
        <f t="shared" si="84"/>
        <v>0.99999999999999989</v>
      </c>
    </row>
    <row r="194" spans="2:26" ht="15" customHeight="1" outlineLevel="1" x14ac:dyDescent="0.3"/>
    <row r="195" spans="2:26" ht="15" customHeight="1" outlineLevel="1" x14ac:dyDescent="0.3"/>
    <row r="196" spans="2:26" ht="15" customHeight="1" outlineLevel="1" x14ac:dyDescent="0.3">
      <c r="C196" s="23">
        <v>2025</v>
      </c>
      <c r="E196" s="76" t="s">
        <v>70</v>
      </c>
      <c r="G196" s="33">
        <f t="shared" ref="G196:G201" si="85">SUMIF($L$4:$Z$4,$C196,$L$174:$Z$174)</f>
        <v>0</v>
      </c>
      <c r="J196" s="164">
        <f t="shared" ref="J196:J201" si="86">SUM(L196:Z196)</f>
        <v>0</v>
      </c>
      <c r="K196" s="19"/>
      <c r="L196" s="24" cm="1">
        <f t="array" ref="L196">IF(L$4&lt;$C196,0,IF(L$4=$C196,SUMIF($L$4:$Z$4,$C196,$L$190:$Z$190)*INDEX($L$193:$Z$193,$C196-$L$4+1),SUMIF($L$4:$Z$4,$C196,$L$190:$Z$190)*L$192))</f>
        <v>0</v>
      </c>
      <c r="M196" s="24" cm="1">
        <f t="array" ref="M196">IF(M$4&lt;$C196,0,IF(M$4=$C196,SUMIF($L$4:$Z$4,$C196,$L$190:$Z$190)*INDEX($L$193:$Z$193,$C196-$L$4+1),SUMIF($L$4:$Z$4,$C196,$L$190:$Z$190)*M$192))</f>
        <v>0</v>
      </c>
      <c r="N196" s="24" cm="1">
        <f t="array" ref="N196">IF(N$4&lt;$C196,0,IF(N$4=$C196,SUMIF($L$4:$Z$4,$C196,$L$190:$Z$190)*INDEX($L$193:$Z$193,$C196-$L$4+1),SUMIF($L$4:$Z$4,$C196,$L$190:$Z$190)*N$192))</f>
        <v>0</v>
      </c>
      <c r="O196" s="24" cm="1">
        <f t="array" ref="O196">IF(O$4&lt;$C196,0,IF(O$4=$C196,SUMIF($L$4:$Z$4,$C196,$L$190:$Z$190)*INDEX($L$193:$Z$193,$C196-$L$4+1),SUMIF($L$4:$Z$4,$C196,$L$190:$Z$190)*O$192))</f>
        <v>0</v>
      </c>
      <c r="P196" s="24" cm="1">
        <f t="array" ref="P196">IF(P$4&lt;$C196,0,IF(P$4=$C196,SUMIF($L$4:$Z$4,$C196,$L$190:$Z$190)*INDEX($L$193:$Z$193,$C196-$L$4+1),SUMIF($L$4:$Z$4,$C196,$L$190:$Z$190)*P$192))</f>
        <v>0</v>
      </c>
      <c r="Q196" s="24" cm="1">
        <f t="array" ref="Q196">IF(Q$4&lt;$C196,0,IF(Q$4=$C196,SUMIF($L$4:$Z$4,$C196,$L$190:$Z$190)*INDEX($L$193:$Z$193,$C196-$L$4+1),SUMIF($L$4:$Z$4,$C196,$L$190:$Z$190)*Q$192))</f>
        <v>0</v>
      </c>
      <c r="R196" s="24" cm="1">
        <f t="array" ref="R196">IF(R$4&lt;$C196,0,IF(R$4=$C196,SUMIF($L$4:$Z$4,$C196,$L$190:$Z$190)*INDEX($L$193:$Z$193,$C196-$L$4+1),SUMIF($L$4:$Z$4,$C196,$L$190:$Z$190)*R$192))</f>
        <v>0</v>
      </c>
      <c r="S196" s="24" cm="1">
        <f t="array" ref="S196">IF(S$4&lt;$C196,0,IF(S$4=$C196,SUMIF($L$4:$Z$4,$C196,$L$190:$Z$190)*INDEX($L$193:$Z$193,$C196-$L$4+1),SUMIF($L$4:$Z$4,$C196,$L$190:$Z$190)*S$192))</f>
        <v>0</v>
      </c>
      <c r="T196" s="24" cm="1">
        <f t="array" ref="T196">IF(T$4&lt;$C196,0,IF(T$4=$C196,SUMIF($L$4:$Z$4,$C196,$L$190:$Z$190)*INDEX($L$193:$Z$193,$C196-$L$4+1),SUMIF($L$4:$Z$4,$C196,$L$190:$Z$190)*T$192))</f>
        <v>0</v>
      </c>
      <c r="U196" s="24" cm="1">
        <f t="array" ref="U196">IF(U$4&lt;$C196,0,IF(U$4=$C196,SUMIF($L$4:$Z$4,$C196,$L$190:$Z$190)*INDEX($L$193:$Z$193,$C196-$L$4+1),SUMIF($L$4:$Z$4,$C196,$L$190:$Z$190)*U$192))</f>
        <v>0</v>
      </c>
      <c r="V196" s="24" cm="1">
        <f t="array" ref="V196">IF(V$4&lt;$C196,0,IF(V$4=$C196,SUMIF($L$4:$Z$4,$C196,$L$190:$Z$190)*INDEX($L$193:$Z$193,$C196-$L$4+1),SUMIF($L$4:$Z$4,$C196,$L$190:$Z$190)*V$192))</f>
        <v>0</v>
      </c>
      <c r="W196" s="24" cm="1">
        <f t="array" ref="W196">IF(W$4&lt;$C196,0,IF(W$4=$C196,SUMIF($L$4:$Z$4,$C196,$L$190:$Z$190)*INDEX($L$193:$Z$193,$C196-$L$4+1),SUMIF($L$4:$Z$4,$C196,$L$190:$Z$190)*W$192))</f>
        <v>0</v>
      </c>
      <c r="X196" s="24" cm="1">
        <f t="array" ref="X196">IF(X$4&lt;$C196,0,IF(X$4=$C196,SUMIF($L$4:$Z$4,$C196,$L$190:$Z$190)*INDEX($L$193:$Z$193,$C196-$L$4+1),SUMIF($L$4:$Z$4,$C196,$L$190:$Z$190)*X$192))</f>
        <v>0</v>
      </c>
      <c r="Y196" s="24" cm="1">
        <f t="array" ref="Y196">IF(Y$4&lt;$C196,0,IF(Y$4=$C196,SUMIF($L$4:$Z$4,$C196,$L$190:$Z$190)*INDEX($L$193:$Z$193,$C196-$L$4+1),SUMIF($L$4:$Z$4,$C196,$L$190:$Z$190)*Y$192))</f>
        <v>0</v>
      </c>
      <c r="Z196" s="24" cm="1">
        <f t="array" ref="Z196">IF(Z$4&lt;$C196,0,IF(Z$4=$C196,SUMIF($L$4:$Z$4,$C196,$L$190:$Z$190)*INDEX($L$193:$Z$193,$C196-$L$4+1),SUMIF($L$4:$Z$4,$C196,$L$190:$Z$190)*Z$192))</f>
        <v>0</v>
      </c>
    </row>
    <row r="197" spans="2:26" ht="15" customHeight="1" outlineLevel="1" x14ac:dyDescent="0.3">
      <c r="C197" s="23">
        <f>C196+1</f>
        <v>2026</v>
      </c>
      <c r="E197" s="76" t="s">
        <v>70</v>
      </c>
      <c r="G197" s="33">
        <f t="shared" si="85"/>
        <v>141107.07826101244</v>
      </c>
      <c r="J197" s="164">
        <f t="shared" si="86"/>
        <v>0</v>
      </c>
      <c r="K197" s="19"/>
      <c r="L197" s="24" cm="1">
        <f t="array" ref="L197">IF(L$4&lt;$C197,0,IF(L$4=$C197,SUMIF($L$4:$Z$4,$C197,$L$190:$Z$190)*INDEX($L$193:$Z$193,$C197-$L$4+1),SUMIF($L$4:$Z$4,$C197,$L$190:$Z$190)*L$192))</f>
        <v>0</v>
      </c>
      <c r="M197" s="24" cm="1">
        <f t="array" ref="M197">IF(M$4&lt;$C197,0,IF(M$4=$C197,SUMIF($L$4:$Z$4,$C197,$L$190:$Z$190)*INDEX($L$193:$Z$193,$C197-$L$4+1),SUMIF($L$4:$Z$4,$C197,$L$190:$Z$190)*M$192))</f>
        <v>0</v>
      </c>
      <c r="N197" s="24" cm="1">
        <f t="array" ref="N197">IF(N$4&lt;$C197,0,IF(N$4=$C197,SUMIF($L$4:$Z$4,$C197,$L$190:$Z$190)*INDEX($L$193:$Z$193,$C197-$L$4+1),SUMIF($L$4:$Z$4,$C197,$L$190:$Z$190)*N$192))</f>
        <v>0</v>
      </c>
      <c r="O197" s="24" cm="1">
        <f t="array" ref="O197">IF(O$4&lt;$C197,0,IF(O$4=$C197,SUMIF($L$4:$Z$4,$C197,$L$190:$Z$190)*INDEX($L$193:$Z$193,$C197-$L$4+1),SUMIF($L$4:$Z$4,$C197,$L$190:$Z$190)*O$192))</f>
        <v>0</v>
      </c>
      <c r="P197" s="24" cm="1">
        <f t="array" ref="P197">IF(P$4&lt;$C197,0,IF(P$4=$C197,SUMIF($L$4:$Z$4,$C197,$L$190:$Z$190)*INDEX($L$193:$Z$193,$C197-$L$4+1),SUMIF($L$4:$Z$4,$C197,$L$190:$Z$190)*P$192))</f>
        <v>0</v>
      </c>
      <c r="Q197" s="24" cm="1">
        <f t="array" ref="Q197">IF(Q$4&lt;$C197,0,IF(Q$4=$C197,SUMIF($L$4:$Z$4,$C197,$L$190:$Z$190)*INDEX($L$193:$Z$193,$C197-$L$4+1),SUMIF($L$4:$Z$4,$C197,$L$190:$Z$190)*Q$192))</f>
        <v>0</v>
      </c>
      <c r="R197" s="24" cm="1">
        <f t="array" ref="R197">IF(R$4&lt;$C197,0,IF(R$4=$C197,SUMIF($L$4:$Z$4,$C197,$L$190:$Z$190)*INDEX($L$193:$Z$193,$C197-$L$4+1),SUMIF($L$4:$Z$4,$C197,$L$190:$Z$190)*R$192))</f>
        <v>0</v>
      </c>
      <c r="S197" s="24" cm="1">
        <f t="array" ref="S197">IF(S$4&lt;$C197,0,IF(S$4=$C197,SUMIF($L$4:$Z$4,$C197,$L$190:$Z$190)*INDEX($L$193:$Z$193,$C197-$L$4+1),SUMIF($L$4:$Z$4,$C197,$L$190:$Z$190)*S$192))</f>
        <v>0</v>
      </c>
      <c r="T197" s="24" cm="1">
        <f t="array" ref="T197">IF(T$4&lt;$C197,0,IF(T$4=$C197,SUMIF($L$4:$Z$4,$C197,$L$190:$Z$190)*INDEX($L$193:$Z$193,$C197-$L$4+1),SUMIF($L$4:$Z$4,$C197,$L$190:$Z$190)*T$192))</f>
        <v>0</v>
      </c>
      <c r="U197" s="24" cm="1">
        <f t="array" ref="U197">IF(U$4&lt;$C197,0,IF(U$4=$C197,SUMIF($L$4:$Z$4,$C197,$L$190:$Z$190)*INDEX($L$193:$Z$193,$C197-$L$4+1),SUMIF($L$4:$Z$4,$C197,$L$190:$Z$190)*U$192))</f>
        <v>0</v>
      </c>
      <c r="V197" s="24" cm="1">
        <f t="array" ref="V197">IF(V$4&lt;$C197,0,IF(V$4=$C197,SUMIF($L$4:$Z$4,$C197,$L$190:$Z$190)*INDEX($L$193:$Z$193,$C197-$L$4+1),SUMIF($L$4:$Z$4,$C197,$L$190:$Z$190)*V$192))</f>
        <v>0</v>
      </c>
      <c r="W197" s="24" cm="1">
        <f t="array" ref="W197">IF(W$4&lt;$C197,0,IF(W$4=$C197,SUMIF($L$4:$Z$4,$C197,$L$190:$Z$190)*INDEX($L$193:$Z$193,$C197-$L$4+1),SUMIF($L$4:$Z$4,$C197,$L$190:$Z$190)*W$192))</f>
        <v>0</v>
      </c>
      <c r="X197" s="24" cm="1">
        <f t="array" ref="X197">IF(X$4&lt;$C197,0,IF(X$4=$C197,SUMIF($L$4:$Z$4,$C197,$L$190:$Z$190)*INDEX($L$193:$Z$193,$C197-$L$4+1),SUMIF($L$4:$Z$4,$C197,$L$190:$Z$190)*X$192))</f>
        <v>0</v>
      </c>
      <c r="Y197" s="24" cm="1">
        <f t="array" ref="Y197">IF(Y$4&lt;$C197,0,IF(Y$4=$C197,SUMIF($L$4:$Z$4,$C197,$L$190:$Z$190)*INDEX($L$193:$Z$193,$C197-$L$4+1),SUMIF($L$4:$Z$4,$C197,$L$190:$Z$190)*Y$192))</f>
        <v>0</v>
      </c>
      <c r="Z197" s="24" cm="1">
        <f t="array" ref="Z197">IF(Z$4&lt;$C197,0,IF(Z$4=$C197,SUMIF($L$4:$Z$4,$C197,$L$190:$Z$190)*INDEX($L$193:$Z$193,$C197-$L$4+1),SUMIF($L$4:$Z$4,$C197,$L$190:$Z$190)*Z$192))</f>
        <v>0</v>
      </c>
    </row>
    <row r="198" spans="2:26" ht="15" customHeight="1" outlineLevel="1" x14ac:dyDescent="0.3">
      <c r="C198" s="23">
        <f>C197+1</f>
        <v>2027</v>
      </c>
      <c r="E198" s="76" t="s">
        <v>70</v>
      </c>
      <c r="G198" s="33">
        <f t="shared" si="85"/>
        <v>846608.96431771247</v>
      </c>
      <c r="J198" s="164">
        <f t="shared" si="86"/>
        <v>531599</v>
      </c>
      <c r="K198" s="19"/>
      <c r="L198" s="24" cm="1">
        <f t="array" ref="L198">IF(L$4&lt;$C198,0,IF(L$4=$C198,SUMIF($L$4:$Z$4,$C198,$L$190:$Z$190)*INDEX($L$193:$Z$193,$C198-$L$4+1),SUMIF($L$4:$Z$4,$C198,$L$190:$Z$190)*L$192))</f>
        <v>0</v>
      </c>
      <c r="M198" s="24" cm="1">
        <f t="array" ref="M198">IF(M$4&lt;$C198,0,IF(M$4=$C198,SUMIF($L$4:$Z$4,$C198,$L$190:$Z$190)*INDEX($L$193:$Z$193,$C198-$L$4+1),SUMIF($L$4:$Z$4,$C198,$L$190:$Z$190)*M$192))</f>
        <v>0</v>
      </c>
      <c r="N198" s="24" cm="1">
        <f t="array" ref="N198">IF(N$4&lt;$C198,0,IF(N$4=$C198,SUMIF($L$4:$Z$4,$C198,$L$190:$Z$190)*INDEX($L$193:$Z$193,$C198-$L$4+1),SUMIF($L$4:$Z$4,$C198,$L$190:$Z$190)*N$192))</f>
        <v>159479.69999999998</v>
      </c>
      <c r="O198" s="24" cm="1">
        <f t="array" ref="O198">IF(O$4&lt;$C198,0,IF(O$4=$C198,SUMIF($L$4:$Z$4,$C198,$L$190:$Z$190)*INDEX($L$193:$Z$193,$C198-$L$4+1),SUMIF($L$4:$Z$4,$C198,$L$190:$Z$190)*O$192))</f>
        <v>159479.69999999998</v>
      </c>
      <c r="P198" s="24" cm="1">
        <f t="array" ref="P198">IF(P$4&lt;$C198,0,IF(P$4=$C198,SUMIF($L$4:$Z$4,$C198,$L$190:$Z$190)*INDEX($L$193:$Z$193,$C198-$L$4+1),SUMIF($L$4:$Z$4,$C198,$L$190:$Z$190)*P$192))</f>
        <v>159479.69999999998</v>
      </c>
      <c r="Q198" s="24" cm="1">
        <f t="array" ref="Q198">IF(Q$4&lt;$C198,0,IF(Q$4=$C198,SUMIF($L$4:$Z$4,$C198,$L$190:$Z$190)*INDEX($L$193:$Z$193,$C198-$L$4+1),SUMIF($L$4:$Z$4,$C198,$L$190:$Z$190)*Q$192))</f>
        <v>53159.9</v>
      </c>
      <c r="R198" s="24" cm="1">
        <f t="array" ref="R198">IF(R$4&lt;$C198,0,IF(R$4=$C198,SUMIF($L$4:$Z$4,$C198,$L$190:$Z$190)*INDEX($L$193:$Z$193,$C198-$L$4+1),SUMIF($L$4:$Z$4,$C198,$L$190:$Z$190)*R$192))</f>
        <v>0</v>
      </c>
      <c r="S198" s="24" cm="1">
        <f t="array" ref="S198">IF(S$4&lt;$C198,0,IF(S$4=$C198,SUMIF($L$4:$Z$4,$C198,$L$190:$Z$190)*INDEX($L$193:$Z$193,$C198-$L$4+1),SUMIF($L$4:$Z$4,$C198,$L$190:$Z$190)*S$192))</f>
        <v>0</v>
      </c>
      <c r="T198" s="24" cm="1">
        <f t="array" ref="T198">IF(T$4&lt;$C198,0,IF(T$4=$C198,SUMIF($L$4:$Z$4,$C198,$L$190:$Z$190)*INDEX($L$193:$Z$193,$C198-$L$4+1),SUMIF($L$4:$Z$4,$C198,$L$190:$Z$190)*T$192))</f>
        <v>0</v>
      </c>
      <c r="U198" s="24" cm="1">
        <f t="array" ref="U198">IF(U$4&lt;$C198,0,IF(U$4=$C198,SUMIF($L$4:$Z$4,$C198,$L$190:$Z$190)*INDEX($L$193:$Z$193,$C198-$L$4+1),SUMIF($L$4:$Z$4,$C198,$L$190:$Z$190)*U$192))</f>
        <v>0</v>
      </c>
      <c r="V198" s="24" cm="1">
        <f t="array" ref="V198">IF(V$4&lt;$C198,0,IF(V$4=$C198,SUMIF($L$4:$Z$4,$C198,$L$190:$Z$190)*INDEX($L$193:$Z$193,$C198-$L$4+1),SUMIF($L$4:$Z$4,$C198,$L$190:$Z$190)*V$192))</f>
        <v>0</v>
      </c>
      <c r="W198" s="24" cm="1">
        <f t="array" ref="W198">IF(W$4&lt;$C198,0,IF(W$4=$C198,SUMIF($L$4:$Z$4,$C198,$L$190:$Z$190)*INDEX($L$193:$Z$193,$C198-$L$4+1),SUMIF($L$4:$Z$4,$C198,$L$190:$Z$190)*W$192))</f>
        <v>0</v>
      </c>
      <c r="X198" s="24" cm="1">
        <f t="array" ref="X198">IF(X$4&lt;$C198,0,IF(X$4=$C198,SUMIF($L$4:$Z$4,$C198,$L$190:$Z$190)*INDEX($L$193:$Z$193,$C198-$L$4+1),SUMIF($L$4:$Z$4,$C198,$L$190:$Z$190)*X$192))</f>
        <v>0</v>
      </c>
      <c r="Y198" s="24" cm="1">
        <f t="array" ref="Y198">IF(Y$4&lt;$C198,0,IF(Y$4=$C198,SUMIF($L$4:$Z$4,$C198,$L$190:$Z$190)*INDEX($L$193:$Z$193,$C198-$L$4+1),SUMIF($L$4:$Z$4,$C198,$L$190:$Z$190)*Y$192))</f>
        <v>0</v>
      </c>
      <c r="Z198" s="24" cm="1">
        <f t="array" ref="Z198">IF(Z$4&lt;$C198,0,IF(Z$4=$C198,SUMIF($L$4:$Z$4,$C198,$L$190:$Z$190)*INDEX($L$193:$Z$193,$C198-$L$4+1),SUMIF($L$4:$Z$4,$C198,$L$190:$Z$190)*Z$192))</f>
        <v>0</v>
      </c>
    </row>
    <row r="199" spans="2:26" ht="15" customHeight="1" outlineLevel="1" x14ac:dyDescent="0.3">
      <c r="C199" s="23">
        <f>C198+1</f>
        <v>2028</v>
      </c>
      <c r="E199" s="76" t="s">
        <v>70</v>
      </c>
      <c r="G199" s="33">
        <f t="shared" si="85"/>
        <v>846608.96431771247</v>
      </c>
      <c r="J199" s="164">
        <f t="shared" si="86"/>
        <v>531599</v>
      </c>
      <c r="K199" s="19"/>
      <c r="L199" s="24" cm="1">
        <f t="array" ref="L199">IF(L$4&lt;$C199,0,IF(L$4=$C199,SUMIF($L$4:$Z$4,$C199,$L$190:$Z$190)*INDEX($L$193:$Z$193,$C199-$L$4+1),SUMIF($L$4:$Z$4,$C199,$L$190:$Z$190)*L$192))</f>
        <v>0</v>
      </c>
      <c r="M199" s="24" cm="1">
        <f t="array" ref="M199">IF(M$4&lt;$C199,0,IF(M$4=$C199,SUMIF($L$4:$Z$4,$C199,$L$190:$Z$190)*INDEX($L$193:$Z$193,$C199-$L$4+1),SUMIF($L$4:$Z$4,$C199,$L$190:$Z$190)*M$192))</f>
        <v>0</v>
      </c>
      <c r="N199" s="24" cm="1">
        <f t="array" ref="N199">IF(N$4&lt;$C199,0,IF(N$4=$C199,SUMIF($L$4:$Z$4,$C199,$L$190:$Z$190)*INDEX($L$193:$Z$193,$C199-$L$4+1),SUMIF($L$4:$Z$4,$C199,$L$190:$Z$190)*N$192))</f>
        <v>0</v>
      </c>
      <c r="O199" s="24" cm="1">
        <f t="array" ref="O199">IF(O$4&lt;$C199,0,IF(O$4=$C199,SUMIF($L$4:$Z$4,$C199,$L$190:$Z$190)*INDEX($L$193:$Z$193,$C199-$L$4+1),SUMIF($L$4:$Z$4,$C199,$L$190:$Z$190)*O$192))</f>
        <v>318959.39999999997</v>
      </c>
      <c r="P199" s="24" cm="1">
        <f t="array" ref="P199">IF(P$4&lt;$C199,0,IF(P$4=$C199,SUMIF($L$4:$Z$4,$C199,$L$190:$Z$190)*INDEX($L$193:$Z$193,$C199-$L$4+1),SUMIF($L$4:$Z$4,$C199,$L$190:$Z$190)*P$192))</f>
        <v>159479.69999999998</v>
      </c>
      <c r="Q199" s="24" cm="1">
        <f t="array" ref="Q199">IF(Q$4&lt;$C199,0,IF(Q$4=$C199,SUMIF($L$4:$Z$4,$C199,$L$190:$Z$190)*INDEX($L$193:$Z$193,$C199-$L$4+1),SUMIF($L$4:$Z$4,$C199,$L$190:$Z$190)*Q$192))</f>
        <v>53159.9</v>
      </c>
      <c r="R199" s="24" cm="1">
        <f t="array" ref="R199">IF(R$4&lt;$C199,0,IF(R$4=$C199,SUMIF($L$4:$Z$4,$C199,$L$190:$Z$190)*INDEX($L$193:$Z$193,$C199-$L$4+1),SUMIF($L$4:$Z$4,$C199,$L$190:$Z$190)*R$192))</f>
        <v>0</v>
      </c>
      <c r="S199" s="24" cm="1">
        <f t="array" ref="S199">IF(S$4&lt;$C199,0,IF(S$4=$C199,SUMIF($L$4:$Z$4,$C199,$L$190:$Z$190)*INDEX($L$193:$Z$193,$C199-$L$4+1),SUMIF($L$4:$Z$4,$C199,$L$190:$Z$190)*S$192))</f>
        <v>0</v>
      </c>
      <c r="T199" s="24" cm="1">
        <f t="array" ref="T199">IF(T$4&lt;$C199,0,IF(T$4=$C199,SUMIF($L$4:$Z$4,$C199,$L$190:$Z$190)*INDEX($L$193:$Z$193,$C199-$L$4+1),SUMIF($L$4:$Z$4,$C199,$L$190:$Z$190)*T$192))</f>
        <v>0</v>
      </c>
      <c r="U199" s="24" cm="1">
        <f t="array" ref="U199">IF(U$4&lt;$C199,0,IF(U$4=$C199,SUMIF($L$4:$Z$4,$C199,$L$190:$Z$190)*INDEX($L$193:$Z$193,$C199-$L$4+1),SUMIF($L$4:$Z$4,$C199,$L$190:$Z$190)*U$192))</f>
        <v>0</v>
      </c>
      <c r="V199" s="24" cm="1">
        <f t="array" ref="V199">IF(V$4&lt;$C199,0,IF(V$4=$C199,SUMIF($L$4:$Z$4,$C199,$L$190:$Z$190)*INDEX($L$193:$Z$193,$C199-$L$4+1),SUMIF($L$4:$Z$4,$C199,$L$190:$Z$190)*V$192))</f>
        <v>0</v>
      </c>
      <c r="W199" s="24" cm="1">
        <f t="array" ref="W199">IF(W$4&lt;$C199,0,IF(W$4=$C199,SUMIF($L$4:$Z$4,$C199,$L$190:$Z$190)*INDEX($L$193:$Z$193,$C199-$L$4+1),SUMIF($L$4:$Z$4,$C199,$L$190:$Z$190)*W$192))</f>
        <v>0</v>
      </c>
      <c r="X199" s="24" cm="1">
        <f t="array" ref="X199">IF(X$4&lt;$C199,0,IF(X$4=$C199,SUMIF($L$4:$Z$4,$C199,$L$190:$Z$190)*INDEX($L$193:$Z$193,$C199-$L$4+1),SUMIF($L$4:$Z$4,$C199,$L$190:$Z$190)*X$192))</f>
        <v>0</v>
      </c>
      <c r="Y199" s="24" cm="1">
        <f t="array" ref="Y199">IF(Y$4&lt;$C199,0,IF(Y$4=$C199,SUMIF($L$4:$Z$4,$C199,$L$190:$Z$190)*INDEX($L$193:$Z$193,$C199-$L$4+1),SUMIF($L$4:$Z$4,$C199,$L$190:$Z$190)*Y$192))</f>
        <v>0</v>
      </c>
      <c r="Z199" s="24" cm="1">
        <f t="array" ref="Z199">IF(Z$4&lt;$C199,0,IF(Z$4=$C199,SUMIF($L$4:$Z$4,$C199,$L$190:$Z$190)*INDEX($L$193:$Z$193,$C199-$L$4+1),SUMIF($L$4:$Z$4,$C199,$L$190:$Z$190)*Z$192))</f>
        <v>0</v>
      </c>
    </row>
    <row r="200" spans="2:26" ht="15" customHeight="1" outlineLevel="1" x14ac:dyDescent="0.3">
      <c r="C200" s="23">
        <f>C199+1</f>
        <v>2029</v>
      </c>
      <c r="E200" s="76" t="s">
        <v>70</v>
      </c>
      <c r="G200" s="33">
        <f t="shared" si="85"/>
        <v>705501.88605670002</v>
      </c>
      <c r="J200" s="164">
        <f t="shared" si="86"/>
        <v>531599</v>
      </c>
      <c r="K200" s="19"/>
      <c r="L200" s="24" cm="1">
        <f t="array" ref="L200">IF(L$4&lt;$C200,0,IF(L$4=$C200,SUMIF($L$4:$Z$4,$C200,$L$190:$Z$190)*INDEX($L$193:$Z$193,$C200-$L$4+1),SUMIF($L$4:$Z$4,$C200,$L$190:$Z$190)*L$192))</f>
        <v>0</v>
      </c>
      <c r="M200" s="24" cm="1">
        <f t="array" ref="M200">IF(M$4&lt;$C200,0,IF(M$4=$C200,SUMIF($L$4:$Z$4,$C200,$L$190:$Z$190)*INDEX($L$193:$Z$193,$C200-$L$4+1),SUMIF($L$4:$Z$4,$C200,$L$190:$Z$190)*M$192))</f>
        <v>0</v>
      </c>
      <c r="N200" s="24" cm="1">
        <f t="array" ref="N200">IF(N$4&lt;$C200,0,IF(N$4=$C200,SUMIF($L$4:$Z$4,$C200,$L$190:$Z$190)*INDEX($L$193:$Z$193,$C200-$L$4+1),SUMIF($L$4:$Z$4,$C200,$L$190:$Z$190)*N$192))</f>
        <v>0</v>
      </c>
      <c r="O200" s="24" cm="1">
        <f t="array" ref="O200">IF(O$4&lt;$C200,0,IF(O$4=$C200,SUMIF($L$4:$Z$4,$C200,$L$190:$Z$190)*INDEX($L$193:$Z$193,$C200-$L$4+1),SUMIF($L$4:$Z$4,$C200,$L$190:$Z$190)*O$192))</f>
        <v>0</v>
      </c>
      <c r="P200" s="24" cm="1">
        <f t="array" ref="P200">IF(P$4&lt;$C200,0,IF(P$4=$C200,SUMIF($L$4:$Z$4,$C200,$L$190:$Z$190)*INDEX($L$193:$Z$193,$C200-$L$4+1),SUMIF($L$4:$Z$4,$C200,$L$190:$Z$190)*P$192))</f>
        <v>478439.1</v>
      </c>
      <c r="Q200" s="24" cm="1">
        <f t="array" ref="Q200">IF(Q$4&lt;$C200,0,IF(Q$4=$C200,SUMIF($L$4:$Z$4,$C200,$L$190:$Z$190)*INDEX($L$193:$Z$193,$C200-$L$4+1),SUMIF($L$4:$Z$4,$C200,$L$190:$Z$190)*Q$192))</f>
        <v>53159.9</v>
      </c>
      <c r="R200" s="24" cm="1">
        <f t="array" ref="R200">IF(R$4&lt;$C200,0,IF(R$4=$C200,SUMIF($L$4:$Z$4,$C200,$L$190:$Z$190)*INDEX($L$193:$Z$193,$C200-$L$4+1),SUMIF($L$4:$Z$4,$C200,$L$190:$Z$190)*R$192))</f>
        <v>0</v>
      </c>
      <c r="S200" s="24" cm="1">
        <f t="array" ref="S200">IF(S$4&lt;$C200,0,IF(S$4=$C200,SUMIF($L$4:$Z$4,$C200,$L$190:$Z$190)*INDEX($L$193:$Z$193,$C200-$L$4+1),SUMIF($L$4:$Z$4,$C200,$L$190:$Z$190)*S$192))</f>
        <v>0</v>
      </c>
      <c r="T200" s="24" cm="1">
        <f t="array" ref="T200">IF(T$4&lt;$C200,0,IF(T$4=$C200,SUMIF($L$4:$Z$4,$C200,$L$190:$Z$190)*INDEX($L$193:$Z$193,$C200-$L$4+1),SUMIF($L$4:$Z$4,$C200,$L$190:$Z$190)*T$192))</f>
        <v>0</v>
      </c>
      <c r="U200" s="24" cm="1">
        <f t="array" ref="U200">IF(U$4&lt;$C200,0,IF(U$4=$C200,SUMIF($L$4:$Z$4,$C200,$L$190:$Z$190)*INDEX($L$193:$Z$193,$C200-$L$4+1),SUMIF($L$4:$Z$4,$C200,$L$190:$Z$190)*U$192))</f>
        <v>0</v>
      </c>
      <c r="V200" s="24" cm="1">
        <f t="array" ref="V200">IF(V$4&lt;$C200,0,IF(V$4=$C200,SUMIF($L$4:$Z$4,$C200,$L$190:$Z$190)*INDEX($L$193:$Z$193,$C200-$L$4+1),SUMIF($L$4:$Z$4,$C200,$L$190:$Z$190)*V$192))</f>
        <v>0</v>
      </c>
      <c r="W200" s="24" cm="1">
        <f t="array" ref="W200">IF(W$4&lt;$C200,0,IF(W$4=$C200,SUMIF($L$4:$Z$4,$C200,$L$190:$Z$190)*INDEX($L$193:$Z$193,$C200-$L$4+1),SUMIF($L$4:$Z$4,$C200,$L$190:$Z$190)*W$192))</f>
        <v>0</v>
      </c>
      <c r="X200" s="24" cm="1">
        <f t="array" ref="X200">IF(X$4&lt;$C200,0,IF(X$4=$C200,SUMIF($L$4:$Z$4,$C200,$L$190:$Z$190)*INDEX($L$193:$Z$193,$C200-$L$4+1),SUMIF($L$4:$Z$4,$C200,$L$190:$Z$190)*X$192))</f>
        <v>0</v>
      </c>
      <c r="Y200" s="24" cm="1">
        <f t="array" ref="Y200">IF(Y$4&lt;$C200,0,IF(Y$4=$C200,SUMIF($L$4:$Z$4,$C200,$L$190:$Z$190)*INDEX($L$193:$Z$193,$C200-$L$4+1),SUMIF($L$4:$Z$4,$C200,$L$190:$Z$190)*Y$192))</f>
        <v>0</v>
      </c>
      <c r="Z200" s="24" cm="1">
        <f t="array" ref="Z200">IF(Z$4&lt;$C200,0,IF(Z$4=$C200,SUMIF($L$4:$Z$4,$C200,$L$190:$Z$190)*INDEX($L$193:$Z$193,$C200-$L$4+1),SUMIF($L$4:$Z$4,$C200,$L$190:$Z$190)*Z$192))</f>
        <v>0</v>
      </c>
    </row>
    <row r="201" spans="2:26" ht="15" customHeight="1" outlineLevel="1" x14ac:dyDescent="0.3">
      <c r="C201" s="23">
        <f>C200+1</f>
        <v>2030</v>
      </c>
      <c r="E201" s="76" t="s">
        <v>70</v>
      </c>
      <c r="G201" s="33">
        <f t="shared" si="85"/>
        <v>0</v>
      </c>
      <c r="J201" s="164">
        <f t="shared" si="86"/>
        <v>0</v>
      </c>
      <c r="K201" s="19"/>
      <c r="L201" s="24" cm="1">
        <f t="array" ref="L201">IF(L$4&lt;$C201,0,IF(L$4=$C201,SUMIF($L$4:$Z$4,$C201,$L$190:$Z$190)*INDEX($L$193:$Z$193,$C201-$L$4+1),SUMIF($L$4:$Z$4,$C201,$L$190:$Z$190)*L$192))</f>
        <v>0</v>
      </c>
      <c r="M201" s="24" cm="1">
        <f t="array" ref="M201">IF(M$4&lt;$C201,0,IF(M$4=$C201,SUMIF($L$4:$Z$4,$C201,$L$190:$Z$190)*INDEX($L$193:$Z$193,$C201-$L$4+1),SUMIF($L$4:$Z$4,$C201,$L$190:$Z$190)*M$192))</f>
        <v>0</v>
      </c>
      <c r="N201" s="24" cm="1">
        <f t="array" ref="N201">IF(N$4&lt;$C201,0,IF(N$4=$C201,SUMIF($L$4:$Z$4,$C201,$L$190:$Z$190)*INDEX($L$193:$Z$193,$C201-$L$4+1),SUMIF($L$4:$Z$4,$C201,$L$190:$Z$190)*N$192))</f>
        <v>0</v>
      </c>
      <c r="O201" s="24" cm="1">
        <f t="array" ref="O201">IF(O$4&lt;$C201,0,IF(O$4=$C201,SUMIF($L$4:$Z$4,$C201,$L$190:$Z$190)*INDEX($L$193:$Z$193,$C201-$L$4+1),SUMIF($L$4:$Z$4,$C201,$L$190:$Z$190)*O$192))</f>
        <v>0</v>
      </c>
      <c r="P201" s="24" cm="1">
        <f t="array" ref="P201">IF(P$4&lt;$C201,0,IF(P$4=$C201,SUMIF($L$4:$Z$4,$C201,$L$190:$Z$190)*INDEX($L$193:$Z$193,$C201-$L$4+1),SUMIF($L$4:$Z$4,$C201,$L$190:$Z$190)*P$192))</f>
        <v>0</v>
      </c>
      <c r="Q201" s="24" cm="1">
        <f t="array" ref="Q201">IF(Q$4&lt;$C201,0,IF(Q$4=$C201,SUMIF($L$4:$Z$4,$C201,$L$190:$Z$190)*INDEX($L$193:$Z$193,$C201-$L$4+1),SUMIF($L$4:$Z$4,$C201,$L$190:$Z$190)*Q$192))</f>
        <v>0</v>
      </c>
      <c r="R201" s="24" cm="1">
        <f t="array" ref="R201">IF(R$4&lt;$C201,0,IF(R$4=$C201,SUMIF($L$4:$Z$4,$C201,$L$190:$Z$190)*INDEX($L$193:$Z$193,$C201-$L$4+1),SUMIF($L$4:$Z$4,$C201,$L$190:$Z$190)*R$192))</f>
        <v>0</v>
      </c>
      <c r="S201" s="24" cm="1">
        <f t="array" ref="S201">IF(S$4&lt;$C201,0,IF(S$4=$C201,SUMIF($L$4:$Z$4,$C201,$L$190:$Z$190)*INDEX($L$193:$Z$193,$C201-$L$4+1),SUMIF($L$4:$Z$4,$C201,$L$190:$Z$190)*S$192))</f>
        <v>0</v>
      </c>
      <c r="T201" s="24" cm="1">
        <f t="array" ref="T201">IF(T$4&lt;$C201,0,IF(T$4=$C201,SUMIF($L$4:$Z$4,$C201,$L$190:$Z$190)*INDEX($L$193:$Z$193,$C201-$L$4+1),SUMIF($L$4:$Z$4,$C201,$L$190:$Z$190)*T$192))</f>
        <v>0</v>
      </c>
      <c r="U201" s="24" cm="1">
        <f t="array" ref="U201">IF(U$4&lt;$C201,0,IF(U$4=$C201,SUMIF($L$4:$Z$4,$C201,$L$190:$Z$190)*INDEX($L$193:$Z$193,$C201-$L$4+1),SUMIF($L$4:$Z$4,$C201,$L$190:$Z$190)*U$192))</f>
        <v>0</v>
      </c>
      <c r="V201" s="24" cm="1">
        <f t="array" ref="V201">IF(V$4&lt;$C201,0,IF(V$4=$C201,SUMIF($L$4:$Z$4,$C201,$L$190:$Z$190)*INDEX($L$193:$Z$193,$C201-$L$4+1),SUMIF($L$4:$Z$4,$C201,$L$190:$Z$190)*V$192))</f>
        <v>0</v>
      </c>
      <c r="W201" s="24" cm="1">
        <f t="array" ref="W201">IF(W$4&lt;$C201,0,IF(W$4=$C201,SUMIF($L$4:$Z$4,$C201,$L$190:$Z$190)*INDEX($L$193:$Z$193,$C201-$L$4+1),SUMIF($L$4:$Z$4,$C201,$L$190:$Z$190)*W$192))</f>
        <v>0</v>
      </c>
      <c r="X201" s="24" cm="1">
        <f t="array" ref="X201">IF(X$4&lt;$C201,0,IF(X$4=$C201,SUMIF($L$4:$Z$4,$C201,$L$190:$Z$190)*INDEX($L$193:$Z$193,$C201-$L$4+1),SUMIF($L$4:$Z$4,$C201,$L$190:$Z$190)*X$192))</f>
        <v>0</v>
      </c>
      <c r="Y201" s="24" cm="1">
        <f t="array" ref="Y201">IF(Y$4&lt;$C201,0,IF(Y$4=$C201,SUMIF($L$4:$Z$4,$C201,$L$190:$Z$190)*INDEX($L$193:$Z$193,$C201-$L$4+1),SUMIF($L$4:$Z$4,$C201,$L$190:$Z$190)*Y$192))</f>
        <v>0</v>
      </c>
      <c r="Z201" s="24" cm="1">
        <f t="array" ref="Z201">IF(Z$4&lt;$C201,0,IF(Z$4=$C201,SUMIF($L$4:$Z$4,$C201,$L$190:$Z$190)*INDEX($L$193:$Z$193,$C201-$L$4+1),SUMIF($L$4:$Z$4,$C201,$L$190:$Z$190)*Z$192))</f>
        <v>0</v>
      </c>
    </row>
    <row r="202" spans="2:26" ht="15" customHeight="1" outlineLevel="1" x14ac:dyDescent="0.3">
      <c r="C202" s="78" t="s">
        <v>74</v>
      </c>
      <c r="D202" s="78"/>
      <c r="E202" s="93" t="s">
        <v>70</v>
      </c>
      <c r="F202" s="78"/>
      <c r="G202" s="34">
        <f>SUM(G196:G201)</f>
        <v>2539826.8929531374</v>
      </c>
      <c r="H202" s="34"/>
      <c r="I202" s="34"/>
      <c r="J202" s="34">
        <f>SUM(J196:J201)</f>
        <v>1594797</v>
      </c>
      <c r="K202" s="29"/>
      <c r="L202" s="34">
        <f t="shared" ref="L202:Z202" si="87">SUM(L196:L201)</f>
        <v>0</v>
      </c>
      <c r="M202" s="34">
        <f t="shared" si="87"/>
        <v>0</v>
      </c>
      <c r="N202" s="34">
        <f t="shared" si="87"/>
        <v>159479.69999999998</v>
      </c>
      <c r="O202" s="34">
        <f t="shared" si="87"/>
        <v>478439.1</v>
      </c>
      <c r="P202" s="34">
        <f t="shared" si="87"/>
        <v>797398.5</v>
      </c>
      <c r="Q202" s="34">
        <f t="shared" si="87"/>
        <v>159479.70000000001</v>
      </c>
      <c r="R202" s="34">
        <f t="shared" si="87"/>
        <v>0</v>
      </c>
      <c r="S202" s="34">
        <f t="shared" si="87"/>
        <v>0</v>
      </c>
      <c r="T202" s="34">
        <f t="shared" si="87"/>
        <v>0</v>
      </c>
      <c r="U202" s="34">
        <f t="shared" si="87"/>
        <v>0</v>
      </c>
      <c r="V202" s="34">
        <f t="shared" si="87"/>
        <v>0</v>
      </c>
      <c r="W202" s="34">
        <f t="shared" si="87"/>
        <v>0</v>
      </c>
      <c r="X202" s="34">
        <f t="shared" si="87"/>
        <v>0</v>
      </c>
      <c r="Y202" s="34">
        <f t="shared" si="87"/>
        <v>0</v>
      </c>
      <c r="Z202" s="34">
        <f t="shared" si="87"/>
        <v>0</v>
      </c>
    </row>
    <row r="203" spans="2:26" ht="15" customHeight="1" outlineLevel="1" x14ac:dyDescent="0.3"/>
    <row r="204" spans="2:26" ht="15" customHeight="1" outlineLevel="1" x14ac:dyDescent="0.3">
      <c r="B204" s="82" t="s">
        <v>7</v>
      </c>
      <c r="C204" s="82"/>
      <c r="D204" s="82"/>
      <c r="E204" s="83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2:26" ht="15" customHeight="1" outlineLevel="1" x14ac:dyDescent="0.3"/>
    <row r="206" spans="2:26" ht="15" customHeight="1" outlineLevel="1" x14ac:dyDescent="0.3">
      <c r="C206" s="37" t="s">
        <v>89</v>
      </c>
      <c r="J206" s="166">
        <f>SUM(L206:Z206)</f>
        <v>838610.8</v>
      </c>
      <c r="L206" s="167">
        <f t="shared" ref="L206:Z206" si="88">L112</f>
        <v>0</v>
      </c>
      <c r="M206" s="167">
        <f t="shared" si="88"/>
        <v>9548.1200000000008</v>
      </c>
      <c r="N206" s="167">
        <f t="shared" si="88"/>
        <v>153658.97999999998</v>
      </c>
      <c r="O206" s="167">
        <f t="shared" si="88"/>
        <v>320863.14</v>
      </c>
      <c r="P206" s="167">
        <f t="shared" si="88"/>
        <v>312610.02</v>
      </c>
      <c r="Q206" s="167">
        <f t="shared" si="88"/>
        <v>41930.54</v>
      </c>
      <c r="R206" s="167">
        <f t="shared" si="88"/>
        <v>0</v>
      </c>
      <c r="S206" s="167">
        <f t="shared" si="88"/>
        <v>0</v>
      </c>
      <c r="T206" s="167">
        <f t="shared" si="88"/>
        <v>0</v>
      </c>
      <c r="U206" s="167">
        <f t="shared" si="88"/>
        <v>0</v>
      </c>
      <c r="V206" s="167">
        <f t="shared" si="88"/>
        <v>0</v>
      </c>
      <c r="W206" s="167">
        <f t="shared" si="88"/>
        <v>0</v>
      </c>
      <c r="X206" s="167">
        <f t="shared" si="88"/>
        <v>0</v>
      </c>
      <c r="Y206" s="167">
        <f t="shared" si="88"/>
        <v>0</v>
      </c>
      <c r="Z206" s="167">
        <f t="shared" si="88"/>
        <v>0</v>
      </c>
    </row>
    <row r="207" spans="2:26" ht="15" customHeight="1" outlineLevel="1" x14ac:dyDescent="0.3"/>
    <row r="208" spans="2:26" ht="15" customHeight="1" outlineLevel="1" x14ac:dyDescent="0.3">
      <c r="C208" s="8" t="s">
        <v>87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1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</row>
    <row r="209" spans="2:26" ht="15" customHeight="1" outlineLevel="1" x14ac:dyDescent="0.3">
      <c r="C209" s="8" t="s">
        <v>88</v>
      </c>
      <c r="L209" s="4">
        <f t="shared" ref="L209:Z209" si="89">K209+L208</f>
        <v>0</v>
      </c>
      <c r="M209" s="4">
        <f t="shared" si="89"/>
        <v>0</v>
      </c>
      <c r="N209" s="4">
        <f t="shared" si="89"/>
        <v>0</v>
      </c>
      <c r="O209" s="4">
        <f t="shared" si="89"/>
        <v>0</v>
      </c>
      <c r="P209" s="4">
        <f t="shared" si="89"/>
        <v>0</v>
      </c>
      <c r="Q209" s="4">
        <f t="shared" si="89"/>
        <v>1</v>
      </c>
      <c r="R209" s="4">
        <f t="shared" si="89"/>
        <v>1</v>
      </c>
      <c r="S209" s="4">
        <f t="shared" si="89"/>
        <v>1</v>
      </c>
      <c r="T209" s="4">
        <f t="shared" si="89"/>
        <v>1</v>
      </c>
      <c r="U209" s="4">
        <f t="shared" si="89"/>
        <v>1</v>
      </c>
      <c r="V209" s="4">
        <f t="shared" si="89"/>
        <v>1</v>
      </c>
      <c r="W209" s="4">
        <f t="shared" si="89"/>
        <v>1</v>
      </c>
      <c r="X209" s="4">
        <f t="shared" si="89"/>
        <v>1</v>
      </c>
      <c r="Y209" s="4">
        <f t="shared" si="89"/>
        <v>1</v>
      </c>
      <c r="Z209" s="4">
        <f t="shared" si="89"/>
        <v>1</v>
      </c>
    </row>
    <row r="210" spans="2:26" ht="15" customHeight="1" outlineLevel="1" x14ac:dyDescent="0.3"/>
    <row r="211" spans="2:26" ht="15" customHeight="1" outlineLevel="1" x14ac:dyDescent="0.3"/>
    <row r="212" spans="2:26" ht="15" customHeight="1" outlineLevel="1" x14ac:dyDescent="0.3">
      <c r="C212" s="66">
        <v>2025</v>
      </c>
      <c r="E212" s="76" t="s">
        <v>70</v>
      </c>
      <c r="G212" s="33">
        <f t="shared" ref="G212:G217" si="90">SUMIF($L$4:$Z$4,$C212,$L$174:$Z$174)</f>
        <v>0</v>
      </c>
      <c r="J212" s="164">
        <f t="shared" ref="J212:J217" si="91">SUM(L212:Z212)</f>
        <v>0</v>
      </c>
      <c r="L212" s="24" cm="1">
        <f t="array" ref="L212">IF(L$4&lt;$C212,0,IF(L$4=$C212,SUMIF($L$4:$Z$4,$C212,$L$206:$Z$206)*INDEX($L$209:$Z$209,$C212-$L$4+1),SUMIF($L$4:$Z$4,$C212,$L$206:$Z$206)*L$208))</f>
        <v>0</v>
      </c>
      <c r="M212" s="24" cm="1">
        <f t="array" ref="M212">IF(M$4&lt;$C212,0,IF(M$4=$C212,SUMIF($L$4:$Z$4,$C212,$L$206:$Z$206)*INDEX($L$209:$Z$209,$C212-$L$4+1),SUMIF($L$4:$Z$4,$C212,$L$206:$Z$206)*M$208))</f>
        <v>0</v>
      </c>
      <c r="N212" s="24" cm="1">
        <f t="array" ref="N212">IF(N$4&lt;$C212,0,IF(N$4=$C212,SUMIF($L$4:$Z$4,$C212,$L$206:$Z$206)*INDEX($L$209:$Z$209,$C212-$L$4+1),SUMIF($L$4:$Z$4,$C212,$L$206:$Z$206)*N$208))</f>
        <v>0</v>
      </c>
      <c r="O212" s="24" cm="1">
        <f t="array" ref="O212">IF(O$4&lt;$C212,0,IF(O$4=$C212,SUMIF($L$4:$Z$4,$C212,$L$206:$Z$206)*INDEX($L$209:$Z$209,$C212-$L$4+1),SUMIF($L$4:$Z$4,$C212,$L$206:$Z$206)*O$208))</f>
        <v>0</v>
      </c>
      <c r="P212" s="24" cm="1">
        <f t="array" ref="P212">IF(P$4&lt;$C212,0,IF(P$4=$C212,SUMIF($L$4:$Z$4,$C212,$L$206:$Z$206)*INDEX($L$209:$Z$209,$C212-$L$4+1),SUMIF($L$4:$Z$4,$C212,$L$206:$Z$206)*P$208))</f>
        <v>0</v>
      </c>
      <c r="Q212" s="24" cm="1">
        <f t="array" ref="Q212">IF(Q$4&lt;$C212,0,IF(Q$4=$C212,SUMIF($L$4:$Z$4,$C212,$L$206:$Z$206)*INDEX($L$209:$Z$209,$C212-$L$4+1),SUMIF($L$4:$Z$4,$C212,$L$206:$Z$206)*Q$208))</f>
        <v>0</v>
      </c>
      <c r="R212" s="24" cm="1">
        <f t="array" ref="R212">IF(R$4&lt;$C212,0,IF(R$4=$C212,SUMIF($L$4:$Z$4,$C212,$L$206:$Z$206)*INDEX($L$209:$Z$209,$C212-$L$4+1),SUMIF($L$4:$Z$4,$C212,$L$206:$Z$206)*R$208))</f>
        <v>0</v>
      </c>
      <c r="S212" s="24" cm="1">
        <f t="array" ref="S212">IF(S$4&lt;$C212,0,IF(S$4=$C212,SUMIF($L$4:$Z$4,$C212,$L$206:$Z$206)*INDEX($L$209:$Z$209,$C212-$L$4+1),SUMIF($L$4:$Z$4,$C212,$L$206:$Z$206)*S$208))</f>
        <v>0</v>
      </c>
      <c r="T212" s="24" cm="1">
        <f t="array" ref="T212">IF(T$4&lt;$C212,0,IF(T$4=$C212,SUMIF($L$4:$Z$4,$C212,$L$206:$Z$206)*INDEX($L$209:$Z$209,$C212-$L$4+1),SUMIF($L$4:$Z$4,$C212,$L$206:$Z$206)*T$208))</f>
        <v>0</v>
      </c>
      <c r="U212" s="24" cm="1">
        <f t="array" ref="U212">IF(U$4&lt;$C212,0,IF(U$4=$C212,SUMIF($L$4:$Z$4,$C212,$L$206:$Z$206)*INDEX($L$209:$Z$209,$C212-$L$4+1),SUMIF($L$4:$Z$4,$C212,$L$206:$Z$206)*U$208))</f>
        <v>0</v>
      </c>
      <c r="V212" s="24" cm="1">
        <f t="array" ref="V212">IF(V$4&lt;$C212,0,IF(V$4=$C212,SUMIF($L$4:$Z$4,$C212,$L$206:$Z$206)*INDEX($L$209:$Z$209,$C212-$L$4+1),SUMIF($L$4:$Z$4,$C212,$L$206:$Z$206)*V$208))</f>
        <v>0</v>
      </c>
      <c r="W212" s="24" cm="1">
        <f t="array" ref="W212">IF(W$4&lt;$C212,0,IF(W$4=$C212,SUMIF($L$4:$Z$4,$C212,$L$206:$Z$206)*INDEX($L$209:$Z$209,$C212-$L$4+1),SUMIF($L$4:$Z$4,$C212,$L$206:$Z$206)*W$208))</f>
        <v>0</v>
      </c>
      <c r="X212" s="24" cm="1">
        <f t="array" ref="X212">IF(X$4&lt;$C212,0,IF(X$4=$C212,SUMIF($L$4:$Z$4,$C212,$L$206:$Z$206)*INDEX($L$209:$Z$209,$C212-$L$4+1),SUMIF($L$4:$Z$4,$C212,$L$206:$Z$206)*X$208))</f>
        <v>0</v>
      </c>
      <c r="Y212" s="24" cm="1">
        <f t="array" ref="Y212">IF(Y$4&lt;$C212,0,IF(Y$4=$C212,SUMIF($L$4:$Z$4,$C212,$L$206:$Z$206)*INDEX($L$209:$Z$209,$C212-$L$4+1),SUMIF($L$4:$Z$4,$C212,$L$206:$Z$206)*Y$208))</f>
        <v>0</v>
      </c>
      <c r="Z212" s="24" cm="1">
        <f t="array" ref="Z212">IF(Z$4&lt;$C212,0,IF(Z$4=$C212,SUMIF($L$4:$Z$4,$C212,$L$206:$Z$206)*INDEX($L$209:$Z$209,$C212-$L$4+1),SUMIF($L$4:$Z$4,$C212,$L$206:$Z$206)*Z$208))</f>
        <v>0</v>
      </c>
    </row>
    <row r="213" spans="2:26" ht="15" customHeight="1" outlineLevel="1" x14ac:dyDescent="0.3">
      <c r="C213" s="23">
        <f>C212+1</f>
        <v>2026</v>
      </c>
      <c r="E213" s="76" t="s">
        <v>70</v>
      </c>
      <c r="G213" s="33">
        <f t="shared" si="90"/>
        <v>141107.07826101244</v>
      </c>
      <c r="J213" s="164">
        <f t="shared" si="91"/>
        <v>9548.1200000000008</v>
      </c>
      <c r="L213" s="24" cm="1">
        <f t="array" ref="L213">IF(L$4&lt;$C213,0,IF(L$4=$C213,SUMIF($L$4:$Z$4,$C213,$L$206:$Z$206)*INDEX($L$209:$Z$209,$C213-$L$4+1),SUMIF($L$4:$Z$4,$C213,$L$206:$Z$206)*L$208))</f>
        <v>0</v>
      </c>
      <c r="M213" s="24" cm="1">
        <f t="array" ref="M213">IF(M$4&lt;$C213,0,IF(M$4=$C213,SUMIF($L$4:$Z$4,$C213,$L$206:$Z$206)*INDEX($L$209:$Z$209,$C213-$L$4+1),SUMIF($L$4:$Z$4,$C213,$L$206:$Z$206)*M$208))</f>
        <v>0</v>
      </c>
      <c r="N213" s="24" cm="1">
        <f t="array" ref="N213">IF(N$4&lt;$C213,0,IF(N$4=$C213,SUMIF($L$4:$Z$4,$C213,$L$206:$Z$206)*INDEX($L$209:$Z$209,$C213-$L$4+1),SUMIF($L$4:$Z$4,$C213,$L$206:$Z$206)*N$208))</f>
        <v>0</v>
      </c>
      <c r="O213" s="24" cm="1">
        <f t="array" ref="O213">IF(O$4&lt;$C213,0,IF(O$4=$C213,SUMIF($L$4:$Z$4,$C213,$L$206:$Z$206)*INDEX($L$209:$Z$209,$C213-$L$4+1),SUMIF($L$4:$Z$4,$C213,$L$206:$Z$206)*O$208))</f>
        <v>0</v>
      </c>
      <c r="P213" s="24" cm="1">
        <f t="array" ref="P213">IF(P$4&lt;$C213,0,IF(P$4=$C213,SUMIF($L$4:$Z$4,$C213,$L$206:$Z$206)*INDEX($L$209:$Z$209,$C213-$L$4+1),SUMIF($L$4:$Z$4,$C213,$L$206:$Z$206)*P$208))</f>
        <v>0</v>
      </c>
      <c r="Q213" s="24" cm="1">
        <f t="array" ref="Q213">IF(Q$4&lt;$C213,0,IF(Q$4=$C213,SUMIF($L$4:$Z$4,$C213,$L$206:$Z$206)*INDEX($L$209:$Z$209,$C213-$L$4+1),SUMIF($L$4:$Z$4,$C213,$L$206:$Z$206)*Q$208))</f>
        <v>9548.1200000000008</v>
      </c>
      <c r="R213" s="24" cm="1">
        <f t="array" ref="R213">IF(R$4&lt;$C213,0,IF(R$4=$C213,SUMIF($L$4:$Z$4,$C213,$L$206:$Z$206)*INDEX($L$209:$Z$209,$C213-$L$4+1),SUMIF($L$4:$Z$4,$C213,$L$206:$Z$206)*R$208))</f>
        <v>0</v>
      </c>
      <c r="S213" s="24" cm="1">
        <f t="array" ref="S213">IF(S$4&lt;$C213,0,IF(S$4=$C213,SUMIF($L$4:$Z$4,$C213,$L$206:$Z$206)*INDEX($L$209:$Z$209,$C213-$L$4+1),SUMIF($L$4:$Z$4,$C213,$L$206:$Z$206)*S$208))</f>
        <v>0</v>
      </c>
      <c r="T213" s="24" cm="1">
        <f t="array" ref="T213">IF(T$4&lt;$C213,0,IF(T$4=$C213,SUMIF($L$4:$Z$4,$C213,$L$206:$Z$206)*INDEX($L$209:$Z$209,$C213-$L$4+1),SUMIF($L$4:$Z$4,$C213,$L$206:$Z$206)*T$208))</f>
        <v>0</v>
      </c>
      <c r="U213" s="24" cm="1">
        <f t="array" ref="U213">IF(U$4&lt;$C213,0,IF(U$4=$C213,SUMIF($L$4:$Z$4,$C213,$L$206:$Z$206)*INDEX($L$209:$Z$209,$C213-$L$4+1),SUMIF($L$4:$Z$4,$C213,$L$206:$Z$206)*U$208))</f>
        <v>0</v>
      </c>
      <c r="V213" s="24" cm="1">
        <f t="array" ref="V213">IF(V$4&lt;$C213,0,IF(V$4=$C213,SUMIF($L$4:$Z$4,$C213,$L$206:$Z$206)*INDEX($L$209:$Z$209,$C213-$L$4+1),SUMIF($L$4:$Z$4,$C213,$L$206:$Z$206)*V$208))</f>
        <v>0</v>
      </c>
      <c r="W213" s="24" cm="1">
        <f t="array" ref="W213">IF(W$4&lt;$C213,0,IF(W$4=$C213,SUMIF($L$4:$Z$4,$C213,$L$206:$Z$206)*INDEX($L$209:$Z$209,$C213-$L$4+1),SUMIF($L$4:$Z$4,$C213,$L$206:$Z$206)*W$208))</f>
        <v>0</v>
      </c>
      <c r="X213" s="24" cm="1">
        <f t="array" ref="X213">IF(X$4&lt;$C213,0,IF(X$4=$C213,SUMIF($L$4:$Z$4,$C213,$L$206:$Z$206)*INDEX($L$209:$Z$209,$C213-$L$4+1),SUMIF($L$4:$Z$4,$C213,$L$206:$Z$206)*X$208))</f>
        <v>0</v>
      </c>
      <c r="Y213" s="24" cm="1">
        <f t="array" ref="Y213">IF(Y$4&lt;$C213,0,IF(Y$4=$C213,SUMIF($L$4:$Z$4,$C213,$L$206:$Z$206)*INDEX($L$209:$Z$209,$C213-$L$4+1),SUMIF($L$4:$Z$4,$C213,$L$206:$Z$206)*Y$208))</f>
        <v>0</v>
      </c>
      <c r="Z213" s="24" cm="1">
        <f t="array" ref="Z213">IF(Z$4&lt;$C213,0,IF(Z$4=$C213,SUMIF($L$4:$Z$4,$C213,$L$206:$Z$206)*INDEX($L$209:$Z$209,$C213-$L$4+1),SUMIF($L$4:$Z$4,$C213,$L$206:$Z$206)*Z$208))</f>
        <v>0</v>
      </c>
    </row>
    <row r="214" spans="2:26" ht="15" customHeight="1" outlineLevel="1" x14ac:dyDescent="0.3">
      <c r="C214" s="23">
        <f>C213+1</f>
        <v>2027</v>
      </c>
      <c r="E214" s="76" t="s">
        <v>70</v>
      </c>
      <c r="G214" s="33">
        <f t="shared" si="90"/>
        <v>846608.96431771247</v>
      </c>
      <c r="J214" s="164">
        <f t="shared" si="91"/>
        <v>153658.97999999998</v>
      </c>
      <c r="L214" s="24" cm="1">
        <f t="array" ref="L214">IF(L$4&lt;$C214,0,IF(L$4=$C214,SUMIF($L$4:$Z$4,$C214,$L$206:$Z$206)*INDEX($L$209:$Z$209,$C214-$L$4+1),SUMIF($L$4:$Z$4,$C214,$L$206:$Z$206)*L$208))</f>
        <v>0</v>
      </c>
      <c r="M214" s="24" cm="1">
        <f t="array" ref="M214">IF(M$4&lt;$C214,0,IF(M$4=$C214,SUMIF($L$4:$Z$4,$C214,$L$206:$Z$206)*INDEX($L$209:$Z$209,$C214-$L$4+1),SUMIF($L$4:$Z$4,$C214,$L$206:$Z$206)*M$208))</f>
        <v>0</v>
      </c>
      <c r="N214" s="24" cm="1">
        <f t="array" ref="N214">IF(N$4&lt;$C214,0,IF(N$4=$C214,SUMIF($L$4:$Z$4,$C214,$L$206:$Z$206)*INDEX($L$209:$Z$209,$C214-$L$4+1),SUMIF($L$4:$Z$4,$C214,$L$206:$Z$206)*N$208))</f>
        <v>0</v>
      </c>
      <c r="O214" s="24" cm="1">
        <f t="array" ref="O214">IF(O$4&lt;$C214,0,IF(O$4=$C214,SUMIF($L$4:$Z$4,$C214,$L$206:$Z$206)*INDEX($L$209:$Z$209,$C214-$L$4+1),SUMIF($L$4:$Z$4,$C214,$L$206:$Z$206)*O$208))</f>
        <v>0</v>
      </c>
      <c r="P214" s="24" cm="1">
        <f t="array" ref="P214">IF(P$4&lt;$C214,0,IF(P$4=$C214,SUMIF($L$4:$Z$4,$C214,$L$206:$Z$206)*INDEX($L$209:$Z$209,$C214-$L$4+1),SUMIF($L$4:$Z$4,$C214,$L$206:$Z$206)*P$208))</f>
        <v>0</v>
      </c>
      <c r="Q214" s="24" cm="1">
        <f t="array" ref="Q214">IF(Q$4&lt;$C214,0,IF(Q$4=$C214,SUMIF($L$4:$Z$4,$C214,$L$206:$Z$206)*INDEX($L$209:$Z$209,$C214-$L$4+1),SUMIF($L$4:$Z$4,$C214,$L$206:$Z$206)*Q$208))</f>
        <v>153658.97999999998</v>
      </c>
      <c r="R214" s="24" cm="1">
        <f t="array" ref="R214">IF(R$4&lt;$C214,0,IF(R$4=$C214,SUMIF($L$4:$Z$4,$C214,$L$206:$Z$206)*INDEX($L$209:$Z$209,$C214-$L$4+1),SUMIF($L$4:$Z$4,$C214,$L$206:$Z$206)*R$208))</f>
        <v>0</v>
      </c>
      <c r="S214" s="24" cm="1">
        <f t="array" ref="S214">IF(S$4&lt;$C214,0,IF(S$4=$C214,SUMIF($L$4:$Z$4,$C214,$L$206:$Z$206)*INDEX($L$209:$Z$209,$C214-$L$4+1),SUMIF($L$4:$Z$4,$C214,$L$206:$Z$206)*S$208))</f>
        <v>0</v>
      </c>
      <c r="T214" s="24" cm="1">
        <f t="array" ref="T214">IF(T$4&lt;$C214,0,IF(T$4=$C214,SUMIF($L$4:$Z$4,$C214,$L$206:$Z$206)*INDEX($L$209:$Z$209,$C214-$L$4+1),SUMIF($L$4:$Z$4,$C214,$L$206:$Z$206)*T$208))</f>
        <v>0</v>
      </c>
      <c r="U214" s="24" cm="1">
        <f t="array" ref="U214">IF(U$4&lt;$C214,0,IF(U$4=$C214,SUMIF($L$4:$Z$4,$C214,$L$206:$Z$206)*INDEX($L$209:$Z$209,$C214-$L$4+1),SUMIF($L$4:$Z$4,$C214,$L$206:$Z$206)*U$208))</f>
        <v>0</v>
      </c>
      <c r="V214" s="24" cm="1">
        <f t="array" ref="V214">IF(V$4&lt;$C214,0,IF(V$4=$C214,SUMIF($L$4:$Z$4,$C214,$L$206:$Z$206)*INDEX($L$209:$Z$209,$C214-$L$4+1),SUMIF($L$4:$Z$4,$C214,$L$206:$Z$206)*V$208))</f>
        <v>0</v>
      </c>
      <c r="W214" s="24" cm="1">
        <f t="array" ref="W214">IF(W$4&lt;$C214,0,IF(W$4=$C214,SUMIF($L$4:$Z$4,$C214,$L$206:$Z$206)*INDEX($L$209:$Z$209,$C214-$L$4+1),SUMIF($L$4:$Z$4,$C214,$L$206:$Z$206)*W$208))</f>
        <v>0</v>
      </c>
      <c r="X214" s="24" cm="1">
        <f t="array" ref="X214">IF(X$4&lt;$C214,0,IF(X$4=$C214,SUMIF($L$4:$Z$4,$C214,$L$206:$Z$206)*INDEX($L$209:$Z$209,$C214-$L$4+1),SUMIF($L$4:$Z$4,$C214,$L$206:$Z$206)*X$208))</f>
        <v>0</v>
      </c>
      <c r="Y214" s="24" cm="1">
        <f t="array" ref="Y214">IF(Y$4&lt;$C214,0,IF(Y$4=$C214,SUMIF($L$4:$Z$4,$C214,$L$206:$Z$206)*INDEX($L$209:$Z$209,$C214-$L$4+1),SUMIF($L$4:$Z$4,$C214,$L$206:$Z$206)*Y$208))</f>
        <v>0</v>
      </c>
      <c r="Z214" s="24" cm="1">
        <f t="array" ref="Z214">IF(Z$4&lt;$C214,0,IF(Z$4=$C214,SUMIF($L$4:$Z$4,$C214,$L$206:$Z$206)*INDEX($L$209:$Z$209,$C214-$L$4+1),SUMIF($L$4:$Z$4,$C214,$L$206:$Z$206)*Z$208))</f>
        <v>0</v>
      </c>
    </row>
    <row r="215" spans="2:26" ht="15" customHeight="1" outlineLevel="1" x14ac:dyDescent="0.3">
      <c r="C215" s="23">
        <f>C214+1</f>
        <v>2028</v>
      </c>
      <c r="E215" s="76" t="s">
        <v>70</v>
      </c>
      <c r="G215" s="33">
        <f t="shared" si="90"/>
        <v>846608.96431771247</v>
      </c>
      <c r="J215" s="164">
        <f t="shared" si="91"/>
        <v>320863.14</v>
      </c>
      <c r="L215" s="24" cm="1">
        <f t="array" ref="L215">IF(L$4&lt;$C215,0,IF(L$4=$C215,SUMIF($L$4:$Z$4,$C215,$L$206:$Z$206)*INDEX($L$209:$Z$209,$C215-$L$4+1),SUMIF($L$4:$Z$4,$C215,$L$206:$Z$206)*L$208))</f>
        <v>0</v>
      </c>
      <c r="M215" s="24" cm="1">
        <f t="array" ref="M215">IF(M$4&lt;$C215,0,IF(M$4=$C215,SUMIF($L$4:$Z$4,$C215,$L$206:$Z$206)*INDEX($L$209:$Z$209,$C215-$L$4+1),SUMIF($L$4:$Z$4,$C215,$L$206:$Z$206)*M$208))</f>
        <v>0</v>
      </c>
      <c r="N215" s="24" cm="1">
        <f t="array" ref="N215">IF(N$4&lt;$C215,0,IF(N$4=$C215,SUMIF($L$4:$Z$4,$C215,$L$206:$Z$206)*INDEX($L$209:$Z$209,$C215-$L$4+1),SUMIF($L$4:$Z$4,$C215,$L$206:$Z$206)*N$208))</f>
        <v>0</v>
      </c>
      <c r="O215" s="24" cm="1">
        <f t="array" ref="O215">IF(O$4&lt;$C215,0,IF(O$4=$C215,SUMIF($L$4:$Z$4,$C215,$L$206:$Z$206)*INDEX($L$209:$Z$209,$C215-$L$4+1),SUMIF($L$4:$Z$4,$C215,$L$206:$Z$206)*O$208))</f>
        <v>0</v>
      </c>
      <c r="P215" s="24" cm="1">
        <f t="array" ref="P215">IF(P$4&lt;$C215,0,IF(P$4=$C215,SUMIF($L$4:$Z$4,$C215,$L$206:$Z$206)*INDEX($L$209:$Z$209,$C215-$L$4+1),SUMIF($L$4:$Z$4,$C215,$L$206:$Z$206)*P$208))</f>
        <v>0</v>
      </c>
      <c r="Q215" s="24" cm="1">
        <f t="array" ref="Q215">IF(Q$4&lt;$C215,0,IF(Q$4=$C215,SUMIF($L$4:$Z$4,$C215,$L$206:$Z$206)*INDEX($L$209:$Z$209,$C215-$L$4+1),SUMIF($L$4:$Z$4,$C215,$L$206:$Z$206)*Q$208))</f>
        <v>320863.14</v>
      </c>
      <c r="R215" s="24" cm="1">
        <f t="array" ref="R215">IF(R$4&lt;$C215,0,IF(R$4=$C215,SUMIF($L$4:$Z$4,$C215,$L$206:$Z$206)*INDEX($L$209:$Z$209,$C215-$L$4+1),SUMIF($L$4:$Z$4,$C215,$L$206:$Z$206)*R$208))</f>
        <v>0</v>
      </c>
      <c r="S215" s="24" cm="1">
        <f t="array" ref="S215">IF(S$4&lt;$C215,0,IF(S$4=$C215,SUMIF($L$4:$Z$4,$C215,$L$206:$Z$206)*INDEX($L$209:$Z$209,$C215-$L$4+1),SUMIF($L$4:$Z$4,$C215,$L$206:$Z$206)*S$208))</f>
        <v>0</v>
      </c>
      <c r="T215" s="24" cm="1">
        <f t="array" ref="T215">IF(T$4&lt;$C215,0,IF(T$4=$C215,SUMIF($L$4:$Z$4,$C215,$L$206:$Z$206)*INDEX($L$209:$Z$209,$C215-$L$4+1),SUMIF($L$4:$Z$4,$C215,$L$206:$Z$206)*T$208))</f>
        <v>0</v>
      </c>
      <c r="U215" s="24" cm="1">
        <f t="array" ref="U215">IF(U$4&lt;$C215,0,IF(U$4=$C215,SUMIF($L$4:$Z$4,$C215,$L$206:$Z$206)*INDEX($L$209:$Z$209,$C215-$L$4+1),SUMIF($L$4:$Z$4,$C215,$L$206:$Z$206)*U$208))</f>
        <v>0</v>
      </c>
      <c r="V215" s="24" cm="1">
        <f t="array" ref="V215">IF(V$4&lt;$C215,0,IF(V$4=$C215,SUMIF($L$4:$Z$4,$C215,$L$206:$Z$206)*INDEX($L$209:$Z$209,$C215-$L$4+1),SUMIF($L$4:$Z$4,$C215,$L$206:$Z$206)*V$208))</f>
        <v>0</v>
      </c>
      <c r="W215" s="24" cm="1">
        <f t="array" ref="W215">IF(W$4&lt;$C215,0,IF(W$4=$C215,SUMIF($L$4:$Z$4,$C215,$L$206:$Z$206)*INDEX($L$209:$Z$209,$C215-$L$4+1),SUMIF($L$4:$Z$4,$C215,$L$206:$Z$206)*W$208))</f>
        <v>0</v>
      </c>
      <c r="X215" s="24" cm="1">
        <f t="array" ref="X215">IF(X$4&lt;$C215,0,IF(X$4=$C215,SUMIF($L$4:$Z$4,$C215,$L$206:$Z$206)*INDEX($L$209:$Z$209,$C215-$L$4+1),SUMIF($L$4:$Z$4,$C215,$L$206:$Z$206)*X$208))</f>
        <v>0</v>
      </c>
      <c r="Y215" s="24" cm="1">
        <f t="array" ref="Y215">IF(Y$4&lt;$C215,0,IF(Y$4=$C215,SUMIF($L$4:$Z$4,$C215,$L$206:$Z$206)*INDEX($L$209:$Z$209,$C215-$L$4+1),SUMIF($L$4:$Z$4,$C215,$L$206:$Z$206)*Y$208))</f>
        <v>0</v>
      </c>
      <c r="Z215" s="24" cm="1">
        <f t="array" ref="Z215">IF(Z$4&lt;$C215,0,IF(Z$4=$C215,SUMIF($L$4:$Z$4,$C215,$L$206:$Z$206)*INDEX($L$209:$Z$209,$C215-$L$4+1),SUMIF($L$4:$Z$4,$C215,$L$206:$Z$206)*Z$208))</f>
        <v>0</v>
      </c>
    </row>
    <row r="216" spans="2:26" ht="15" customHeight="1" outlineLevel="1" x14ac:dyDescent="0.3">
      <c r="C216" s="23">
        <f>C215+1</f>
        <v>2029</v>
      </c>
      <c r="E216" s="76" t="s">
        <v>70</v>
      </c>
      <c r="G216" s="33">
        <f t="shared" si="90"/>
        <v>705501.88605670002</v>
      </c>
      <c r="J216" s="164">
        <f t="shared" si="91"/>
        <v>312610.02</v>
      </c>
      <c r="L216" s="24" cm="1">
        <f t="array" ref="L216">IF(L$4&lt;$C216,0,IF(L$4=$C216,SUMIF($L$4:$Z$4,$C216,$L$206:$Z$206)*INDEX($L$209:$Z$209,$C216-$L$4+1),SUMIF($L$4:$Z$4,$C216,$L$206:$Z$206)*L$208))</f>
        <v>0</v>
      </c>
      <c r="M216" s="24" cm="1">
        <f t="array" ref="M216">IF(M$4&lt;$C216,0,IF(M$4=$C216,SUMIF($L$4:$Z$4,$C216,$L$206:$Z$206)*INDEX($L$209:$Z$209,$C216-$L$4+1),SUMIF($L$4:$Z$4,$C216,$L$206:$Z$206)*M$208))</f>
        <v>0</v>
      </c>
      <c r="N216" s="24" cm="1">
        <f t="array" ref="N216">IF(N$4&lt;$C216,0,IF(N$4=$C216,SUMIF($L$4:$Z$4,$C216,$L$206:$Z$206)*INDEX($L$209:$Z$209,$C216-$L$4+1),SUMIF($L$4:$Z$4,$C216,$L$206:$Z$206)*N$208))</f>
        <v>0</v>
      </c>
      <c r="O216" s="24" cm="1">
        <f t="array" ref="O216">IF(O$4&lt;$C216,0,IF(O$4=$C216,SUMIF($L$4:$Z$4,$C216,$L$206:$Z$206)*INDEX($L$209:$Z$209,$C216-$L$4+1),SUMIF($L$4:$Z$4,$C216,$L$206:$Z$206)*O$208))</f>
        <v>0</v>
      </c>
      <c r="P216" s="24" cm="1">
        <f t="array" ref="P216">IF(P$4&lt;$C216,0,IF(P$4=$C216,SUMIF($L$4:$Z$4,$C216,$L$206:$Z$206)*INDEX($L$209:$Z$209,$C216-$L$4+1),SUMIF($L$4:$Z$4,$C216,$L$206:$Z$206)*P$208))</f>
        <v>0</v>
      </c>
      <c r="Q216" s="24" cm="1">
        <f t="array" ref="Q216">IF(Q$4&lt;$C216,0,IF(Q$4=$C216,SUMIF($L$4:$Z$4,$C216,$L$206:$Z$206)*INDEX($L$209:$Z$209,$C216-$L$4+1),SUMIF($L$4:$Z$4,$C216,$L$206:$Z$206)*Q$208))</f>
        <v>312610.02</v>
      </c>
      <c r="R216" s="24" cm="1">
        <f t="array" ref="R216">IF(R$4&lt;$C216,0,IF(R$4=$C216,SUMIF($L$4:$Z$4,$C216,$L$206:$Z$206)*INDEX($L$209:$Z$209,$C216-$L$4+1),SUMIF($L$4:$Z$4,$C216,$L$206:$Z$206)*R$208))</f>
        <v>0</v>
      </c>
      <c r="S216" s="24" cm="1">
        <f t="array" ref="S216">IF(S$4&lt;$C216,0,IF(S$4=$C216,SUMIF($L$4:$Z$4,$C216,$L$206:$Z$206)*INDEX($L$209:$Z$209,$C216-$L$4+1),SUMIF($L$4:$Z$4,$C216,$L$206:$Z$206)*S$208))</f>
        <v>0</v>
      </c>
      <c r="T216" s="24" cm="1">
        <f t="array" ref="T216">IF(T$4&lt;$C216,0,IF(T$4=$C216,SUMIF($L$4:$Z$4,$C216,$L$206:$Z$206)*INDEX($L$209:$Z$209,$C216-$L$4+1),SUMIF($L$4:$Z$4,$C216,$L$206:$Z$206)*T$208))</f>
        <v>0</v>
      </c>
      <c r="U216" s="24" cm="1">
        <f t="array" ref="U216">IF(U$4&lt;$C216,0,IF(U$4=$C216,SUMIF($L$4:$Z$4,$C216,$L$206:$Z$206)*INDEX($L$209:$Z$209,$C216-$L$4+1),SUMIF($L$4:$Z$4,$C216,$L$206:$Z$206)*U$208))</f>
        <v>0</v>
      </c>
      <c r="V216" s="24" cm="1">
        <f t="array" ref="V216">IF(V$4&lt;$C216,0,IF(V$4=$C216,SUMIF($L$4:$Z$4,$C216,$L$206:$Z$206)*INDEX($L$209:$Z$209,$C216-$L$4+1),SUMIF($L$4:$Z$4,$C216,$L$206:$Z$206)*V$208))</f>
        <v>0</v>
      </c>
      <c r="W216" s="24" cm="1">
        <f t="array" ref="W216">IF(W$4&lt;$C216,0,IF(W$4=$C216,SUMIF($L$4:$Z$4,$C216,$L$206:$Z$206)*INDEX($L$209:$Z$209,$C216-$L$4+1),SUMIF($L$4:$Z$4,$C216,$L$206:$Z$206)*W$208))</f>
        <v>0</v>
      </c>
      <c r="X216" s="24" cm="1">
        <f t="array" ref="X216">IF(X$4&lt;$C216,0,IF(X$4=$C216,SUMIF($L$4:$Z$4,$C216,$L$206:$Z$206)*INDEX($L$209:$Z$209,$C216-$L$4+1),SUMIF($L$4:$Z$4,$C216,$L$206:$Z$206)*X$208))</f>
        <v>0</v>
      </c>
      <c r="Y216" s="24" cm="1">
        <f t="array" ref="Y216">IF(Y$4&lt;$C216,0,IF(Y$4=$C216,SUMIF($L$4:$Z$4,$C216,$L$206:$Z$206)*INDEX($L$209:$Z$209,$C216-$L$4+1),SUMIF($L$4:$Z$4,$C216,$L$206:$Z$206)*Y$208))</f>
        <v>0</v>
      </c>
      <c r="Z216" s="24" cm="1">
        <f t="array" ref="Z216">IF(Z$4&lt;$C216,0,IF(Z$4=$C216,SUMIF($L$4:$Z$4,$C216,$L$206:$Z$206)*INDEX($L$209:$Z$209,$C216-$L$4+1),SUMIF($L$4:$Z$4,$C216,$L$206:$Z$206)*Z$208))</f>
        <v>0</v>
      </c>
    </row>
    <row r="217" spans="2:26" ht="15" customHeight="1" outlineLevel="1" x14ac:dyDescent="0.3">
      <c r="C217" s="23">
        <f>C216+1</f>
        <v>2030</v>
      </c>
      <c r="E217" s="76" t="s">
        <v>70</v>
      </c>
      <c r="G217" s="33">
        <f t="shared" si="90"/>
        <v>0</v>
      </c>
      <c r="J217" s="164">
        <f t="shared" si="91"/>
        <v>41930.54</v>
      </c>
      <c r="L217" s="24" cm="1">
        <f t="array" ref="L217">IF(L$4&lt;$C217,0,IF(L$4=$C217,SUMIF($L$4:$Z$4,$C217,$L$206:$Z$206)*INDEX($L$209:$Z$209,$C217-$L$4+1),SUMIF($L$4:$Z$4,$C217,$L$206:$Z$206)*L$208))</f>
        <v>0</v>
      </c>
      <c r="M217" s="24" cm="1">
        <f t="array" ref="M217">IF(M$4&lt;$C217,0,IF(M$4=$C217,SUMIF($L$4:$Z$4,$C217,$L$206:$Z$206)*INDEX($L$209:$Z$209,$C217-$L$4+1),SUMIF($L$4:$Z$4,$C217,$L$206:$Z$206)*M$208))</f>
        <v>0</v>
      </c>
      <c r="N217" s="24" cm="1">
        <f t="array" ref="N217">IF(N$4&lt;$C217,0,IF(N$4=$C217,SUMIF($L$4:$Z$4,$C217,$L$206:$Z$206)*INDEX($L$209:$Z$209,$C217-$L$4+1),SUMIF($L$4:$Z$4,$C217,$L$206:$Z$206)*N$208))</f>
        <v>0</v>
      </c>
      <c r="O217" s="24" cm="1">
        <f t="array" ref="O217">IF(O$4&lt;$C217,0,IF(O$4=$C217,SUMIF($L$4:$Z$4,$C217,$L$206:$Z$206)*INDEX($L$209:$Z$209,$C217-$L$4+1),SUMIF($L$4:$Z$4,$C217,$L$206:$Z$206)*O$208))</f>
        <v>0</v>
      </c>
      <c r="P217" s="24" cm="1">
        <f t="array" ref="P217">IF(P$4&lt;$C217,0,IF(P$4=$C217,SUMIF($L$4:$Z$4,$C217,$L$206:$Z$206)*INDEX($L$209:$Z$209,$C217-$L$4+1),SUMIF($L$4:$Z$4,$C217,$L$206:$Z$206)*P$208))</f>
        <v>0</v>
      </c>
      <c r="Q217" s="24" cm="1">
        <f t="array" ref="Q217">IF(Q$4&lt;$C217,0,IF(Q$4=$C217,SUMIF($L$4:$Z$4,$C217,$L$206:$Z$206)*INDEX($L$209:$Z$209,$C217-$L$4+1),SUMIF($L$4:$Z$4,$C217,$L$206:$Z$206)*Q$208))</f>
        <v>41930.54</v>
      </c>
      <c r="R217" s="24" cm="1">
        <f t="array" ref="R217">IF(R$4&lt;$C217,0,IF(R$4=$C217,SUMIF($L$4:$Z$4,$C217,$L$206:$Z$206)*INDEX($L$209:$Z$209,$C217-$L$4+1),SUMIF($L$4:$Z$4,$C217,$L$206:$Z$206)*R$208))</f>
        <v>0</v>
      </c>
      <c r="S217" s="24" cm="1">
        <f t="array" ref="S217">IF(S$4&lt;$C217,0,IF(S$4=$C217,SUMIF($L$4:$Z$4,$C217,$L$206:$Z$206)*INDEX($L$209:$Z$209,$C217-$L$4+1),SUMIF($L$4:$Z$4,$C217,$L$206:$Z$206)*S$208))</f>
        <v>0</v>
      </c>
      <c r="T217" s="24" cm="1">
        <f t="array" ref="T217">IF(T$4&lt;$C217,0,IF(T$4=$C217,SUMIF($L$4:$Z$4,$C217,$L$206:$Z$206)*INDEX($L$209:$Z$209,$C217-$L$4+1),SUMIF($L$4:$Z$4,$C217,$L$206:$Z$206)*T$208))</f>
        <v>0</v>
      </c>
      <c r="U217" s="24" cm="1">
        <f t="array" ref="U217">IF(U$4&lt;$C217,0,IF(U$4=$C217,SUMIF($L$4:$Z$4,$C217,$L$206:$Z$206)*INDEX($L$209:$Z$209,$C217-$L$4+1),SUMIF($L$4:$Z$4,$C217,$L$206:$Z$206)*U$208))</f>
        <v>0</v>
      </c>
      <c r="V217" s="24" cm="1">
        <f t="array" ref="V217">IF(V$4&lt;$C217,0,IF(V$4=$C217,SUMIF($L$4:$Z$4,$C217,$L$206:$Z$206)*INDEX($L$209:$Z$209,$C217-$L$4+1),SUMIF($L$4:$Z$4,$C217,$L$206:$Z$206)*V$208))</f>
        <v>0</v>
      </c>
      <c r="W217" s="24" cm="1">
        <f t="array" ref="W217">IF(W$4&lt;$C217,0,IF(W$4=$C217,SUMIF($L$4:$Z$4,$C217,$L$206:$Z$206)*INDEX($L$209:$Z$209,$C217-$L$4+1),SUMIF($L$4:$Z$4,$C217,$L$206:$Z$206)*W$208))</f>
        <v>0</v>
      </c>
      <c r="X217" s="24" cm="1">
        <f t="array" ref="X217">IF(X$4&lt;$C217,0,IF(X$4=$C217,SUMIF($L$4:$Z$4,$C217,$L$206:$Z$206)*INDEX($L$209:$Z$209,$C217-$L$4+1),SUMIF($L$4:$Z$4,$C217,$L$206:$Z$206)*X$208))</f>
        <v>0</v>
      </c>
      <c r="Y217" s="24" cm="1">
        <f t="array" ref="Y217">IF(Y$4&lt;$C217,0,IF(Y$4=$C217,SUMIF($L$4:$Z$4,$C217,$L$206:$Z$206)*INDEX($L$209:$Z$209,$C217-$L$4+1),SUMIF($L$4:$Z$4,$C217,$L$206:$Z$206)*Y$208))</f>
        <v>0</v>
      </c>
      <c r="Z217" s="24" cm="1">
        <f t="array" ref="Z217">IF(Z$4&lt;$C217,0,IF(Z$4=$C217,SUMIF($L$4:$Z$4,$C217,$L$206:$Z$206)*INDEX($L$209:$Z$209,$C217-$L$4+1),SUMIF($L$4:$Z$4,$C217,$L$206:$Z$206)*Z$208))</f>
        <v>0</v>
      </c>
    </row>
    <row r="218" spans="2:26" ht="15" customHeight="1" outlineLevel="1" x14ac:dyDescent="0.3">
      <c r="C218" s="78" t="s">
        <v>74</v>
      </c>
      <c r="D218" s="78"/>
      <c r="E218" s="93" t="s">
        <v>70</v>
      </c>
      <c r="F218" s="78"/>
      <c r="G218" s="34">
        <f>SUM(G212:G217)</f>
        <v>2539826.8929531374</v>
      </c>
      <c r="H218" s="34"/>
      <c r="I218" s="34"/>
      <c r="J218" s="34">
        <f>SUM(J212:J217)</f>
        <v>838610.8</v>
      </c>
      <c r="K218" s="34"/>
      <c r="L218" s="34">
        <f t="shared" ref="L218:Z218" si="92">SUM(L212:L217)</f>
        <v>0</v>
      </c>
      <c r="M218" s="34">
        <f t="shared" si="92"/>
        <v>0</v>
      </c>
      <c r="N218" s="34">
        <f t="shared" si="92"/>
        <v>0</v>
      </c>
      <c r="O218" s="34">
        <f t="shared" si="92"/>
        <v>0</v>
      </c>
      <c r="P218" s="34">
        <f t="shared" si="92"/>
        <v>0</v>
      </c>
      <c r="Q218" s="34">
        <f t="shared" si="92"/>
        <v>838610.8</v>
      </c>
      <c r="R218" s="34">
        <f t="shared" si="92"/>
        <v>0</v>
      </c>
      <c r="S218" s="34">
        <f t="shared" si="92"/>
        <v>0</v>
      </c>
      <c r="T218" s="34">
        <f t="shared" si="92"/>
        <v>0</v>
      </c>
      <c r="U218" s="34">
        <f t="shared" si="92"/>
        <v>0</v>
      </c>
      <c r="V218" s="34">
        <f t="shared" si="92"/>
        <v>0</v>
      </c>
      <c r="W218" s="34">
        <f t="shared" si="92"/>
        <v>0</v>
      </c>
      <c r="X218" s="34">
        <f t="shared" si="92"/>
        <v>0</v>
      </c>
      <c r="Y218" s="34">
        <f t="shared" si="92"/>
        <v>0</v>
      </c>
      <c r="Z218" s="34">
        <f t="shared" si="92"/>
        <v>0</v>
      </c>
    </row>
    <row r="219" spans="2:26" ht="15" customHeight="1" x14ac:dyDescent="0.3"/>
    <row r="220" spans="2:26" ht="15" customHeight="1" x14ac:dyDescent="0.3">
      <c r="B220" s="77" t="s">
        <v>5</v>
      </c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2:26" ht="15" customHeight="1" outlineLevel="1" x14ac:dyDescent="0.3">
      <c r="E221" s="8"/>
    </row>
    <row r="222" spans="2:26" ht="15" customHeight="1" outlineLevel="1" x14ac:dyDescent="0.3">
      <c r="B222" s="82" t="s">
        <v>5</v>
      </c>
      <c r="C222" s="82"/>
      <c r="D222" s="82"/>
      <c r="E222" s="83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2:26" ht="15" customHeight="1" outlineLevel="1" x14ac:dyDescent="0.3">
      <c r="C223" s="84" t="str">
        <f>C302</f>
        <v>VOCO Hotel</v>
      </c>
      <c r="D223" s="161">
        <v>1</v>
      </c>
      <c r="J223" s="23">
        <f>SUM(L223:Z223)</f>
        <v>5814328.8520875061</v>
      </c>
      <c r="K223" s="19"/>
      <c r="L223" s="23">
        <f t="shared" ref="L223:Z223" si="93">L319</f>
        <v>0</v>
      </c>
      <c r="M223" s="23">
        <f t="shared" si="93"/>
        <v>323867.37000000005</v>
      </c>
      <c r="N223" s="23">
        <f t="shared" si="93"/>
        <v>336217.37000000017</v>
      </c>
      <c r="O223" s="23">
        <f t="shared" si="93"/>
        <v>348567.37000000005</v>
      </c>
      <c r="P223" s="23">
        <f t="shared" si="93"/>
        <v>362217.37000000011</v>
      </c>
      <c r="Q223" s="23">
        <f t="shared" si="93"/>
        <v>377617.37000000017</v>
      </c>
      <c r="R223" s="23">
        <f t="shared" si="93"/>
        <v>400216.51029168075</v>
      </c>
      <c r="S223" s="23">
        <f t="shared" si="93"/>
        <v>412223.00560043112</v>
      </c>
      <c r="T223" s="23">
        <f t="shared" si="93"/>
        <v>424589.69576844398</v>
      </c>
      <c r="U223" s="23">
        <f t="shared" si="93"/>
        <v>437327.38664149726</v>
      </c>
      <c r="V223" s="23">
        <f t="shared" si="93"/>
        <v>450447.20824074215</v>
      </c>
      <c r="W223" s="23">
        <f t="shared" si="93"/>
        <v>463960.62448796479</v>
      </c>
      <c r="X223" s="23">
        <f t="shared" si="93"/>
        <v>477879.44322260359</v>
      </c>
      <c r="Y223" s="23">
        <f t="shared" si="93"/>
        <v>492215.82651928131</v>
      </c>
      <c r="Z223" s="23">
        <f t="shared" si="93"/>
        <v>506982.30131486047</v>
      </c>
    </row>
    <row r="224" spans="2:26" ht="15" customHeight="1" outlineLevel="1" x14ac:dyDescent="0.3">
      <c r="C224" s="84" t="str">
        <f>C228</f>
        <v>Residential Tower 01</v>
      </c>
      <c r="D224" s="161">
        <v>2</v>
      </c>
      <c r="J224" s="23">
        <f>SUM(L224:Z224)</f>
        <v>998402.50034685014</v>
      </c>
      <c r="K224" s="19"/>
      <c r="L224" s="23">
        <f t="shared" ref="L224:Z224" si="94">L267</f>
        <v>0</v>
      </c>
      <c r="M224" s="23">
        <f t="shared" si="94"/>
        <v>0</v>
      </c>
      <c r="N224" s="23">
        <f t="shared" si="94"/>
        <v>0</v>
      </c>
      <c r="O224" s="23">
        <f t="shared" si="94"/>
        <v>0</v>
      </c>
      <c r="P224" s="23">
        <f t="shared" si="94"/>
        <v>50085.648073760967</v>
      </c>
      <c r="Q224" s="23">
        <f t="shared" si="94"/>
        <v>59495.900492874891</v>
      </c>
      <c r="R224" s="23">
        <f t="shared" si="94"/>
        <v>78346.310484478177</v>
      </c>
      <c r="S224" s="23">
        <f t="shared" si="94"/>
        <v>91332.947305411581</v>
      </c>
      <c r="T224" s="23">
        <f t="shared" si="94"/>
        <v>93815.905845545029</v>
      </c>
      <c r="U224" s="23">
        <f t="shared" si="94"/>
        <v>96630.383020911395</v>
      </c>
      <c r="V224" s="23">
        <f t="shared" si="94"/>
        <v>99529.294511538741</v>
      </c>
      <c r="W224" s="23">
        <f t="shared" si="94"/>
        <v>102796.0368355065</v>
      </c>
      <c r="X224" s="23">
        <f t="shared" si="94"/>
        <v>105590.62854729142</v>
      </c>
      <c r="Y224" s="23">
        <f t="shared" si="94"/>
        <v>108758.34740371018</v>
      </c>
      <c r="Z224" s="23">
        <f t="shared" si="94"/>
        <v>112021.09782582149</v>
      </c>
    </row>
    <row r="225" spans="1:26" ht="15" customHeight="1" outlineLevel="1" x14ac:dyDescent="0.3">
      <c r="C225" s="84" t="str">
        <f>C269</f>
        <v>Hotel 01 - 336 Keys</v>
      </c>
      <c r="D225" s="161">
        <v>2</v>
      </c>
      <c r="J225" s="23">
        <f>SUM(L225:Z225)</f>
        <v>970246.362680258</v>
      </c>
      <c r="K225" s="19"/>
      <c r="L225" s="23">
        <f t="shared" ref="L225:Z225" si="95">L298</f>
        <v>0</v>
      </c>
      <c r="M225" s="23">
        <f t="shared" si="95"/>
        <v>0</v>
      </c>
      <c r="N225" s="23">
        <f t="shared" si="95"/>
        <v>0</v>
      </c>
      <c r="O225" s="23">
        <f t="shared" si="95"/>
        <v>0</v>
      </c>
      <c r="P225" s="23">
        <f t="shared" si="95"/>
        <v>60561.715701122994</v>
      </c>
      <c r="Q225" s="23">
        <f t="shared" si="95"/>
        <v>68319.383093314464</v>
      </c>
      <c r="R225" s="23">
        <f t="shared" si="95"/>
        <v>77252.885034755484</v>
      </c>
      <c r="S225" s="23">
        <f t="shared" si="95"/>
        <v>86108.351917640903</v>
      </c>
      <c r="T225" s="23">
        <f t="shared" si="95"/>
        <v>88449.275692451061</v>
      </c>
      <c r="U225" s="23">
        <f t="shared" si="95"/>
        <v>91102.753963224604</v>
      </c>
      <c r="V225" s="23">
        <f t="shared" si="95"/>
        <v>93835.836582121323</v>
      </c>
      <c r="W225" s="23">
        <f t="shared" si="95"/>
        <v>96915.708697885202</v>
      </c>
      <c r="X225" s="23">
        <f t="shared" si="95"/>
        <v>99550.439029972506</v>
      </c>
      <c r="Y225" s="23">
        <f t="shared" si="95"/>
        <v>102536.95220087167</v>
      </c>
      <c r="Z225" s="23">
        <f t="shared" si="95"/>
        <v>105613.06076689782</v>
      </c>
    </row>
    <row r="226" spans="1:26" ht="15" customHeight="1" outlineLevel="1" x14ac:dyDescent="0.3">
      <c r="C226" s="78" t="s">
        <v>183</v>
      </c>
      <c r="D226" s="78"/>
      <c r="E226" s="79"/>
      <c r="F226" s="78"/>
      <c r="G226" s="78"/>
      <c r="H226" s="78"/>
      <c r="I226" s="78"/>
      <c r="J226" s="160">
        <f>SUM(J223:J225)</f>
        <v>7782977.715114614</v>
      </c>
      <c r="K226" s="25"/>
      <c r="L226" s="160">
        <f t="shared" ref="L226:Z226" si="96">SUM(L223:L225)</f>
        <v>0</v>
      </c>
      <c r="M226" s="160">
        <f t="shared" si="96"/>
        <v>323867.37000000005</v>
      </c>
      <c r="N226" s="160">
        <f t="shared" si="96"/>
        <v>336217.37000000017</v>
      </c>
      <c r="O226" s="160">
        <f t="shared" si="96"/>
        <v>348567.37000000005</v>
      </c>
      <c r="P226" s="160">
        <f t="shared" si="96"/>
        <v>472864.73377488408</v>
      </c>
      <c r="Q226" s="160">
        <f t="shared" si="96"/>
        <v>505432.65358618955</v>
      </c>
      <c r="R226" s="160">
        <f t="shared" si="96"/>
        <v>555815.7058109144</v>
      </c>
      <c r="S226" s="160">
        <f t="shared" si="96"/>
        <v>589664.30482348357</v>
      </c>
      <c r="T226" s="160">
        <f t="shared" si="96"/>
        <v>606854.87730644003</v>
      </c>
      <c r="U226" s="160">
        <f t="shared" si="96"/>
        <v>625060.52362563321</v>
      </c>
      <c r="V226" s="160">
        <f t="shared" si="96"/>
        <v>643812.33933440223</v>
      </c>
      <c r="W226" s="160">
        <f t="shared" si="96"/>
        <v>663672.37002135639</v>
      </c>
      <c r="X226" s="160">
        <f t="shared" si="96"/>
        <v>683020.51079986757</v>
      </c>
      <c r="Y226" s="160">
        <f t="shared" si="96"/>
        <v>703511.12612386316</v>
      </c>
      <c r="Z226" s="160">
        <f t="shared" si="96"/>
        <v>724616.45990757982</v>
      </c>
    </row>
    <row r="227" spans="1:26" ht="15" customHeight="1" outlineLevel="1" x14ac:dyDescent="0.3">
      <c r="B227" s="38"/>
      <c r="C227" s="38"/>
      <c r="D227" s="38"/>
      <c r="E227" s="96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5" customHeight="1" outlineLevel="1" x14ac:dyDescent="0.3">
      <c r="B228" s="97"/>
      <c r="C228" s="97" t="s">
        <v>91</v>
      </c>
      <c r="D228" s="162">
        <v>2</v>
      </c>
      <c r="E228" s="98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spans="1:26" ht="15" customHeight="1" outlineLevel="1" x14ac:dyDescent="0.3">
      <c r="B229" s="38"/>
      <c r="C229" s="38"/>
      <c r="D229" s="38"/>
      <c r="E229" s="96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5" customHeight="1" outlineLevel="1" x14ac:dyDescent="0.3">
      <c r="B230" s="38"/>
      <c r="C230" s="99" t="s">
        <v>153</v>
      </c>
      <c r="D230" s="38"/>
      <c r="E230" s="96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5" customHeight="1" outlineLevel="1" x14ac:dyDescent="0.3">
      <c r="B231" s="38"/>
      <c r="C231" s="38" t="s">
        <v>155</v>
      </c>
      <c r="D231" s="38"/>
      <c r="E231" s="96" t="s">
        <v>148</v>
      </c>
      <c r="F231" s="38"/>
      <c r="G231" s="416">
        <v>2029</v>
      </c>
      <c r="H231" s="38"/>
      <c r="I231" s="38"/>
      <c r="J231" s="38"/>
      <c r="K231" s="38"/>
      <c r="L231" s="169">
        <f t="shared" ref="L231:Z231" si="97">IF(L4&gt;=$G231,K231+1,0)</f>
        <v>0</v>
      </c>
      <c r="M231" s="169">
        <f t="shared" si="97"/>
        <v>0</v>
      </c>
      <c r="N231" s="169">
        <f t="shared" si="97"/>
        <v>0</v>
      </c>
      <c r="O231" s="169">
        <f t="shared" si="97"/>
        <v>0</v>
      </c>
      <c r="P231" s="169">
        <f t="shared" si="97"/>
        <v>1</v>
      </c>
      <c r="Q231" s="169">
        <f t="shared" si="97"/>
        <v>2</v>
      </c>
      <c r="R231" s="169">
        <f t="shared" si="97"/>
        <v>3</v>
      </c>
      <c r="S231" s="169">
        <f t="shared" si="97"/>
        <v>4</v>
      </c>
      <c r="T231" s="169">
        <f t="shared" si="97"/>
        <v>5</v>
      </c>
      <c r="U231" s="169">
        <f t="shared" si="97"/>
        <v>6</v>
      </c>
      <c r="V231" s="169">
        <f t="shared" si="97"/>
        <v>7</v>
      </c>
      <c r="W231" s="169">
        <f t="shared" si="97"/>
        <v>8</v>
      </c>
      <c r="X231" s="169">
        <f t="shared" si="97"/>
        <v>9</v>
      </c>
      <c r="Y231" s="169">
        <f t="shared" si="97"/>
        <v>10</v>
      </c>
      <c r="Z231" s="169">
        <f t="shared" si="97"/>
        <v>11</v>
      </c>
    </row>
    <row r="232" spans="1:26" ht="15" customHeight="1" outlineLevel="1" x14ac:dyDescent="0.3">
      <c r="B232" s="38"/>
      <c r="C232" s="38" t="s">
        <v>156</v>
      </c>
      <c r="D232" s="38"/>
      <c r="E232" s="96" t="s">
        <v>161</v>
      </c>
      <c r="F232" s="38"/>
      <c r="G232" s="168">
        <v>365</v>
      </c>
      <c r="H232" s="38"/>
      <c r="I232" s="38"/>
      <c r="J232" s="38"/>
      <c r="K232" s="38"/>
      <c r="L232" s="169">
        <f t="shared" ref="L232:R232" si="98">IF(L231&gt;0,$G232,0)</f>
        <v>0</v>
      </c>
      <c r="M232" s="169">
        <f t="shared" si="98"/>
        <v>0</v>
      </c>
      <c r="N232" s="169">
        <f t="shared" si="98"/>
        <v>0</v>
      </c>
      <c r="O232" s="169">
        <f t="shared" si="98"/>
        <v>0</v>
      </c>
      <c r="P232" s="169">
        <f t="shared" si="98"/>
        <v>365</v>
      </c>
      <c r="Q232" s="169">
        <f t="shared" si="98"/>
        <v>365</v>
      </c>
      <c r="R232" s="169">
        <f t="shared" si="98"/>
        <v>365</v>
      </c>
      <c r="S232" s="170">
        <v>366</v>
      </c>
      <c r="T232" s="169">
        <f>IF(T231&gt;0,$G232,0)</f>
        <v>365</v>
      </c>
      <c r="U232" s="169">
        <f>IF(U231&gt;0,$G232,0)</f>
        <v>365</v>
      </c>
      <c r="V232" s="169">
        <f>IF(V231&gt;0,$G232,0)</f>
        <v>365</v>
      </c>
      <c r="W232" s="170">
        <v>366</v>
      </c>
      <c r="X232" s="169">
        <f>IF(X231&gt;0,$G232,0)</f>
        <v>365</v>
      </c>
      <c r="Y232" s="169">
        <f>IF(Y231&gt;0,$G232,0)</f>
        <v>365</v>
      </c>
      <c r="Z232" s="169">
        <f>IF(Z231&gt;0,$G232,0)</f>
        <v>365</v>
      </c>
    </row>
    <row r="233" spans="1:26" ht="15" customHeight="1" outlineLevel="1" x14ac:dyDescent="0.3">
      <c r="B233" s="38"/>
      <c r="C233" s="99" t="s">
        <v>147</v>
      </c>
      <c r="D233" s="38"/>
      <c r="E233" s="96" t="s">
        <v>68</v>
      </c>
      <c r="F233" s="38"/>
      <c r="G233" s="39">
        <v>0.03</v>
      </c>
      <c r="H233" s="38"/>
      <c r="I233" s="38"/>
      <c r="J233" s="38"/>
      <c r="K233" s="38"/>
      <c r="L233" s="51">
        <f t="shared" ref="L233:Z233" si="99">IF(L231&gt;0,IF(L$6&gt;0,(1+$G233)^L$6,0),0)</f>
        <v>0</v>
      </c>
      <c r="M233" s="51">
        <f t="shared" si="99"/>
        <v>0</v>
      </c>
      <c r="N233" s="51">
        <f t="shared" si="99"/>
        <v>0</v>
      </c>
      <c r="O233" s="51">
        <f t="shared" si="99"/>
        <v>0</v>
      </c>
      <c r="P233" s="51">
        <f t="shared" si="99"/>
        <v>1.1592740742999998</v>
      </c>
      <c r="Q233" s="51">
        <f t="shared" si="99"/>
        <v>1.1940522965289999</v>
      </c>
      <c r="R233" s="51">
        <f t="shared" si="99"/>
        <v>1.22987386542487</v>
      </c>
      <c r="S233" s="51">
        <f t="shared" si="99"/>
        <v>1.2667700813876159</v>
      </c>
      <c r="T233" s="51">
        <f t="shared" si="99"/>
        <v>1.3047731838292445</v>
      </c>
      <c r="U233" s="51">
        <f t="shared" si="99"/>
        <v>1.3439163793441218</v>
      </c>
      <c r="V233" s="51">
        <f t="shared" si="99"/>
        <v>1.3842338707244455</v>
      </c>
      <c r="W233" s="51">
        <f t="shared" si="99"/>
        <v>1.4257608868461786</v>
      </c>
      <c r="X233" s="51">
        <f t="shared" si="99"/>
        <v>1.4685337134515639</v>
      </c>
      <c r="Y233" s="51">
        <f t="shared" si="99"/>
        <v>1.512589724855111</v>
      </c>
      <c r="Z233" s="51">
        <f t="shared" si="99"/>
        <v>1.5579674166007644</v>
      </c>
    </row>
    <row r="234" spans="1:26" ht="15" customHeight="1" outlineLevel="1" x14ac:dyDescent="0.3">
      <c r="B234" s="38"/>
      <c r="C234" s="100" t="s">
        <v>160</v>
      </c>
      <c r="D234" s="38"/>
      <c r="E234" s="96" t="s">
        <v>68</v>
      </c>
      <c r="F234" s="38"/>
      <c r="G234" s="39"/>
      <c r="H234" s="38"/>
      <c r="I234" s="38"/>
      <c r="J234" s="38"/>
      <c r="K234" s="38"/>
      <c r="L234" s="40">
        <v>0</v>
      </c>
      <c r="M234" s="40">
        <v>0</v>
      </c>
      <c r="N234" s="40">
        <v>0</v>
      </c>
      <c r="O234" s="40">
        <v>0</v>
      </c>
      <c r="P234" s="40">
        <v>0.3</v>
      </c>
      <c r="Q234" s="40">
        <v>0.35</v>
      </c>
      <c r="R234" s="40">
        <v>0.4</v>
      </c>
      <c r="S234" s="40">
        <v>0.45</v>
      </c>
      <c r="T234" s="40">
        <v>0.45</v>
      </c>
      <c r="U234" s="40">
        <v>0.45</v>
      </c>
      <c r="V234" s="40">
        <v>0.45</v>
      </c>
      <c r="W234" s="40">
        <v>0.45</v>
      </c>
      <c r="X234" s="40">
        <v>0.45</v>
      </c>
      <c r="Y234" s="40">
        <v>0.45</v>
      </c>
      <c r="Z234" s="40">
        <v>0.45</v>
      </c>
    </row>
    <row r="235" spans="1:26" ht="15" customHeight="1" outlineLevel="1" x14ac:dyDescent="0.3">
      <c r="B235" s="38"/>
      <c r="C235" s="38" t="s">
        <v>163</v>
      </c>
      <c r="D235" s="38"/>
      <c r="E235" s="96" t="s">
        <v>68</v>
      </c>
      <c r="F235" s="38"/>
      <c r="G235" s="39">
        <v>0.08</v>
      </c>
      <c r="H235" s="38"/>
      <c r="I235" s="38"/>
      <c r="J235" s="38"/>
      <c r="K235" s="38"/>
      <c r="L235" s="41">
        <f t="shared" ref="L235:Z235" si="100">IF(L231&gt;0,$G$235,0)</f>
        <v>0</v>
      </c>
      <c r="M235" s="41">
        <f t="shared" si="100"/>
        <v>0</v>
      </c>
      <c r="N235" s="41">
        <f t="shared" si="100"/>
        <v>0</v>
      </c>
      <c r="O235" s="41">
        <f t="shared" si="100"/>
        <v>0</v>
      </c>
      <c r="P235" s="41">
        <f t="shared" si="100"/>
        <v>0.08</v>
      </c>
      <c r="Q235" s="41">
        <f t="shared" si="100"/>
        <v>0.08</v>
      </c>
      <c r="R235" s="41">
        <f t="shared" si="100"/>
        <v>0.08</v>
      </c>
      <c r="S235" s="41">
        <f t="shared" si="100"/>
        <v>0.08</v>
      </c>
      <c r="T235" s="41">
        <f t="shared" si="100"/>
        <v>0.08</v>
      </c>
      <c r="U235" s="41">
        <f t="shared" si="100"/>
        <v>0.08</v>
      </c>
      <c r="V235" s="41">
        <f t="shared" si="100"/>
        <v>0.08</v>
      </c>
      <c r="W235" s="41">
        <f t="shared" si="100"/>
        <v>0.08</v>
      </c>
      <c r="X235" s="41">
        <f t="shared" si="100"/>
        <v>0.08</v>
      </c>
      <c r="Y235" s="41">
        <f t="shared" si="100"/>
        <v>0.08</v>
      </c>
      <c r="Z235" s="41">
        <f t="shared" si="100"/>
        <v>0.08</v>
      </c>
    </row>
    <row r="236" spans="1:26" s="38" customFormat="1" ht="15" customHeight="1" outlineLevel="1" x14ac:dyDescent="0.3">
      <c r="A236" s="8"/>
      <c r="E236" s="96"/>
    </row>
    <row r="237" spans="1:26" s="38" customFormat="1" ht="15" customHeight="1" outlineLevel="1" x14ac:dyDescent="0.3">
      <c r="A237" s="8"/>
      <c r="C237" s="99" t="s">
        <v>159</v>
      </c>
      <c r="D237" s="416">
        <v>2030</v>
      </c>
      <c r="E237" s="96" t="s">
        <v>68</v>
      </c>
      <c r="G237" s="39">
        <f>1-G94/SUM(G86:G88)</f>
        <v>9.6774193548387122E-2</v>
      </c>
      <c r="H237" s="8"/>
    </row>
    <row r="238" spans="1:26" s="38" customFormat="1" ht="15" customHeight="1" outlineLevel="1" x14ac:dyDescent="0.3">
      <c r="A238" s="8"/>
      <c r="C238" s="38" t="s">
        <v>78</v>
      </c>
      <c r="E238" s="96"/>
      <c r="G238" s="169">
        <f>G243-SUM(L91:P91)</f>
        <v>6</v>
      </c>
      <c r="H238" s="44">
        <f>H86</f>
        <v>2590000</v>
      </c>
      <c r="L238" s="44">
        <f t="shared" ref="L238:Z240" si="101">IF(L$4=$D$237,$G238,0)</f>
        <v>0</v>
      </c>
      <c r="M238" s="44">
        <f t="shared" si="101"/>
        <v>0</v>
      </c>
      <c r="N238" s="44">
        <f t="shared" si="101"/>
        <v>0</v>
      </c>
      <c r="O238" s="44">
        <f t="shared" si="101"/>
        <v>0</v>
      </c>
      <c r="P238" s="44">
        <f t="shared" si="101"/>
        <v>0</v>
      </c>
      <c r="Q238" s="44">
        <f t="shared" si="101"/>
        <v>6</v>
      </c>
      <c r="R238" s="44">
        <f t="shared" si="101"/>
        <v>0</v>
      </c>
      <c r="S238" s="44">
        <f t="shared" si="101"/>
        <v>0</v>
      </c>
      <c r="T238" s="44">
        <f t="shared" si="101"/>
        <v>0</v>
      </c>
      <c r="U238" s="44">
        <f t="shared" si="101"/>
        <v>0</v>
      </c>
      <c r="V238" s="44">
        <f t="shared" si="101"/>
        <v>0</v>
      </c>
      <c r="W238" s="44">
        <f t="shared" si="101"/>
        <v>0</v>
      </c>
      <c r="X238" s="44">
        <f t="shared" si="101"/>
        <v>0</v>
      </c>
      <c r="Y238" s="44">
        <f t="shared" si="101"/>
        <v>0</v>
      </c>
      <c r="Z238" s="44">
        <f t="shared" si="101"/>
        <v>0</v>
      </c>
    </row>
    <row r="239" spans="1:26" s="38" customFormat="1" ht="15" customHeight="1" outlineLevel="1" x14ac:dyDescent="0.3">
      <c r="A239" s="8"/>
      <c r="C239" s="38" t="s">
        <v>58</v>
      </c>
      <c r="E239" s="96"/>
      <c r="G239" s="169">
        <f>G244-SUM(L92:P92)</f>
        <v>16</v>
      </c>
      <c r="H239" s="44">
        <f>H87</f>
        <v>2705625</v>
      </c>
      <c r="L239" s="44">
        <f t="shared" si="101"/>
        <v>0</v>
      </c>
      <c r="M239" s="44">
        <f t="shared" si="101"/>
        <v>0</v>
      </c>
      <c r="N239" s="44">
        <f t="shared" si="101"/>
        <v>0</v>
      </c>
      <c r="O239" s="44">
        <f t="shared" si="101"/>
        <v>0</v>
      </c>
      <c r="P239" s="44">
        <f t="shared" si="101"/>
        <v>0</v>
      </c>
      <c r="Q239" s="44">
        <f t="shared" si="101"/>
        <v>16</v>
      </c>
      <c r="R239" s="44">
        <f t="shared" si="101"/>
        <v>0</v>
      </c>
      <c r="S239" s="44">
        <f t="shared" si="101"/>
        <v>0</v>
      </c>
      <c r="T239" s="44">
        <f t="shared" si="101"/>
        <v>0</v>
      </c>
      <c r="U239" s="44">
        <f t="shared" si="101"/>
        <v>0</v>
      </c>
      <c r="V239" s="44">
        <f t="shared" si="101"/>
        <v>0</v>
      </c>
      <c r="W239" s="44">
        <f t="shared" si="101"/>
        <v>0</v>
      </c>
      <c r="X239" s="44">
        <f t="shared" si="101"/>
        <v>0</v>
      </c>
      <c r="Y239" s="44">
        <f t="shared" si="101"/>
        <v>0</v>
      </c>
      <c r="Z239" s="44">
        <f t="shared" si="101"/>
        <v>0</v>
      </c>
    </row>
    <row r="240" spans="1:26" s="38" customFormat="1" ht="15" customHeight="1" outlineLevel="1" x14ac:dyDescent="0.3">
      <c r="A240" s="8"/>
      <c r="C240" s="38" t="s">
        <v>59</v>
      </c>
      <c r="E240" s="96"/>
      <c r="G240" s="169">
        <f>G245-SUM(L93:P93)</f>
        <v>8</v>
      </c>
      <c r="H240" s="44">
        <f>H88</f>
        <v>3933900</v>
      </c>
      <c r="L240" s="44">
        <f t="shared" si="101"/>
        <v>0</v>
      </c>
      <c r="M240" s="44">
        <f t="shared" si="101"/>
        <v>0</v>
      </c>
      <c r="N240" s="44">
        <f t="shared" si="101"/>
        <v>0</v>
      </c>
      <c r="O240" s="44">
        <f t="shared" si="101"/>
        <v>0</v>
      </c>
      <c r="P240" s="44">
        <f t="shared" si="101"/>
        <v>0</v>
      </c>
      <c r="Q240" s="44">
        <f t="shared" si="101"/>
        <v>8</v>
      </c>
      <c r="R240" s="44">
        <f t="shared" si="101"/>
        <v>0</v>
      </c>
      <c r="S240" s="44">
        <f t="shared" si="101"/>
        <v>0</v>
      </c>
      <c r="T240" s="44">
        <f t="shared" si="101"/>
        <v>0</v>
      </c>
      <c r="U240" s="44">
        <f t="shared" si="101"/>
        <v>0</v>
      </c>
      <c r="V240" s="44">
        <f t="shared" si="101"/>
        <v>0</v>
      </c>
      <c r="W240" s="44">
        <f t="shared" si="101"/>
        <v>0</v>
      </c>
      <c r="X240" s="44">
        <f t="shared" si="101"/>
        <v>0</v>
      </c>
      <c r="Y240" s="44">
        <f t="shared" si="101"/>
        <v>0</v>
      </c>
      <c r="Z240" s="44">
        <f t="shared" si="101"/>
        <v>0</v>
      </c>
    </row>
    <row r="241" spans="1:26" s="38" customFormat="1" ht="15" customHeight="1" outlineLevel="1" x14ac:dyDescent="0.3">
      <c r="A241" s="8"/>
      <c r="E241" s="96"/>
    </row>
    <row r="242" spans="1:26" ht="15" customHeight="1" outlineLevel="1" x14ac:dyDescent="0.3">
      <c r="B242" s="38"/>
      <c r="C242" s="99" t="s">
        <v>173</v>
      </c>
      <c r="D242" s="38"/>
      <c r="E242" s="96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472"/>
      <c r="S242" s="38"/>
      <c r="T242" s="38"/>
      <c r="U242" s="38"/>
      <c r="V242" s="38"/>
      <c r="W242" s="38"/>
      <c r="X242" s="38"/>
      <c r="Y242" s="38"/>
      <c r="Z242" s="38"/>
    </row>
    <row r="243" spans="1:26" ht="15" customHeight="1" outlineLevel="1" x14ac:dyDescent="0.3">
      <c r="B243" s="38"/>
      <c r="C243" s="38" t="s">
        <v>78</v>
      </c>
      <c r="D243" s="38"/>
      <c r="E243" s="96" t="s">
        <v>161</v>
      </c>
      <c r="F243" s="38"/>
      <c r="G243" s="171">
        <v>70</v>
      </c>
      <c r="H243" s="38"/>
      <c r="I243" s="38"/>
      <c r="J243" s="38"/>
      <c r="K243" s="38"/>
      <c r="L243" s="44">
        <f t="shared" ref="L243:Z243" si="102">ROUND(IF(L$4&lt;=$D$237,$G243-$G238,$G243)*L$234,0)</f>
        <v>0</v>
      </c>
      <c r="M243" s="44">
        <f t="shared" si="102"/>
        <v>0</v>
      </c>
      <c r="N243" s="44">
        <f t="shared" si="102"/>
        <v>0</v>
      </c>
      <c r="O243" s="44">
        <f t="shared" si="102"/>
        <v>0</v>
      </c>
      <c r="P243" s="44">
        <f t="shared" si="102"/>
        <v>19</v>
      </c>
      <c r="Q243" s="44">
        <f t="shared" si="102"/>
        <v>22</v>
      </c>
      <c r="R243" s="44">
        <f t="shared" si="102"/>
        <v>28</v>
      </c>
      <c r="S243" s="44">
        <f t="shared" si="102"/>
        <v>32</v>
      </c>
      <c r="T243" s="44">
        <f t="shared" si="102"/>
        <v>32</v>
      </c>
      <c r="U243" s="44">
        <f t="shared" si="102"/>
        <v>32</v>
      </c>
      <c r="V243" s="44">
        <f t="shared" si="102"/>
        <v>32</v>
      </c>
      <c r="W243" s="44">
        <f t="shared" si="102"/>
        <v>32</v>
      </c>
      <c r="X243" s="44">
        <f t="shared" si="102"/>
        <v>32</v>
      </c>
      <c r="Y243" s="44">
        <f t="shared" si="102"/>
        <v>32</v>
      </c>
      <c r="Z243" s="44">
        <f t="shared" si="102"/>
        <v>32</v>
      </c>
    </row>
    <row r="244" spans="1:26" ht="15" customHeight="1" outlineLevel="1" x14ac:dyDescent="0.3">
      <c r="B244" s="38"/>
      <c r="C244" s="38" t="s">
        <v>58</v>
      </c>
      <c r="D244" s="38"/>
      <c r="E244" s="96" t="s">
        <v>161</v>
      </c>
      <c r="F244" s="38"/>
      <c r="G244" s="171">
        <v>160</v>
      </c>
      <c r="H244" s="38"/>
      <c r="I244" s="38"/>
      <c r="J244" s="38"/>
      <c r="K244" s="38"/>
      <c r="L244" s="44">
        <f t="shared" ref="L244:Z244" si="103">ROUND(IF(L$4&lt;=$D$237,$G244-$G239,$G244)*L$234,0)</f>
        <v>0</v>
      </c>
      <c r="M244" s="44">
        <f t="shared" si="103"/>
        <v>0</v>
      </c>
      <c r="N244" s="44">
        <f t="shared" si="103"/>
        <v>0</v>
      </c>
      <c r="O244" s="44">
        <f t="shared" si="103"/>
        <v>0</v>
      </c>
      <c r="P244" s="44">
        <f t="shared" si="103"/>
        <v>43</v>
      </c>
      <c r="Q244" s="44">
        <f t="shared" si="103"/>
        <v>50</v>
      </c>
      <c r="R244" s="44">
        <f t="shared" si="103"/>
        <v>64</v>
      </c>
      <c r="S244" s="44">
        <f t="shared" si="103"/>
        <v>72</v>
      </c>
      <c r="T244" s="44">
        <f t="shared" si="103"/>
        <v>72</v>
      </c>
      <c r="U244" s="44">
        <f t="shared" si="103"/>
        <v>72</v>
      </c>
      <c r="V244" s="44">
        <f t="shared" si="103"/>
        <v>72</v>
      </c>
      <c r="W244" s="44">
        <f t="shared" si="103"/>
        <v>72</v>
      </c>
      <c r="X244" s="44">
        <f t="shared" si="103"/>
        <v>72</v>
      </c>
      <c r="Y244" s="44">
        <f t="shared" si="103"/>
        <v>72</v>
      </c>
      <c r="Z244" s="44">
        <f t="shared" si="103"/>
        <v>72</v>
      </c>
    </row>
    <row r="245" spans="1:26" ht="15" customHeight="1" outlineLevel="1" x14ac:dyDescent="0.3">
      <c r="B245" s="38"/>
      <c r="C245" s="38" t="s">
        <v>59</v>
      </c>
      <c r="D245" s="38"/>
      <c r="E245" s="96" t="s">
        <v>161</v>
      </c>
      <c r="F245" s="38"/>
      <c r="G245" s="171">
        <v>80</v>
      </c>
      <c r="H245" s="38"/>
      <c r="I245" s="38"/>
      <c r="J245" s="38"/>
      <c r="K245" s="38"/>
      <c r="L245" s="44">
        <f t="shared" ref="L245:Z245" si="104">ROUND(IF(L$4&lt;=$D$237,$G245-$G240,$G245)*L$234,0)</f>
        <v>0</v>
      </c>
      <c r="M245" s="44">
        <f t="shared" si="104"/>
        <v>0</v>
      </c>
      <c r="N245" s="44">
        <f t="shared" si="104"/>
        <v>0</v>
      </c>
      <c r="O245" s="44">
        <f t="shared" si="104"/>
        <v>0</v>
      </c>
      <c r="P245" s="44">
        <f t="shared" si="104"/>
        <v>22</v>
      </c>
      <c r="Q245" s="44">
        <f t="shared" si="104"/>
        <v>25</v>
      </c>
      <c r="R245" s="44">
        <f t="shared" si="104"/>
        <v>32</v>
      </c>
      <c r="S245" s="44">
        <f t="shared" si="104"/>
        <v>36</v>
      </c>
      <c r="T245" s="44">
        <f t="shared" si="104"/>
        <v>36</v>
      </c>
      <c r="U245" s="44">
        <f t="shared" si="104"/>
        <v>36</v>
      </c>
      <c r="V245" s="44">
        <f t="shared" si="104"/>
        <v>36</v>
      </c>
      <c r="W245" s="44">
        <f t="shared" si="104"/>
        <v>36</v>
      </c>
      <c r="X245" s="44">
        <f t="shared" si="104"/>
        <v>36</v>
      </c>
      <c r="Y245" s="44">
        <f t="shared" si="104"/>
        <v>36</v>
      </c>
      <c r="Z245" s="44">
        <f t="shared" si="104"/>
        <v>36</v>
      </c>
    </row>
    <row r="246" spans="1:26" ht="15" customHeight="1" outlineLevel="1" x14ac:dyDescent="0.3">
      <c r="B246" s="38"/>
      <c r="C246" s="78" t="s">
        <v>174</v>
      </c>
      <c r="D246" s="78"/>
      <c r="E246" s="79" t="s">
        <v>161</v>
      </c>
      <c r="F246" s="78"/>
      <c r="G246" s="34">
        <f>SUM(G243:G245)</f>
        <v>310</v>
      </c>
      <c r="H246" s="34"/>
      <c r="I246" s="34"/>
      <c r="J246" s="34"/>
      <c r="K246" s="34"/>
      <c r="L246" s="34">
        <f t="shared" ref="L246:Z246" si="105">SUM(L243:L245)</f>
        <v>0</v>
      </c>
      <c r="M246" s="34">
        <f t="shared" si="105"/>
        <v>0</v>
      </c>
      <c r="N246" s="34">
        <f t="shared" si="105"/>
        <v>0</v>
      </c>
      <c r="O246" s="34">
        <f t="shared" si="105"/>
        <v>0</v>
      </c>
      <c r="P246" s="34">
        <f t="shared" si="105"/>
        <v>84</v>
      </c>
      <c r="Q246" s="34">
        <f t="shared" si="105"/>
        <v>97</v>
      </c>
      <c r="R246" s="34">
        <f t="shared" si="105"/>
        <v>124</v>
      </c>
      <c r="S246" s="34">
        <f t="shared" si="105"/>
        <v>140</v>
      </c>
      <c r="T246" s="34">
        <f t="shared" si="105"/>
        <v>140</v>
      </c>
      <c r="U246" s="34">
        <f t="shared" si="105"/>
        <v>140</v>
      </c>
      <c r="V246" s="34">
        <f t="shared" si="105"/>
        <v>140</v>
      </c>
      <c r="W246" s="34">
        <f t="shared" si="105"/>
        <v>140</v>
      </c>
      <c r="X246" s="34">
        <f t="shared" si="105"/>
        <v>140</v>
      </c>
      <c r="Y246" s="34">
        <f t="shared" si="105"/>
        <v>140</v>
      </c>
      <c r="Z246" s="34">
        <f t="shared" si="105"/>
        <v>140</v>
      </c>
    </row>
    <row r="247" spans="1:26" ht="15" customHeight="1" outlineLevel="1" x14ac:dyDescent="0.3">
      <c r="B247" s="38"/>
      <c r="C247" s="99"/>
      <c r="D247" s="99"/>
      <c r="E247" s="101"/>
      <c r="F247" s="99"/>
      <c r="G247" s="42"/>
      <c r="H247" s="38"/>
      <c r="I247" s="38"/>
      <c r="J247" s="38"/>
      <c r="K247" s="38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5" customHeight="1" outlineLevel="1" x14ac:dyDescent="0.3">
      <c r="B248" s="38"/>
      <c r="C248" s="99" t="s">
        <v>180</v>
      </c>
      <c r="D248" s="38"/>
      <c r="E248" s="96"/>
      <c r="F248" s="38"/>
      <c r="G248" s="38"/>
      <c r="H248" s="38"/>
      <c r="I248" s="38"/>
      <c r="J248" s="38"/>
      <c r="K248" s="38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5" customHeight="1" outlineLevel="1" x14ac:dyDescent="0.3">
      <c r="B249" s="38"/>
      <c r="C249" s="38" t="s">
        <v>78</v>
      </c>
      <c r="D249" s="38"/>
      <c r="E249" s="96" t="s">
        <v>161</v>
      </c>
      <c r="F249" s="38"/>
      <c r="G249" s="169">
        <f>SUM(L249:Z249)</f>
        <v>118689</v>
      </c>
      <c r="I249" s="38"/>
      <c r="J249" s="38"/>
      <c r="K249" s="38"/>
      <c r="L249" s="44">
        <f t="shared" ref="L249:Z249" si="106">L243*L$232</f>
        <v>0</v>
      </c>
      <c r="M249" s="44">
        <f t="shared" si="106"/>
        <v>0</v>
      </c>
      <c r="N249" s="44">
        <f t="shared" si="106"/>
        <v>0</v>
      </c>
      <c r="O249" s="44">
        <f t="shared" si="106"/>
        <v>0</v>
      </c>
      <c r="P249" s="44">
        <f t="shared" si="106"/>
        <v>6935</v>
      </c>
      <c r="Q249" s="44">
        <f>Q243*Q$232</f>
        <v>8030</v>
      </c>
      <c r="R249" s="44">
        <f t="shared" si="106"/>
        <v>10220</v>
      </c>
      <c r="S249" s="44">
        <f t="shared" si="106"/>
        <v>11712</v>
      </c>
      <c r="T249" s="44">
        <f t="shared" si="106"/>
        <v>11680</v>
      </c>
      <c r="U249" s="44">
        <f t="shared" si="106"/>
        <v>11680</v>
      </c>
      <c r="V249" s="44">
        <f t="shared" si="106"/>
        <v>11680</v>
      </c>
      <c r="W249" s="44">
        <f t="shared" si="106"/>
        <v>11712</v>
      </c>
      <c r="X249" s="44">
        <f t="shared" si="106"/>
        <v>11680</v>
      </c>
      <c r="Y249" s="44">
        <f t="shared" si="106"/>
        <v>11680</v>
      </c>
      <c r="Z249" s="44">
        <f t="shared" si="106"/>
        <v>11680</v>
      </c>
    </row>
    <row r="250" spans="1:26" ht="15" customHeight="1" outlineLevel="1" x14ac:dyDescent="0.3">
      <c r="B250" s="38"/>
      <c r="C250" s="38" t="s">
        <v>58</v>
      </c>
      <c r="D250" s="38"/>
      <c r="E250" s="96" t="s">
        <v>161</v>
      </c>
      <c r="F250" s="38"/>
      <c r="G250" s="169">
        <f>SUM(L250:Z250)</f>
        <v>267689</v>
      </c>
      <c r="I250" s="38"/>
      <c r="J250" s="38"/>
      <c r="K250" s="38"/>
      <c r="L250" s="44">
        <f t="shared" ref="L250:Z250" si="107">L244*L$232</f>
        <v>0</v>
      </c>
      <c r="M250" s="44">
        <f t="shared" si="107"/>
        <v>0</v>
      </c>
      <c r="N250" s="44">
        <f t="shared" si="107"/>
        <v>0</v>
      </c>
      <c r="O250" s="44">
        <f t="shared" si="107"/>
        <v>0</v>
      </c>
      <c r="P250" s="44">
        <f t="shared" si="107"/>
        <v>15695</v>
      </c>
      <c r="Q250" s="44">
        <f t="shared" si="107"/>
        <v>18250</v>
      </c>
      <c r="R250" s="44">
        <f t="shared" si="107"/>
        <v>23360</v>
      </c>
      <c r="S250" s="44">
        <f t="shared" si="107"/>
        <v>26352</v>
      </c>
      <c r="T250" s="44">
        <f t="shared" si="107"/>
        <v>26280</v>
      </c>
      <c r="U250" s="44">
        <f t="shared" si="107"/>
        <v>26280</v>
      </c>
      <c r="V250" s="44">
        <f t="shared" si="107"/>
        <v>26280</v>
      </c>
      <c r="W250" s="44">
        <f t="shared" si="107"/>
        <v>26352</v>
      </c>
      <c r="X250" s="44">
        <f t="shared" si="107"/>
        <v>26280</v>
      </c>
      <c r="Y250" s="44">
        <f t="shared" si="107"/>
        <v>26280</v>
      </c>
      <c r="Z250" s="44">
        <f t="shared" si="107"/>
        <v>26280</v>
      </c>
    </row>
    <row r="251" spans="1:26" ht="15" customHeight="1" outlineLevel="1" x14ac:dyDescent="0.3">
      <c r="B251" s="38"/>
      <c r="C251" s="38" t="s">
        <v>59</v>
      </c>
      <c r="D251" s="38"/>
      <c r="E251" s="96" t="s">
        <v>161</v>
      </c>
      <c r="F251" s="38"/>
      <c r="G251" s="169">
        <f>SUM(L251:Z251)</f>
        <v>134027</v>
      </c>
      <c r="I251" s="38"/>
      <c r="J251" s="38"/>
      <c r="K251" s="38"/>
      <c r="L251" s="44">
        <f t="shared" ref="L251:Z251" si="108">L245*L$232</f>
        <v>0</v>
      </c>
      <c r="M251" s="44">
        <f t="shared" si="108"/>
        <v>0</v>
      </c>
      <c r="N251" s="44">
        <f t="shared" si="108"/>
        <v>0</v>
      </c>
      <c r="O251" s="44">
        <f t="shared" si="108"/>
        <v>0</v>
      </c>
      <c r="P251" s="44">
        <f t="shared" si="108"/>
        <v>8030</v>
      </c>
      <c r="Q251" s="44">
        <f t="shared" si="108"/>
        <v>9125</v>
      </c>
      <c r="R251" s="44">
        <f t="shared" si="108"/>
        <v>11680</v>
      </c>
      <c r="S251" s="44">
        <f t="shared" si="108"/>
        <v>13176</v>
      </c>
      <c r="T251" s="44">
        <f t="shared" si="108"/>
        <v>13140</v>
      </c>
      <c r="U251" s="44">
        <f t="shared" si="108"/>
        <v>13140</v>
      </c>
      <c r="V251" s="44">
        <f t="shared" si="108"/>
        <v>13140</v>
      </c>
      <c r="W251" s="44">
        <f t="shared" si="108"/>
        <v>13176</v>
      </c>
      <c r="X251" s="44">
        <f t="shared" si="108"/>
        <v>13140</v>
      </c>
      <c r="Y251" s="44">
        <f t="shared" si="108"/>
        <v>13140</v>
      </c>
      <c r="Z251" s="44">
        <f t="shared" si="108"/>
        <v>13140</v>
      </c>
    </row>
    <row r="252" spans="1:26" ht="15" customHeight="1" outlineLevel="1" x14ac:dyDescent="0.3">
      <c r="B252" s="38"/>
      <c r="C252" s="78" t="s">
        <v>175</v>
      </c>
      <c r="D252" s="78"/>
      <c r="E252" s="79" t="s">
        <v>161</v>
      </c>
      <c r="F252" s="78"/>
      <c r="G252" s="172">
        <f>SUM(G249:G251)</f>
        <v>520405</v>
      </c>
      <c r="H252" s="34"/>
      <c r="I252" s="34"/>
      <c r="J252" s="29"/>
      <c r="K252" s="29"/>
      <c r="L252" s="34">
        <f t="shared" ref="L252:Z252" si="109">SUM(L249:L251)</f>
        <v>0</v>
      </c>
      <c r="M252" s="34">
        <f t="shared" si="109"/>
        <v>0</v>
      </c>
      <c r="N252" s="34">
        <f t="shared" si="109"/>
        <v>0</v>
      </c>
      <c r="O252" s="34">
        <f t="shared" si="109"/>
        <v>0</v>
      </c>
      <c r="P252" s="34">
        <f t="shared" si="109"/>
        <v>30660</v>
      </c>
      <c r="Q252" s="34">
        <f t="shared" si="109"/>
        <v>35405</v>
      </c>
      <c r="R252" s="34">
        <f t="shared" si="109"/>
        <v>45260</v>
      </c>
      <c r="S252" s="34">
        <f t="shared" si="109"/>
        <v>51240</v>
      </c>
      <c r="T252" s="34">
        <f t="shared" si="109"/>
        <v>51100</v>
      </c>
      <c r="U252" s="34">
        <f t="shared" si="109"/>
        <v>51100</v>
      </c>
      <c r="V252" s="34">
        <f t="shared" si="109"/>
        <v>51100</v>
      </c>
      <c r="W252" s="34">
        <f t="shared" si="109"/>
        <v>51240</v>
      </c>
      <c r="X252" s="34">
        <f t="shared" si="109"/>
        <v>51100</v>
      </c>
      <c r="Y252" s="34">
        <f t="shared" si="109"/>
        <v>51100</v>
      </c>
      <c r="Z252" s="34">
        <f t="shared" si="109"/>
        <v>51100</v>
      </c>
    </row>
    <row r="253" spans="1:26" ht="15" customHeight="1" outlineLevel="1" x14ac:dyDescent="0.3">
      <c r="B253" s="38"/>
      <c r="C253" s="99"/>
      <c r="D253" s="99"/>
      <c r="E253" s="101"/>
      <c r="F253" s="99"/>
      <c r="G253" s="42"/>
      <c r="H253" s="38"/>
      <c r="I253" s="38"/>
      <c r="J253" s="38"/>
      <c r="K253" s="38"/>
      <c r="L253" s="38"/>
      <c r="M253" s="38"/>
      <c r="N253" s="38"/>
      <c r="O253" s="38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5" customHeight="1" outlineLevel="1" x14ac:dyDescent="0.3">
      <c r="B254" s="38"/>
      <c r="C254" s="99" t="s">
        <v>166</v>
      </c>
      <c r="D254" s="99"/>
      <c r="E254" s="101"/>
      <c r="F254" s="99"/>
      <c r="G254" s="42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ht="15" customHeight="1" outlineLevel="1" x14ac:dyDescent="0.3">
      <c r="B255" s="38"/>
      <c r="C255" s="38" t="s">
        <v>78</v>
      </c>
      <c r="D255" s="99"/>
      <c r="E255" s="96" t="s">
        <v>77</v>
      </c>
      <c r="F255" s="99"/>
      <c r="G255" s="171">
        <v>1200</v>
      </c>
      <c r="H255" s="38"/>
      <c r="I255" s="38"/>
      <c r="J255" s="38"/>
      <c r="K255" s="38"/>
      <c r="L255" s="44">
        <f t="shared" ref="L255:Z257" si="110">$G255*L$233</f>
        <v>0</v>
      </c>
      <c r="M255" s="44">
        <f t="shared" si="110"/>
        <v>0</v>
      </c>
      <c r="N255" s="44">
        <f t="shared" si="110"/>
        <v>0</v>
      </c>
      <c r="O255" s="44">
        <f t="shared" si="110"/>
        <v>0</v>
      </c>
      <c r="P255" s="44">
        <f t="shared" si="110"/>
        <v>1391.1288891599997</v>
      </c>
      <c r="Q255" s="44">
        <f t="shared" si="110"/>
        <v>1432.8627558347998</v>
      </c>
      <c r="R255" s="44">
        <f t="shared" si="110"/>
        <v>1475.848638509844</v>
      </c>
      <c r="S255" s="44">
        <f t="shared" si="110"/>
        <v>1520.1240976651391</v>
      </c>
      <c r="T255" s="44">
        <f t="shared" si="110"/>
        <v>1565.7278205950934</v>
      </c>
      <c r="U255" s="44">
        <f t="shared" si="110"/>
        <v>1612.699655212946</v>
      </c>
      <c r="V255" s="44">
        <f t="shared" si="110"/>
        <v>1661.0806448693345</v>
      </c>
      <c r="W255" s="44">
        <f t="shared" si="110"/>
        <v>1710.9130642154144</v>
      </c>
      <c r="X255" s="44">
        <f t="shared" si="110"/>
        <v>1762.2404561418766</v>
      </c>
      <c r="Y255" s="44">
        <f t="shared" si="110"/>
        <v>1815.1076698261331</v>
      </c>
      <c r="Z255" s="44">
        <f t="shared" si="110"/>
        <v>1869.5608999209173</v>
      </c>
    </row>
    <row r="256" spans="1:26" ht="15" customHeight="1" outlineLevel="1" x14ac:dyDescent="0.3">
      <c r="B256" s="38"/>
      <c r="C256" s="38" t="s">
        <v>58</v>
      </c>
      <c r="D256" s="99"/>
      <c r="E256" s="96" t="s">
        <v>77</v>
      </c>
      <c r="F256" s="99"/>
      <c r="G256" s="171">
        <v>1200</v>
      </c>
      <c r="H256" s="38"/>
      <c r="I256" s="38"/>
      <c r="J256" s="38"/>
      <c r="K256" s="38"/>
      <c r="L256" s="44">
        <f t="shared" si="110"/>
        <v>0</v>
      </c>
      <c r="M256" s="44">
        <f t="shared" si="110"/>
        <v>0</v>
      </c>
      <c r="N256" s="44">
        <f t="shared" si="110"/>
        <v>0</v>
      </c>
      <c r="O256" s="44">
        <f t="shared" si="110"/>
        <v>0</v>
      </c>
      <c r="P256" s="44">
        <f t="shared" si="110"/>
        <v>1391.1288891599997</v>
      </c>
      <c r="Q256" s="44">
        <f t="shared" si="110"/>
        <v>1432.8627558347998</v>
      </c>
      <c r="R256" s="44">
        <f t="shared" si="110"/>
        <v>1475.848638509844</v>
      </c>
      <c r="S256" s="44">
        <f t="shared" si="110"/>
        <v>1520.1240976651391</v>
      </c>
      <c r="T256" s="44">
        <f t="shared" si="110"/>
        <v>1565.7278205950934</v>
      </c>
      <c r="U256" s="44">
        <f t="shared" si="110"/>
        <v>1612.699655212946</v>
      </c>
      <c r="V256" s="44">
        <f t="shared" si="110"/>
        <v>1661.0806448693345</v>
      </c>
      <c r="W256" s="44">
        <f t="shared" si="110"/>
        <v>1710.9130642154144</v>
      </c>
      <c r="X256" s="44">
        <f t="shared" si="110"/>
        <v>1762.2404561418766</v>
      </c>
      <c r="Y256" s="44">
        <f t="shared" si="110"/>
        <v>1815.1076698261331</v>
      </c>
      <c r="Z256" s="44">
        <f t="shared" si="110"/>
        <v>1869.5608999209173</v>
      </c>
    </row>
    <row r="257" spans="2:29" ht="15" customHeight="1" outlineLevel="1" x14ac:dyDescent="0.3">
      <c r="B257" s="38"/>
      <c r="C257" s="38" t="s">
        <v>59</v>
      </c>
      <c r="D257" s="99"/>
      <c r="E257" s="96" t="s">
        <v>77</v>
      </c>
      <c r="F257" s="99"/>
      <c r="G257" s="171">
        <v>1600</v>
      </c>
      <c r="H257" s="38"/>
      <c r="I257" s="38"/>
      <c r="J257" s="38"/>
      <c r="K257" s="38"/>
      <c r="L257" s="44">
        <f t="shared" si="110"/>
        <v>0</v>
      </c>
      <c r="M257" s="44">
        <f t="shared" si="110"/>
        <v>0</v>
      </c>
      <c r="N257" s="44">
        <f t="shared" si="110"/>
        <v>0</v>
      </c>
      <c r="O257" s="44">
        <f t="shared" si="110"/>
        <v>0</v>
      </c>
      <c r="P257" s="44">
        <f t="shared" si="110"/>
        <v>1854.8385188799998</v>
      </c>
      <c r="Q257" s="44">
        <f t="shared" si="110"/>
        <v>1910.4836744463998</v>
      </c>
      <c r="R257" s="44">
        <f t="shared" si="110"/>
        <v>1967.798184679792</v>
      </c>
      <c r="S257" s="44">
        <f t="shared" si="110"/>
        <v>2026.8321302201855</v>
      </c>
      <c r="T257" s="44">
        <f t="shared" si="110"/>
        <v>2087.637094126791</v>
      </c>
      <c r="U257" s="44">
        <f t="shared" si="110"/>
        <v>2150.266206950595</v>
      </c>
      <c r="V257" s="44">
        <f t="shared" si="110"/>
        <v>2214.7741931591127</v>
      </c>
      <c r="W257" s="44">
        <f t="shared" si="110"/>
        <v>2281.217418953886</v>
      </c>
      <c r="X257" s="44">
        <f t="shared" si="110"/>
        <v>2349.6539415225025</v>
      </c>
      <c r="Y257" s="44">
        <f t="shared" si="110"/>
        <v>2420.1435597681775</v>
      </c>
      <c r="Z257" s="44">
        <f t="shared" si="110"/>
        <v>2492.747866561223</v>
      </c>
    </row>
    <row r="258" spans="2:29" ht="15" customHeight="1" outlineLevel="1" x14ac:dyDescent="0.3">
      <c r="B258" s="38"/>
      <c r="C258" s="38"/>
      <c r="D258" s="38"/>
      <c r="E258" s="96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45"/>
      <c r="T258" s="38"/>
      <c r="U258" s="38"/>
      <c r="V258" s="38"/>
      <c r="W258" s="38"/>
      <c r="X258" s="38"/>
      <c r="Y258" s="38"/>
      <c r="Z258" s="38"/>
    </row>
    <row r="259" spans="2:29" ht="15" customHeight="1" outlineLevel="1" x14ac:dyDescent="0.3">
      <c r="B259" s="38"/>
      <c r="C259" s="99" t="s">
        <v>176</v>
      </c>
      <c r="D259" s="38"/>
      <c r="E259" s="96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2:29" ht="15" customHeight="1" outlineLevel="1" x14ac:dyDescent="0.3">
      <c r="B260" s="38"/>
      <c r="C260" s="38" t="s">
        <v>78</v>
      </c>
      <c r="D260" s="38"/>
      <c r="E260" s="96" t="s">
        <v>70</v>
      </c>
      <c r="F260" s="38"/>
      <c r="G260" s="38"/>
      <c r="I260" s="38"/>
      <c r="J260" s="46">
        <f>SUM(L260:Z260)</f>
        <v>194223.79937308811</v>
      </c>
      <c r="K260" s="38"/>
      <c r="L260" s="44">
        <f t="shared" ref="L260:Z260" si="111">L249*L255/$G$6</f>
        <v>0</v>
      </c>
      <c r="M260" s="44">
        <f t="shared" si="111"/>
        <v>0</v>
      </c>
      <c r="N260" s="44">
        <f t="shared" si="111"/>
        <v>0</v>
      </c>
      <c r="O260" s="44">
        <f t="shared" si="111"/>
        <v>0</v>
      </c>
      <c r="P260" s="44">
        <f t="shared" si="111"/>
        <v>9647.4788463245986</v>
      </c>
      <c r="Q260" s="44">
        <f t="shared" si="111"/>
        <v>11505.887929353443</v>
      </c>
      <c r="R260" s="44">
        <f t="shared" si="111"/>
        <v>15083.173085570605</v>
      </c>
      <c r="S260" s="44">
        <f t="shared" si="111"/>
        <v>17803.69343185411</v>
      </c>
      <c r="T260" s="44">
        <f t="shared" si="111"/>
        <v>18287.700944550688</v>
      </c>
      <c r="U260" s="44">
        <f t="shared" si="111"/>
        <v>18836.331972887212</v>
      </c>
      <c r="V260" s="44">
        <f t="shared" si="111"/>
        <v>19401.421932073827</v>
      </c>
      <c r="W260" s="44">
        <f t="shared" si="111"/>
        <v>20038.213808090932</v>
      </c>
      <c r="X260" s="44">
        <f t="shared" si="111"/>
        <v>20582.968527737117</v>
      </c>
      <c r="Y260" s="44">
        <f t="shared" si="111"/>
        <v>21200.457583569238</v>
      </c>
      <c r="Z260" s="44">
        <f t="shared" si="111"/>
        <v>21836.471311076315</v>
      </c>
    </row>
    <row r="261" spans="2:29" ht="15" customHeight="1" outlineLevel="1" x14ac:dyDescent="0.3">
      <c r="B261" s="38"/>
      <c r="C261" s="38" t="s">
        <v>58</v>
      </c>
      <c r="D261" s="38"/>
      <c r="E261" s="96" t="s">
        <v>70</v>
      </c>
      <c r="F261" s="38"/>
      <c r="G261" s="38"/>
      <c r="I261" s="38"/>
      <c r="J261" s="46">
        <f>SUM(L261:Z261)</f>
        <v>437930.67130658001</v>
      </c>
      <c r="K261" s="38"/>
      <c r="L261" s="44">
        <f t="shared" ref="L261:Z261" si="112">L250*L256/$G$6</f>
        <v>0</v>
      </c>
      <c r="M261" s="44">
        <f t="shared" si="112"/>
        <v>0</v>
      </c>
      <c r="N261" s="44">
        <f t="shared" si="112"/>
        <v>0</v>
      </c>
      <c r="O261" s="44">
        <f t="shared" si="112"/>
        <v>0</v>
      </c>
      <c r="P261" s="44">
        <f t="shared" si="112"/>
        <v>21833.767915366196</v>
      </c>
      <c r="Q261" s="44">
        <f t="shared" si="112"/>
        <v>26149.745293985099</v>
      </c>
      <c r="R261" s="44">
        <f t="shared" si="112"/>
        <v>34475.824195589958</v>
      </c>
      <c r="S261" s="44">
        <f t="shared" si="112"/>
        <v>40058.310221671745</v>
      </c>
      <c r="T261" s="44">
        <f t="shared" si="112"/>
        <v>41147.327125239055</v>
      </c>
      <c r="U261" s="44">
        <f t="shared" si="112"/>
        <v>42381.746938996221</v>
      </c>
      <c r="V261" s="44">
        <f t="shared" si="112"/>
        <v>43653.199347166112</v>
      </c>
      <c r="W261" s="44">
        <f t="shared" si="112"/>
        <v>45085.981068204594</v>
      </c>
      <c r="X261" s="44">
        <f t="shared" si="112"/>
        <v>46311.679187408517</v>
      </c>
      <c r="Y261" s="44">
        <f t="shared" si="112"/>
        <v>47701.029563030781</v>
      </c>
      <c r="Z261" s="44">
        <f t="shared" si="112"/>
        <v>49132.060449921708</v>
      </c>
    </row>
    <row r="262" spans="2:29" ht="15" customHeight="1" outlineLevel="1" x14ac:dyDescent="0.3">
      <c r="B262" s="38"/>
      <c r="C262" s="38" t="s">
        <v>59</v>
      </c>
      <c r="D262" s="38"/>
      <c r="E262" s="96" t="s">
        <v>70</v>
      </c>
      <c r="F262" s="38"/>
      <c r="G262" s="38"/>
      <c r="I262" s="38"/>
      <c r="J262" s="46">
        <f>SUM(L262:Z262)</f>
        <v>292292.28890074894</v>
      </c>
      <c r="K262" s="38"/>
      <c r="L262" s="44">
        <f t="shared" ref="L262:Z262" si="113">L251*L257/$G$6</f>
        <v>0</v>
      </c>
      <c r="M262" s="44">
        <f t="shared" si="113"/>
        <v>0</v>
      </c>
      <c r="N262" s="44">
        <f t="shared" si="113"/>
        <v>0</v>
      </c>
      <c r="O262" s="44">
        <f t="shared" si="113"/>
        <v>0</v>
      </c>
      <c r="P262" s="44">
        <f t="shared" si="113"/>
        <v>14894.353306606399</v>
      </c>
      <c r="Q262" s="44">
        <f t="shared" si="113"/>
        <v>17433.163529323399</v>
      </c>
      <c r="R262" s="44">
        <f t="shared" si="113"/>
        <v>22983.88279705997</v>
      </c>
      <c r="S262" s="44">
        <f t="shared" si="113"/>
        <v>26705.540147781165</v>
      </c>
      <c r="T262" s="44">
        <f t="shared" si="113"/>
        <v>27431.551416826031</v>
      </c>
      <c r="U262" s="44">
        <f t="shared" si="113"/>
        <v>28254.49795933082</v>
      </c>
      <c r="V262" s="44">
        <f t="shared" si="113"/>
        <v>29102.13289811074</v>
      </c>
      <c r="W262" s="44">
        <f t="shared" si="113"/>
        <v>30057.320712136403</v>
      </c>
      <c r="X262" s="44">
        <f t="shared" si="113"/>
        <v>30874.45279160568</v>
      </c>
      <c r="Y262" s="44">
        <f t="shared" si="113"/>
        <v>31800.686375353853</v>
      </c>
      <c r="Z262" s="44">
        <f t="shared" si="113"/>
        <v>32754.706966614471</v>
      </c>
    </row>
    <row r="263" spans="2:29" ht="15" customHeight="1" outlineLevel="1" x14ac:dyDescent="0.3">
      <c r="B263" s="38"/>
      <c r="C263" s="78" t="s">
        <v>177</v>
      </c>
      <c r="D263" s="78"/>
      <c r="E263" s="79" t="s">
        <v>70</v>
      </c>
      <c r="F263" s="78"/>
      <c r="G263" s="34"/>
      <c r="H263" s="34"/>
      <c r="I263" s="34"/>
      <c r="J263" s="34">
        <f>SUM(J260:J262)</f>
        <v>924446.75958041707</v>
      </c>
      <c r="K263" s="34"/>
      <c r="L263" s="34">
        <f t="shared" ref="L263:Z263" si="114">SUM(L260:L262)</f>
        <v>0</v>
      </c>
      <c r="M263" s="34">
        <f t="shared" si="114"/>
        <v>0</v>
      </c>
      <c r="N263" s="34">
        <f t="shared" si="114"/>
        <v>0</v>
      </c>
      <c r="O263" s="34">
        <f t="shared" si="114"/>
        <v>0</v>
      </c>
      <c r="P263" s="34">
        <f t="shared" si="114"/>
        <v>46375.600068297194</v>
      </c>
      <c r="Q263" s="34">
        <f t="shared" si="114"/>
        <v>55088.79675266194</v>
      </c>
      <c r="R263" s="34">
        <f t="shared" si="114"/>
        <v>72542.880078220536</v>
      </c>
      <c r="S263" s="34">
        <f t="shared" si="114"/>
        <v>84567.543801307023</v>
      </c>
      <c r="T263" s="34">
        <f t="shared" si="114"/>
        <v>86866.579486615767</v>
      </c>
      <c r="U263" s="34">
        <f t="shared" si="114"/>
        <v>89472.57687121426</v>
      </c>
      <c r="V263" s="34">
        <f t="shared" si="114"/>
        <v>92156.754177350682</v>
      </c>
      <c r="W263" s="34">
        <f t="shared" si="114"/>
        <v>95181.515588431939</v>
      </c>
      <c r="X263" s="34">
        <f t="shared" si="114"/>
        <v>97769.100506751318</v>
      </c>
      <c r="Y263" s="34">
        <f t="shared" si="114"/>
        <v>100702.17352195387</v>
      </c>
      <c r="Z263" s="34">
        <f t="shared" si="114"/>
        <v>103723.23872761249</v>
      </c>
    </row>
    <row r="264" spans="2:29" ht="15" customHeight="1" outlineLevel="1" x14ac:dyDescent="0.3">
      <c r="B264" s="38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</row>
    <row r="265" spans="2:29" ht="15" customHeight="1" outlineLevel="1" x14ac:dyDescent="0.3">
      <c r="B265" s="38"/>
      <c r="C265" s="38" t="s">
        <v>179</v>
      </c>
      <c r="E265" s="22" t="s">
        <v>70</v>
      </c>
      <c r="J265" s="47">
        <f>SUM(L265:Z265)</f>
        <v>924446.75958041719</v>
      </c>
      <c r="L265" s="23">
        <f t="shared" ref="L265:Z265" si="115">L263</f>
        <v>0</v>
      </c>
      <c r="M265" s="23">
        <f t="shared" si="115"/>
        <v>0</v>
      </c>
      <c r="N265" s="23">
        <f t="shared" si="115"/>
        <v>0</v>
      </c>
      <c r="O265" s="23">
        <f t="shared" si="115"/>
        <v>0</v>
      </c>
      <c r="P265" s="23">
        <f t="shared" si="115"/>
        <v>46375.600068297194</v>
      </c>
      <c r="Q265" s="23">
        <f t="shared" si="115"/>
        <v>55088.79675266194</v>
      </c>
      <c r="R265" s="23">
        <f t="shared" si="115"/>
        <v>72542.880078220536</v>
      </c>
      <c r="S265" s="23">
        <f t="shared" si="115"/>
        <v>84567.543801307023</v>
      </c>
      <c r="T265" s="23">
        <f t="shared" si="115"/>
        <v>86866.579486615767</v>
      </c>
      <c r="U265" s="23">
        <f t="shared" si="115"/>
        <v>89472.57687121426</v>
      </c>
      <c r="V265" s="23">
        <f t="shared" si="115"/>
        <v>92156.754177350682</v>
      </c>
      <c r="W265" s="23">
        <f t="shared" si="115"/>
        <v>95181.515588431939</v>
      </c>
      <c r="X265" s="23">
        <f t="shared" si="115"/>
        <v>97769.100506751318</v>
      </c>
      <c r="Y265" s="23">
        <f t="shared" si="115"/>
        <v>100702.17352195387</v>
      </c>
      <c r="Z265" s="23">
        <f t="shared" si="115"/>
        <v>103723.23872761249</v>
      </c>
    </row>
    <row r="266" spans="2:29" ht="15" customHeight="1" outlineLevel="1" x14ac:dyDescent="0.3">
      <c r="B266" s="38"/>
      <c r="C266" s="38" t="s">
        <v>158</v>
      </c>
      <c r="E266" s="22" t="s">
        <v>70</v>
      </c>
      <c r="J266" s="47">
        <f>SUM(L266:Z266)</f>
        <v>73955.740766433359</v>
      </c>
      <c r="L266" s="23">
        <f t="shared" ref="L266:Z266" si="116">L263*L235</f>
        <v>0</v>
      </c>
      <c r="M266" s="23">
        <f t="shared" si="116"/>
        <v>0</v>
      </c>
      <c r="N266" s="23">
        <f t="shared" si="116"/>
        <v>0</v>
      </c>
      <c r="O266" s="23">
        <f t="shared" si="116"/>
        <v>0</v>
      </c>
      <c r="P266" s="23">
        <f t="shared" si="116"/>
        <v>3710.0480054637756</v>
      </c>
      <c r="Q266" s="23">
        <f t="shared" si="116"/>
        <v>4407.103740212955</v>
      </c>
      <c r="R266" s="23">
        <f t="shared" si="116"/>
        <v>5803.430406257643</v>
      </c>
      <c r="S266" s="23">
        <f t="shared" si="116"/>
        <v>6765.4035041045618</v>
      </c>
      <c r="T266" s="23">
        <f t="shared" si="116"/>
        <v>6949.3263589292619</v>
      </c>
      <c r="U266" s="23">
        <f t="shared" si="116"/>
        <v>7157.8061496971413</v>
      </c>
      <c r="V266" s="23">
        <f t="shared" si="116"/>
        <v>7372.5403341880547</v>
      </c>
      <c r="W266" s="23">
        <f t="shared" si="116"/>
        <v>7614.5212470745555</v>
      </c>
      <c r="X266" s="23">
        <f t="shared" si="116"/>
        <v>7821.5280405401054</v>
      </c>
      <c r="Y266" s="23">
        <f t="shared" si="116"/>
        <v>8056.17388175631</v>
      </c>
      <c r="Z266" s="23">
        <f t="shared" si="116"/>
        <v>8297.8590982089991</v>
      </c>
    </row>
    <row r="267" spans="2:29" ht="15" customHeight="1" outlineLevel="1" x14ac:dyDescent="0.3">
      <c r="B267" s="38"/>
      <c r="C267" s="49" t="s">
        <v>178</v>
      </c>
      <c r="D267" s="78"/>
      <c r="E267" s="79" t="s">
        <v>70</v>
      </c>
      <c r="F267" s="78"/>
      <c r="G267" s="34"/>
      <c r="H267" s="34"/>
      <c r="I267" s="34"/>
      <c r="J267" s="34">
        <f>SUM(J265:J266)</f>
        <v>998402.5003468506</v>
      </c>
      <c r="K267" s="34"/>
      <c r="L267" s="34">
        <f t="shared" ref="L267:Z267" si="117">SUM(L265:L266)</f>
        <v>0</v>
      </c>
      <c r="M267" s="34">
        <f t="shared" si="117"/>
        <v>0</v>
      </c>
      <c r="N267" s="34">
        <f t="shared" si="117"/>
        <v>0</v>
      </c>
      <c r="O267" s="34">
        <f t="shared" si="117"/>
        <v>0</v>
      </c>
      <c r="P267" s="34">
        <f t="shared" si="117"/>
        <v>50085.648073760967</v>
      </c>
      <c r="Q267" s="34">
        <f t="shared" si="117"/>
        <v>59495.900492874891</v>
      </c>
      <c r="R267" s="34">
        <f t="shared" si="117"/>
        <v>78346.310484478177</v>
      </c>
      <c r="S267" s="34">
        <f t="shared" si="117"/>
        <v>91332.947305411581</v>
      </c>
      <c r="T267" s="34">
        <f t="shared" si="117"/>
        <v>93815.905845545029</v>
      </c>
      <c r="U267" s="34">
        <f t="shared" si="117"/>
        <v>96630.383020911395</v>
      </c>
      <c r="V267" s="34">
        <f t="shared" si="117"/>
        <v>99529.294511538741</v>
      </c>
      <c r="W267" s="34">
        <f t="shared" si="117"/>
        <v>102796.0368355065</v>
      </c>
      <c r="X267" s="34">
        <f t="shared" si="117"/>
        <v>105590.62854729142</v>
      </c>
      <c r="Y267" s="34">
        <f t="shared" si="117"/>
        <v>108758.34740371018</v>
      </c>
      <c r="Z267" s="34">
        <f t="shared" si="117"/>
        <v>112021.09782582149</v>
      </c>
    </row>
    <row r="268" spans="2:29" ht="15" customHeight="1" outlineLevel="1" x14ac:dyDescent="0.3">
      <c r="B268" s="38"/>
      <c r="C268" s="38"/>
    </row>
    <row r="269" spans="2:29" ht="15" customHeight="1" outlineLevel="1" x14ac:dyDescent="0.3">
      <c r="B269" s="97"/>
      <c r="C269" s="97" t="s">
        <v>181</v>
      </c>
      <c r="D269" s="162">
        <v>2</v>
      </c>
      <c r="E269" s="98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spans="2:29" ht="15" customHeight="1" outlineLevel="1" x14ac:dyDescent="0.3">
      <c r="B270" s="38"/>
      <c r="C270" s="38"/>
      <c r="D270" s="38"/>
      <c r="E270" s="96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2:29" ht="15" customHeight="1" outlineLevel="1" x14ac:dyDescent="0.3">
      <c r="B271" s="38"/>
      <c r="C271" s="38" t="s">
        <v>155</v>
      </c>
      <c r="D271" s="38"/>
      <c r="E271" s="96" t="s">
        <v>148</v>
      </c>
      <c r="F271" s="38"/>
      <c r="G271" s="171">
        <v>2029</v>
      </c>
      <c r="H271" s="38"/>
      <c r="I271" s="38"/>
      <c r="J271" s="38"/>
      <c r="K271" s="38"/>
      <c r="L271" s="169">
        <f t="shared" ref="L271:Z271" si="118">IF(L$4&gt;=$G$271,K271+1,0)</f>
        <v>0</v>
      </c>
      <c r="M271" s="169">
        <f t="shared" si="118"/>
        <v>0</v>
      </c>
      <c r="N271" s="169">
        <f t="shared" si="118"/>
        <v>0</v>
      </c>
      <c r="O271" s="169">
        <f t="shared" si="118"/>
        <v>0</v>
      </c>
      <c r="P271" s="169">
        <f t="shared" si="118"/>
        <v>1</v>
      </c>
      <c r="Q271" s="169">
        <f t="shared" si="118"/>
        <v>2</v>
      </c>
      <c r="R271" s="169">
        <f t="shared" si="118"/>
        <v>3</v>
      </c>
      <c r="S271" s="169">
        <f t="shared" si="118"/>
        <v>4</v>
      </c>
      <c r="T271" s="169">
        <f t="shared" si="118"/>
        <v>5</v>
      </c>
      <c r="U271" s="169">
        <f t="shared" si="118"/>
        <v>6</v>
      </c>
      <c r="V271" s="169">
        <f t="shared" si="118"/>
        <v>7</v>
      </c>
      <c r="W271" s="169">
        <f t="shared" si="118"/>
        <v>8</v>
      </c>
      <c r="X271" s="169">
        <f t="shared" si="118"/>
        <v>9</v>
      </c>
      <c r="Y271" s="169">
        <f t="shared" si="118"/>
        <v>10</v>
      </c>
      <c r="Z271" s="169">
        <f t="shared" si="118"/>
        <v>11</v>
      </c>
    </row>
    <row r="272" spans="2:29" ht="15" customHeight="1" outlineLevel="1" x14ac:dyDescent="0.3">
      <c r="B272" s="38"/>
      <c r="C272" s="38" t="s">
        <v>156</v>
      </c>
      <c r="D272" s="38"/>
      <c r="E272" s="96" t="s">
        <v>157</v>
      </c>
      <c r="F272" s="38"/>
      <c r="G272" s="171">
        <v>365</v>
      </c>
      <c r="H272" s="38"/>
      <c r="I272" s="38"/>
      <c r="J272" s="38"/>
      <c r="K272" s="38"/>
      <c r="L272" s="169">
        <f t="shared" ref="L272:R272" si="119">IF(L271&gt;0,$G272,0)</f>
        <v>0</v>
      </c>
      <c r="M272" s="169">
        <f t="shared" si="119"/>
        <v>0</v>
      </c>
      <c r="N272" s="169">
        <f t="shared" si="119"/>
        <v>0</v>
      </c>
      <c r="O272" s="169">
        <f t="shared" si="119"/>
        <v>0</v>
      </c>
      <c r="P272" s="169">
        <f t="shared" si="119"/>
        <v>365</v>
      </c>
      <c r="Q272" s="169">
        <f t="shared" si="119"/>
        <v>365</v>
      </c>
      <c r="R272" s="169">
        <f t="shared" si="119"/>
        <v>365</v>
      </c>
      <c r="S272" s="170">
        <v>366</v>
      </c>
      <c r="T272" s="169">
        <f>IF(T271&gt;0,$G272,0)</f>
        <v>365</v>
      </c>
      <c r="U272" s="169">
        <f>IF(U271&gt;0,$G272,0)</f>
        <v>365</v>
      </c>
      <c r="V272" s="169">
        <f>IF(V271&gt;0,$G272,0)</f>
        <v>365</v>
      </c>
      <c r="W272" s="170">
        <v>366</v>
      </c>
      <c r="X272" s="169">
        <f>IF(X271&gt;0,$G272,0)</f>
        <v>365</v>
      </c>
      <c r="Y272" s="169">
        <f>IF(Y271&gt;0,$G272,0)</f>
        <v>365</v>
      </c>
      <c r="Z272" s="169">
        <f>IF(Z271&gt;0,$G272,0)</f>
        <v>365</v>
      </c>
    </row>
    <row r="273" spans="2:26" ht="15" customHeight="1" outlineLevel="1" x14ac:dyDescent="0.3">
      <c r="B273" s="38"/>
      <c r="C273" s="99" t="s">
        <v>147</v>
      </c>
      <c r="D273" s="38"/>
      <c r="E273" s="96" t="s">
        <v>68</v>
      </c>
      <c r="F273" s="38"/>
      <c r="G273" s="39">
        <v>0.03</v>
      </c>
      <c r="H273" s="46">
        <v>2026</v>
      </c>
      <c r="I273" s="38"/>
      <c r="J273" s="38"/>
      <c r="K273" s="38"/>
      <c r="L273" s="51">
        <f t="shared" ref="L273:Z273" si="120">IF(L271&gt;0,IF(L$6&gt;0,(1+$G273)^(L$6-1),0),0)</f>
        <v>0</v>
      </c>
      <c r="M273" s="51">
        <f t="shared" si="120"/>
        <v>0</v>
      </c>
      <c r="N273" s="51">
        <f t="shared" si="120"/>
        <v>0</v>
      </c>
      <c r="O273" s="51">
        <f t="shared" si="120"/>
        <v>0</v>
      </c>
      <c r="P273" s="51">
        <f t="shared" si="120"/>
        <v>1.1255088099999999</v>
      </c>
      <c r="Q273" s="51">
        <f t="shared" si="120"/>
        <v>1.1592740742999998</v>
      </c>
      <c r="R273" s="51">
        <f t="shared" si="120"/>
        <v>1.1940522965289999</v>
      </c>
      <c r="S273" s="51">
        <f t="shared" si="120"/>
        <v>1.22987386542487</v>
      </c>
      <c r="T273" s="51">
        <f t="shared" si="120"/>
        <v>1.2667700813876159</v>
      </c>
      <c r="U273" s="51">
        <f t="shared" si="120"/>
        <v>1.3047731838292445</v>
      </c>
      <c r="V273" s="51">
        <f t="shared" si="120"/>
        <v>1.3439163793441218</v>
      </c>
      <c r="W273" s="51">
        <f t="shared" si="120"/>
        <v>1.3842338707244455</v>
      </c>
      <c r="X273" s="51">
        <f t="shared" si="120"/>
        <v>1.4257608868461786</v>
      </c>
      <c r="Y273" s="51">
        <f t="shared" si="120"/>
        <v>1.4685337134515639</v>
      </c>
      <c r="Z273" s="51">
        <f t="shared" si="120"/>
        <v>1.512589724855111</v>
      </c>
    </row>
    <row r="274" spans="2:26" ht="15" customHeight="1" outlineLevel="1" x14ac:dyDescent="0.3">
      <c r="B274" s="38"/>
      <c r="C274" s="38" t="s">
        <v>160</v>
      </c>
      <c r="D274" s="38"/>
      <c r="E274" s="96" t="s">
        <v>68</v>
      </c>
      <c r="F274" s="38"/>
      <c r="G274" s="39"/>
      <c r="H274" s="38"/>
      <c r="I274" s="38"/>
      <c r="J274" s="38"/>
      <c r="K274" s="38"/>
      <c r="L274" s="40">
        <v>0</v>
      </c>
      <c r="M274" s="40">
        <v>0</v>
      </c>
      <c r="N274" s="40">
        <v>0</v>
      </c>
      <c r="O274" s="40">
        <v>0</v>
      </c>
      <c r="P274" s="40">
        <v>0.5</v>
      </c>
      <c r="Q274" s="40">
        <v>0.55000000000000004</v>
      </c>
      <c r="R274" s="40">
        <v>0.6</v>
      </c>
      <c r="S274" s="40">
        <v>0.65</v>
      </c>
      <c r="T274" s="40">
        <v>0.65</v>
      </c>
      <c r="U274" s="40">
        <v>0.65</v>
      </c>
      <c r="V274" s="40">
        <v>0.65</v>
      </c>
      <c r="W274" s="40">
        <v>0.65</v>
      </c>
      <c r="X274" s="40">
        <v>0.65</v>
      </c>
      <c r="Y274" s="40">
        <v>0.65</v>
      </c>
      <c r="Z274" s="40">
        <v>0.65</v>
      </c>
    </row>
    <row r="275" spans="2:26" ht="15" customHeight="1" outlineLevel="1" x14ac:dyDescent="0.3">
      <c r="B275" s="38"/>
      <c r="C275" s="38" t="s">
        <v>163</v>
      </c>
      <c r="D275" s="38"/>
      <c r="E275" s="96" t="s">
        <v>68</v>
      </c>
      <c r="F275" s="38"/>
      <c r="G275" s="39">
        <v>0.3</v>
      </c>
      <c r="H275" s="38"/>
      <c r="I275" s="38"/>
      <c r="J275" s="38"/>
      <c r="K275" s="38"/>
      <c r="L275" s="41">
        <f t="shared" ref="L275:Z275" si="121">IF(L271&gt;0,$G$275,0)</f>
        <v>0</v>
      </c>
      <c r="M275" s="41">
        <f t="shared" si="121"/>
        <v>0</v>
      </c>
      <c r="N275" s="41">
        <f t="shared" si="121"/>
        <v>0</v>
      </c>
      <c r="O275" s="41">
        <f t="shared" si="121"/>
        <v>0</v>
      </c>
      <c r="P275" s="41">
        <f t="shared" si="121"/>
        <v>0.3</v>
      </c>
      <c r="Q275" s="41">
        <f t="shared" si="121"/>
        <v>0.3</v>
      </c>
      <c r="R275" s="41">
        <f t="shared" si="121"/>
        <v>0.3</v>
      </c>
      <c r="S275" s="41">
        <f t="shared" si="121"/>
        <v>0.3</v>
      </c>
      <c r="T275" s="41">
        <f t="shared" si="121"/>
        <v>0.3</v>
      </c>
      <c r="U275" s="41">
        <f t="shared" si="121"/>
        <v>0.3</v>
      </c>
      <c r="V275" s="41">
        <f t="shared" si="121"/>
        <v>0.3</v>
      </c>
      <c r="W275" s="41">
        <f t="shared" si="121"/>
        <v>0.3</v>
      </c>
      <c r="X275" s="41">
        <f t="shared" si="121"/>
        <v>0.3</v>
      </c>
      <c r="Y275" s="41">
        <f t="shared" si="121"/>
        <v>0.3</v>
      </c>
      <c r="Z275" s="41">
        <f t="shared" si="121"/>
        <v>0.3</v>
      </c>
    </row>
    <row r="276" spans="2:26" ht="15" customHeight="1" outlineLevel="1" x14ac:dyDescent="0.3">
      <c r="B276" s="38"/>
      <c r="C276" s="38"/>
      <c r="D276" s="38"/>
      <c r="E276" s="96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2:26" ht="15" customHeight="1" outlineLevel="1" x14ac:dyDescent="0.3">
      <c r="B277" s="38"/>
      <c r="C277" s="99" t="s">
        <v>150</v>
      </c>
      <c r="D277" s="38"/>
      <c r="E277" s="96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2:26" ht="15" customHeight="1" outlineLevel="1" x14ac:dyDescent="0.3">
      <c r="B278" s="38"/>
      <c r="C278" s="38" t="s">
        <v>151</v>
      </c>
      <c r="D278" s="38"/>
      <c r="E278" s="96" t="s">
        <v>161</v>
      </c>
      <c r="F278" s="38"/>
      <c r="G278" s="171">
        <v>168</v>
      </c>
      <c r="H278" s="38"/>
      <c r="I278" s="38"/>
      <c r="J278" s="38"/>
      <c r="K278" s="38"/>
      <c r="L278" s="44">
        <f t="shared" ref="L278:Z279" si="122">IF(L$271&gt;0,ROUND($G278*L$274,0),0)</f>
        <v>0</v>
      </c>
      <c r="M278" s="44">
        <f t="shared" si="122"/>
        <v>0</v>
      </c>
      <c r="N278" s="44">
        <f t="shared" si="122"/>
        <v>0</v>
      </c>
      <c r="O278" s="44">
        <f t="shared" si="122"/>
        <v>0</v>
      </c>
      <c r="P278" s="44">
        <f t="shared" si="122"/>
        <v>84</v>
      </c>
      <c r="Q278" s="44">
        <f t="shared" si="122"/>
        <v>92</v>
      </c>
      <c r="R278" s="44">
        <f t="shared" si="122"/>
        <v>101</v>
      </c>
      <c r="S278" s="44">
        <f t="shared" si="122"/>
        <v>109</v>
      </c>
      <c r="T278" s="44">
        <f t="shared" si="122"/>
        <v>109</v>
      </c>
      <c r="U278" s="44">
        <f t="shared" si="122"/>
        <v>109</v>
      </c>
      <c r="V278" s="44">
        <f t="shared" si="122"/>
        <v>109</v>
      </c>
      <c r="W278" s="44">
        <f t="shared" si="122"/>
        <v>109</v>
      </c>
      <c r="X278" s="44">
        <f t="shared" si="122"/>
        <v>109</v>
      </c>
      <c r="Y278" s="44">
        <f t="shared" si="122"/>
        <v>109</v>
      </c>
      <c r="Z278" s="44">
        <f t="shared" si="122"/>
        <v>109</v>
      </c>
    </row>
    <row r="279" spans="2:26" ht="15" customHeight="1" outlineLevel="1" x14ac:dyDescent="0.3">
      <c r="B279" s="38"/>
      <c r="C279" s="38" t="s">
        <v>152</v>
      </c>
      <c r="D279" s="38"/>
      <c r="E279" s="96" t="s">
        <v>161</v>
      </c>
      <c r="F279" s="38"/>
      <c r="G279" s="171">
        <v>168</v>
      </c>
      <c r="H279" s="38"/>
      <c r="I279" s="38"/>
      <c r="J279" s="38"/>
      <c r="K279" s="38"/>
      <c r="L279" s="44">
        <f t="shared" si="122"/>
        <v>0</v>
      </c>
      <c r="M279" s="44">
        <f t="shared" si="122"/>
        <v>0</v>
      </c>
      <c r="N279" s="44">
        <f t="shared" si="122"/>
        <v>0</v>
      </c>
      <c r="O279" s="44">
        <f t="shared" si="122"/>
        <v>0</v>
      </c>
      <c r="P279" s="44">
        <f t="shared" si="122"/>
        <v>84</v>
      </c>
      <c r="Q279" s="44">
        <f t="shared" si="122"/>
        <v>92</v>
      </c>
      <c r="R279" s="44">
        <f t="shared" si="122"/>
        <v>101</v>
      </c>
      <c r="S279" s="44">
        <f t="shared" si="122"/>
        <v>109</v>
      </c>
      <c r="T279" s="44">
        <f t="shared" si="122"/>
        <v>109</v>
      </c>
      <c r="U279" s="44">
        <f t="shared" si="122"/>
        <v>109</v>
      </c>
      <c r="V279" s="44">
        <f t="shared" si="122"/>
        <v>109</v>
      </c>
      <c r="W279" s="44">
        <f t="shared" si="122"/>
        <v>109</v>
      </c>
      <c r="X279" s="44">
        <f t="shared" si="122"/>
        <v>109</v>
      </c>
      <c r="Y279" s="44">
        <f t="shared" si="122"/>
        <v>109</v>
      </c>
      <c r="Z279" s="44">
        <f t="shared" si="122"/>
        <v>109</v>
      </c>
    </row>
    <row r="280" spans="2:26" ht="15" customHeight="1" outlineLevel="1" x14ac:dyDescent="0.3">
      <c r="B280" s="38"/>
      <c r="C280" s="78" t="s">
        <v>174</v>
      </c>
      <c r="D280" s="78"/>
      <c r="E280" s="79" t="s">
        <v>161</v>
      </c>
      <c r="F280" s="78"/>
      <c r="G280" s="173">
        <f>SUM(G278:G279)</f>
        <v>336</v>
      </c>
      <c r="H280" s="34"/>
      <c r="I280" s="34"/>
      <c r="J280" s="34"/>
      <c r="K280" s="34"/>
      <c r="L280" s="34">
        <f t="shared" ref="L280:Z280" si="123">SUM(L278:L279)</f>
        <v>0</v>
      </c>
      <c r="M280" s="34">
        <f t="shared" si="123"/>
        <v>0</v>
      </c>
      <c r="N280" s="34">
        <f t="shared" si="123"/>
        <v>0</v>
      </c>
      <c r="O280" s="34">
        <f t="shared" si="123"/>
        <v>0</v>
      </c>
      <c r="P280" s="34">
        <f t="shared" si="123"/>
        <v>168</v>
      </c>
      <c r="Q280" s="34">
        <f t="shared" si="123"/>
        <v>184</v>
      </c>
      <c r="R280" s="34">
        <f t="shared" si="123"/>
        <v>202</v>
      </c>
      <c r="S280" s="34">
        <f t="shared" si="123"/>
        <v>218</v>
      </c>
      <c r="T280" s="34">
        <f t="shared" si="123"/>
        <v>218</v>
      </c>
      <c r="U280" s="34">
        <f t="shared" si="123"/>
        <v>218</v>
      </c>
      <c r="V280" s="34">
        <f t="shared" si="123"/>
        <v>218</v>
      </c>
      <c r="W280" s="34">
        <f t="shared" si="123"/>
        <v>218</v>
      </c>
      <c r="X280" s="34">
        <f t="shared" si="123"/>
        <v>218</v>
      </c>
      <c r="Y280" s="34">
        <f t="shared" si="123"/>
        <v>218</v>
      </c>
      <c r="Z280" s="34">
        <f t="shared" si="123"/>
        <v>218</v>
      </c>
    </row>
    <row r="281" spans="2:26" ht="15" customHeight="1" outlineLevel="1" x14ac:dyDescent="0.3">
      <c r="B281" s="38"/>
      <c r="C281" s="99"/>
      <c r="D281" s="99"/>
      <c r="E281" s="101"/>
      <c r="F281" s="99"/>
      <c r="G281" s="42"/>
      <c r="H281" s="38"/>
      <c r="I281" s="38"/>
      <c r="J281" s="38"/>
      <c r="K281" s="38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spans="2:26" ht="15" customHeight="1" outlineLevel="1" x14ac:dyDescent="0.3">
      <c r="B282" s="38"/>
      <c r="C282" s="99" t="s">
        <v>184</v>
      </c>
      <c r="D282" s="38"/>
      <c r="E282" s="96"/>
      <c r="F282" s="38"/>
      <c r="G282" s="38"/>
      <c r="H282" s="38"/>
      <c r="I282" s="38"/>
      <c r="J282" s="38"/>
      <c r="K282" s="38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spans="2:26" ht="15" customHeight="1" outlineLevel="1" x14ac:dyDescent="0.3">
      <c r="B283" s="38"/>
      <c r="C283" s="38" t="s">
        <v>151</v>
      </c>
      <c r="D283" s="38"/>
      <c r="E283" s="96" t="s">
        <v>161</v>
      </c>
      <c r="F283" s="38"/>
      <c r="G283" s="169">
        <f>SUM(L283:Z283)</f>
        <v>419603</v>
      </c>
      <c r="I283" s="38"/>
      <c r="J283" s="38"/>
      <c r="K283" s="38"/>
      <c r="L283" s="44">
        <f t="shared" ref="L283:Z283" si="124">L278*L$272</f>
        <v>0</v>
      </c>
      <c r="M283" s="44">
        <f t="shared" si="124"/>
        <v>0</v>
      </c>
      <c r="N283" s="44">
        <f t="shared" si="124"/>
        <v>0</v>
      </c>
      <c r="O283" s="44">
        <f t="shared" si="124"/>
        <v>0</v>
      </c>
      <c r="P283" s="44">
        <f t="shared" si="124"/>
        <v>30660</v>
      </c>
      <c r="Q283" s="44">
        <f t="shared" si="124"/>
        <v>33580</v>
      </c>
      <c r="R283" s="44">
        <f t="shared" si="124"/>
        <v>36865</v>
      </c>
      <c r="S283" s="44">
        <f t="shared" si="124"/>
        <v>39894</v>
      </c>
      <c r="T283" s="44">
        <f t="shared" si="124"/>
        <v>39785</v>
      </c>
      <c r="U283" s="44">
        <f t="shared" si="124"/>
        <v>39785</v>
      </c>
      <c r="V283" s="44">
        <f t="shared" si="124"/>
        <v>39785</v>
      </c>
      <c r="W283" s="44">
        <f t="shared" si="124"/>
        <v>39894</v>
      </c>
      <c r="X283" s="44">
        <f t="shared" si="124"/>
        <v>39785</v>
      </c>
      <c r="Y283" s="44">
        <f t="shared" si="124"/>
        <v>39785</v>
      </c>
      <c r="Z283" s="44">
        <f t="shared" si="124"/>
        <v>39785</v>
      </c>
    </row>
    <row r="284" spans="2:26" ht="15" customHeight="1" outlineLevel="1" x14ac:dyDescent="0.3">
      <c r="B284" s="38"/>
      <c r="C284" s="38" t="s">
        <v>152</v>
      </c>
      <c r="D284" s="38"/>
      <c r="E284" s="96" t="s">
        <v>161</v>
      </c>
      <c r="F284" s="38"/>
      <c r="G284" s="169">
        <f>SUM(L284:Z284)</f>
        <v>419603</v>
      </c>
      <c r="I284" s="38"/>
      <c r="J284" s="38"/>
      <c r="K284" s="38"/>
      <c r="L284" s="44">
        <f t="shared" ref="L284:Z284" si="125">L279*L$272</f>
        <v>0</v>
      </c>
      <c r="M284" s="44">
        <f t="shared" si="125"/>
        <v>0</v>
      </c>
      <c r="N284" s="44">
        <f t="shared" si="125"/>
        <v>0</v>
      </c>
      <c r="O284" s="44">
        <f t="shared" si="125"/>
        <v>0</v>
      </c>
      <c r="P284" s="44">
        <f t="shared" si="125"/>
        <v>30660</v>
      </c>
      <c r="Q284" s="44">
        <f t="shared" si="125"/>
        <v>33580</v>
      </c>
      <c r="R284" s="44">
        <f t="shared" si="125"/>
        <v>36865</v>
      </c>
      <c r="S284" s="44">
        <f t="shared" si="125"/>
        <v>39894</v>
      </c>
      <c r="T284" s="44">
        <f t="shared" si="125"/>
        <v>39785</v>
      </c>
      <c r="U284" s="44">
        <f t="shared" si="125"/>
        <v>39785</v>
      </c>
      <c r="V284" s="44">
        <f t="shared" si="125"/>
        <v>39785</v>
      </c>
      <c r="W284" s="44">
        <f t="shared" si="125"/>
        <v>39894</v>
      </c>
      <c r="X284" s="44">
        <f t="shared" si="125"/>
        <v>39785</v>
      </c>
      <c r="Y284" s="44">
        <f t="shared" si="125"/>
        <v>39785</v>
      </c>
      <c r="Z284" s="44">
        <f t="shared" si="125"/>
        <v>39785</v>
      </c>
    </row>
    <row r="285" spans="2:26" ht="15" customHeight="1" outlineLevel="1" x14ac:dyDescent="0.3">
      <c r="B285" s="38"/>
      <c r="C285" s="78" t="s">
        <v>175</v>
      </c>
      <c r="D285" s="78"/>
      <c r="E285" s="79" t="s">
        <v>161</v>
      </c>
      <c r="F285" s="78"/>
      <c r="G285" s="172">
        <f>SUM(G283:G284)</f>
        <v>839206</v>
      </c>
      <c r="H285" s="34"/>
      <c r="I285" s="34"/>
      <c r="J285" s="29"/>
      <c r="K285" s="29"/>
      <c r="L285" s="34">
        <f t="shared" ref="L285:Z285" si="126">SUM(L283:L284)</f>
        <v>0</v>
      </c>
      <c r="M285" s="34">
        <f t="shared" si="126"/>
        <v>0</v>
      </c>
      <c r="N285" s="34">
        <f t="shared" si="126"/>
        <v>0</v>
      </c>
      <c r="O285" s="34">
        <f t="shared" si="126"/>
        <v>0</v>
      </c>
      <c r="P285" s="34">
        <f t="shared" si="126"/>
        <v>61320</v>
      </c>
      <c r="Q285" s="34">
        <f t="shared" si="126"/>
        <v>67160</v>
      </c>
      <c r="R285" s="34">
        <f t="shared" si="126"/>
        <v>73730</v>
      </c>
      <c r="S285" s="34">
        <f t="shared" si="126"/>
        <v>79788</v>
      </c>
      <c r="T285" s="34">
        <f t="shared" si="126"/>
        <v>79570</v>
      </c>
      <c r="U285" s="34">
        <f t="shared" si="126"/>
        <v>79570</v>
      </c>
      <c r="V285" s="34">
        <f t="shared" si="126"/>
        <v>79570</v>
      </c>
      <c r="W285" s="34">
        <f t="shared" si="126"/>
        <v>79788</v>
      </c>
      <c r="X285" s="34">
        <f t="shared" si="126"/>
        <v>79570</v>
      </c>
      <c r="Y285" s="34">
        <f t="shared" si="126"/>
        <v>79570</v>
      </c>
      <c r="Z285" s="34">
        <f t="shared" si="126"/>
        <v>79570</v>
      </c>
    </row>
    <row r="286" spans="2:26" ht="15" customHeight="1" outlineLevel="1" x14ac:dyDescent="0.3">
      <c r="B286" s="38"/>
      <c r="C286" s="99"/>
      <c r="D286" s="99"/>
      <c r="E286" s="101"/>
      <c r="F286" s="99"/>
      <c r="G286" s="42"/>
      <c r="H286" s="38"/>
      <c r="I286" s="38"/>
      <c r="J286" s="38"/>
      <c r="K286" s="38"/>
      <c r="L286" s="38"/>
      <c r="M286" s="38"/>
      <c r="N286" s="38"/>
      <c r="O286" s="38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spans="2:26" ht="15" customHeight="1" outlineLevel="1" x14ac:dyDescent="0.3">
      <c r="B287" s="38"/>
      <c r="C287" s="99" t="s">
        <v>166</v>
      </c>
      <c r="D287" s="99"/>
      <c r="E287" s="101"/>
      <c r="F287" s="99"/>
      <c r="G287" s="42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2:26" ht="15" customHeight="1" outlineLevel="1" x14ac:dyDescent="0.3">
      <c r="B288" s="38"/>
      <c r="C288" s="38" t="s">
        <v>151</v>
      </c>
      <c r="D288" s="99"/>
      <c r="E288" s="96" t="s">
        <v>185</v>
      </c>
      <c r="F288" s="99"/>
      <c r="G288" s="171">
        <v>750</v>
      </c>
      <c r="H288" s="38"/>
      <c r="I288" s="38"/>
      <c r="J288" s="38"/>
      <c r="K288" s="38"/>
      <c r="L288" s="44">
        <f t="shared" ref="L288:Z289" si="127">$G288*L$273</f>
        <v>0</v>
      </c>
      <c r="M288" s="44">
        <f t="shared" si="127"/>
        <v>0</v>
      </c>
      <c r="N288" s="44">
        <f t="shared" si="127"/>
        <v>0</v>
      </c>
      <c r="O288" s="44">
        <f t="shared" si="127"/>
        <v>0</v>
      </c>
      <c r="P288" s="44">
        <f t="shared" si="127"/>
        <v>844.13160749999997</v>
      </c>
      <c r="Q288" s="44">
        <f t="shared" si="127"/>
        <v>869.45555572499984</v>
      </c>
      <c r="R288" s="44">
        <f t="shared" si="127"/>
        <v>895.53922239674989</v>
      </c>
      <c r="S288" s="44">
        <f t="shared" si="127"/>
        <v>922.40539906865251</v>
      </c>
      <c r="T288" s="44">
        <f t="shared" si="127"/>
        <v>950.077561040712</v>
      </c>
      <c r="U288" s="44">
        <f t="shared" si="127"/>
        <v>978.57988787193335</v>
      </c>
      <c r="V288" s="44">
        <f t="shared" si="127"/>
        <v>1007.9372845080914</v>
      </c>
      <c r="W288" s="44">
        <f t="shared" si="127"/>
        <v>1038.1754030433342</v>
      </c>
      <c r="X288" s="44">
        <f t="shared" si="127"/>
        <v>1069.3206651346341</v>
      </c>
      <c r="Y288" s="44">
        <f t="shared" si="127"/>
        <v>1101.4002850886729</v>
      </c>
      <c r="Z288" s="44">
        <f t="shared" si="127"/>
        <v>1134.4422936413332</v>
      </c>
    </row>
    <row r="289" spans="2:29" ht="15" customHeight="1" outlineLevel="1" x14ac:dyDescent="0.3">
      <c r="B289" s="38"/>
      <c r="C289" s="38" t="s">
        <v>152</v>
      </c>
      <c r="D289" s="99"/>
      <c r="E289" s="96" t="s">
        <v>185</v>
      </c>
      <c r="F289" s="99"/>
      <c r="G289" s="171">
        <v>600</v>
      </c>
      <c r="H289" s="38"/>
      <c r="I289" s="38"/>
      <c r="J289" s="38"/>
      <c r="K289" s="38"/>
      <c r="L289" s="44">
        <f t="shared" si="127"/>
        <v>0</v>
      </c>
      <c r="M289" s="44">
        <f t="shared" si="127"/>
        <v>0</v>
      </c>
      <c r="N289" s="44">
        <f t="shared" si="127"/>
        <v>0</v>
      </c>
      <c r="O289" s="44">
        <f t="shared" si="127"/>
        <v>0</v>
      </c>
      <c r="P289" s="44">
        <f t="shared" si="127"/>
        <v>675.30528599999991</v>
      </c>
      <c r="Q289" s="44">
        <f t="shared" si="127"/>
        <v>695.56444457999987</v>
      </c>
      <c r="R289" s="44">
        <f t="shared" si="127"/>
        <v>716.43137791739991</v>
      </c>
      <c r="S289" s="44">
        <f t="shared" si="127"/>
        <v>737.92431925492201</v>
      </c>
      <c r="T289" s="44">
        <f t="shared" si="127"/>
        <v>760.06204883256953</v>
      </c>
      <c r="U289" s="44">
        <f t="shared" si="127"/>
        <v>782.86391029754668</v>
      </c>
      <c r="V289" s="44">
        <f t="shared" si="127"/>
        <v>806.34982760647301</v>
      </c>
      <c r="W289" s="44">
        <f t="shared" si="127"/>
        <v>830.54032243466725</v>
      </c>
      <c r="X289" s="44">
        <f t="shared" si="127"/>
        <v>855.45653210770718</v>
      </c>
      <c r="Y289" s="44">
        <f t="shared" si="127"/>
        <v>881.12022807093831</v>
      </c>
      <c r="Z289" s="44">
        <f t="shared" si="127"/>
        <v>907.55383491306657</v>
      </c>
    </row>
    <row r="290" spans="2:29" ht="15" customHeight="1" outlineLevel="1" x14ac:dyDescent="0.3">
      <c r="B290" s="38"/>
      <c r="C290" s="38"/>
      <c r="D290" s="38"/>
      <c r="E290" s="96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45"/>
      <c r="T290" s="38"/>
      <c r="U290" s="38"/>
      <c r="V290" s="38"/>
      <c r="W290" s="38"/>
      <c r="X290" s="38"/>
      <c r="Y290" s="38"/>
      <c r="Z290" s="38"/>
    </row>
    <row r="291" spans="2:29" ht="15" customHeight="1" outlineLevel="1" x14ac:dyDescent="0.3">
      <c r="B291" s="38"/>
      <c r="C291" s="99" t="s">
        <v>176</v>
      </c>
      <c r="D291" s="38"/>
      <c r="E291" s="96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2:29" ht="15" customHeight="1" outlineLevel="1" x14ac:dyDescent="0.3">
      <c r="B292" s="38"/>
      <c r="C292" s="38" t="s">
        <v>151</v>
      </c>
      <c r="D292" s="38"/>
      <c r="E292" s="96" t="s">
        <v>70</v>
      </c>
      <c r="F292" s="38"/>
      <c r="G292" s="38"/>
      <c r="I292" s="38"/>
      <c r="J292" s="46">
        <f>SUM(L292:Z292)</f>
        <v>414635.19772660598</v>
      </c>
      <c r="K292" s="38"/>
      <c r="L292" s="44">
        <f t="shared" ref="L292:Z292" si="128">L283*L288/$G$6</f>
        <v>0</v>
      </c>
      <c r="M292" s="44">
        <f t="shared" si="128"/>
        <v>0</v>
      </c>
      <c r="N292" s="44">
        <f t="shared" si="128"/>
        <v>0</v>
      </c>
      <c r="O292" s="44">
        <f t="shared" si="128"/>
        <v>0</v>
      </c>
      <c r="P292" s="44">
        <f t="shared" si="128"/>
        <v>25881.075085949997</v>
      </c>
      <c r="Q292" s="44">
        <f t="shared" si="128"/>
        <v>29196.317561245494</v>
      </c>
      <c r="R292" s="44">
        <f t="shared" si="128"/>
        <v>33014.053433656183</v>
      </c>
      <c r="S292" s="44">
        <f t="shared" si="128"/>
        <v>36798.440990444826</v>
      </c>
      <c r="T292" s="44">
        <f t="shared" si="128"/>
        <v>37798.835766004726</v>
      </c>
      <c r="U292" s="44">
        <f t="shared" si="128"/>
        <v>38932.800838984869</v>
      </c>
      <c r="V292" s="44">
        <f t="shared" si="128"/>
        <v>40100.784864154411</v>
      </c>
      <c r="W292" s="44">
        <f t="shared" si="128"/>
        <v>41416.96952901077</v>
      </c>
      <c r="X292" s="44">
        <f t="shared" si="128"/>
        <v>42542.922662381417</v>
      </c>
      <c r="Y292" s="44">
        <f t="shared" si="128"/>
        <v>43819.210342252853</v>
      </c>
      <c r="Z292" s="44">
        <f t="shared" si="128"/>
        <v>45133.786652520437</v>
      </c>
    </row>
    <row r="293" spans="2:29" ht="15" customHeight="1" outlineLevel="1" x14ac:dyDescent="0.3">
      <c r="B293" s="38"/>
      <c r="C293" s="38" t="s">
        <v>152</v>
      </c>
      <c r="D293" s="38"/>
      <c r="E293" s="96" t="s">
        <v>70</v>
      </c>
      <c r="F293" s="38"/>
      <c r="G293" s="38"/>
      <c r="I293" s="38"/>
      <c r="J293" s="46">
        <f>SUM(L293:Z293)</f>
        <v>331708.15818128473</v>
      </c>
      <c r="K293" s="38"/>
      <c r="L293" s="44">
        <f t="shared" ref="L293:Z293" si="129">L284*L289/$G$6</f>
        <v>0</v>
      </c>
      <c r="M293" s="44">
        <f t="shared" si="129"/>
        <v>0</v>
      </c>
      <c r="N293" s="44">
        <f t="shared" si="129"/>
        <v>0</v>
      </c>
      <c r="O293" s="44">
        <f t="shared" si="129"/>
        <v>0</v>
      </c>
      <c r="P293" s="44">
        <f t="shared" si="129"/>
        <v>20704.860068759997</v>
      </c>
      <c r="Q293" s="44">
        <f t="shared" si="129"/>
        <v>23357.054048996397</v>
      </c>
      <c r="R293" s="44">
        <f t="shared" si="129"/>
        <v>26411.242746924949</v>
      </c>
      <c r="S293" s="44">
        <f t="shared" si="129"/>
        <v>29438.752792355859</v>
      </c>
      <c r="T293" s="44">
        <f t="shared" si="129"/>
        <v>30239.068612803778</v>
      </c>
      <c r="U293" s="44">
        <f t="shared" si="129"/>
        <v>31146.240671187898</v>
      </c>
      <c r="V293" s="44">
        <f t="shared" si="129"/>
        <v>32080.627891323529</v>
      </c>
      <c r="W293" s="44">
        <f t="shared" si="129"/>
        <v>33133.575623208613</v>
      </c>
      <c r="X293" s="44">
        <f t="shared" si="129"/>
        <v>34034.338129905125</v>
      </c>
      <c r="Y293" s="44">
        <f t="shared" si="129"/>
        <v>35055.368273802284</v>
      </c>
      <c r="Z293" s="44">
        <f t="shared" si="129"/>
        <v>36107.029322016351</v>
      </c>
    </row>
    <row r="294" spans="2:29" ht="15" customHeight="1" outlineLevel="1" x14ac:dyDescent="0.3">
      <c r="B294" s="38"/>
      <c r="C294" s="78" t="s">
        <v>177</v>
      </c>
      <c r="D294" s="78"/>
      <c r="E294" s="79" t="s">
        <v>70</v>
      </c>
      <c r="F294" s="78"/>
      <c r="G294" s="34"/>
      <c r="H294" s="34"/>
      <c r="I294" s="34"/>
      <c r="J294" s="34">
        <f>SUM(J292:J293)</f>
        <v>746343.35590789071</v>
      </c>
      <c r="K294" s="34"/>
      <c r="L294" s="34">
        <f t="shared" ref="L294:Z294" si="130">SUM(L292:L293)</f>
        <v>0</v>
      </c>
      <c r="M294" s="34">
        <f t="shared" si="130"/>
        <v>0</v>
      </c>
      <c r="N294" s="34">
        <f t="shared" si="130"/>
        <v>0</v>
      </c>
      <c r="O294" s="34">
        <f t="shared" si="130"/>
        <v>0</v>
      </c>
      <c r="P294" s="34">
        <f t="shared" si="130"/>
        <v>46585.935154709994</v>
      </c>
      <c r="Q294" s="34">
        <f t="shared" si="130"/>
        <v>52553.371610241891</v>
      </c>
      <c r="R294" s="34">
        <f t="shared" si="130"/>
        <v>59425.296180581136</v>
      </c>
      <c r="S294" s="34">
        <f t="shared" si="130"/>
        <v>66237.193782800692</v>
      </c>
      <c r="T294" s="34">
        <f t="shared" si="130"/>
        <v>68037.904378808511</v>
      </c>
      <c r="U294" s="34">
        <f t="shared" si="130"/>
        <v>70079.04151017277</v>
      </c>
      <c r="V294" s="34">
        <f t="shared" si="130"/>
        <v>72181.412755477941</v>
      </c>
      <c r="W294" s="34">
        <f t="shared" si="130"/>
        <v>74550.545152219391</v>
      </c>
      <c r="X294" s="34">
        <f t="shared" si="130"/>
        <v>76577.260792286543</v>
      </c>
      <c r="Y294" s="34">
        <f t="shared" si="130"/>
        <v>78874.578616055136</v>
      </c>
      <c r="Z294" s="34">
        <f t="shared" si="130"/>
        <v>81240.815974536788</v>
      </c>
    </row>
    <row r="295" spans="2:29" ht="15" customHeight="1" outlineLevel="1" x14ac:dyDescent="0.3">
      <c r="B295" s="38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</row>
    <row r="296" spans="2:29" ht="15" customHeight="1" outlineLevel="1" x14ac:dyDescent="0.3">
      <c r="B296" s="38"/>
      <c r="C296" s="38" t="s">
        <v>179</v>
      </c>
      <c r="E296" s="22" t="s">
        <v>70</v>
      </c>
      <c r="J296" s="47">
        <f>SUM(L296:Z296)</f>
        <v>746343.35590789095</v>
      </c>
      <c r="L296" s="23">
        <f t="shared" ref="L296:Z296" si="131">L294</f>
        <v>0</v>
      </c>
      <c r="M296" s="23">
        <f t="shared" si="131"/>
        <v>0</v>
      </c>
      <c r="N296" s="23">
        <f t="shared" si="131"/>
        <v>0</v>
      </c>
      <c r="O296" s="23">
        <f t="shared" si="131"/>
        <v>0</v>
      </c>
      <c r="P296" s="23">
        <f t="shared" si="131"/>
        <v>46585.935154709994</v>
      </c>
      <c r="Q296" s="23">
        <f t="shared" si="131"/>
        <v>52553.371610241891</v>
      </c>
      <c r="R296" s="23">
        <f t="shared" si="131"/>
        <v>59425.296180581136</v>
      </c>
      <c r="S296" s="23">
        <f t="shared" si="131"/>
        <v>66237.193782800692</v>
      </c>
      <c r="T296" s="23">
        <f t="shared" si="131"/>
        <v>68037.904378808511</v>
      </c>
      <c r="U296" s="23">
        <f t="shared" si="131"/>
        <v>70079.04151017277</v>
      </c>
      <c r="V296" s="23">
        <f t="shared" si="131"/>
        <v>72181.412755477941</v>
      </c>
      <c r="W296" s="23">
        <f t="shared" si="131"/>
        <v>74550.545152219391</v>
      </c>
      <c r="X296" s="23">
        <f t="shared" si="131"/>
        <v>76577.260792286543</v>
      </c>
      <c r="Y296" s="23">
        <f t="shared" si="131"/>
        <v>78874.578616055136</v>
      </c>
      <c r="Z296" s="23">
        <f t="shared" si="131"/>
        <v>81240.815974536788</v>
      </c>
    </row>
    <row r="297" spans="2:29" ht="15" customHeight="1" outlineLevel="1" x14ac:dyDescent="0.3">
      <c r="B297" s="38"/>
      <c r="C297" s="38" t="s">
        <v>158</v>
      </c>
      <c r="E297" s="22" t="s">
        <v>70</v>
      </c>
      <c r="J297" s="47">
        <f>SUM(L297:Z297)</f>
        <v>223903.00677236725</v>
      </c>
      <c r="L297" s="23">
        <f t="shared" ref="L297:Z297" si="132">L294*L275</f>
        <v>0</v>
      </c>
      <c r="M297" s="23">
        <f t="shared" si="132"/>
        <v>0</v>
      </c>
      <c r="N297" s="23">
        <f t="shared" si="132"/>
        <v>0</v>
      </c>
      <c r="O297" s="23">
        <f t="shared" si="132"/>
        <v>0</v>
      </c>
      <c r="P297" s="23">
        <f t="shared" si="132"/>
        <v>13975.780546412998</v>
      </c>
      <c r="Q297" s="23">
        <f t="shared" si="132"/>
        <v>15766.011483072567</v>
      </c>
      <c r="R297" s="23">
        <f t="shared" si="132"/>
        <v>17827.588854174341</v>
      </c>
      <c r="S297" s="23">
        <f t="shared" si="132"/>
        <v>19871.158134840207</v>
      </c>
      <c r="T297" s="23">
        <f t="shared" si="132"/>
        <v>20411.371313642554</v>
      </c>
      <c r="U297" s="23">
        <f t="shared" si="132"/>
        <v>21023.71245305183</v>
      </c>
      <c r="V297" s="23">
        <f t="shared" si="132"/>
        <v>21654.423826643382</v>
      </c>
      <c r="W297" s="23">
        <f t="shared" si="132"/>
        <v>22365.163545665815</v>
      </c>
      <c r="X297" s="23">
        <f t="shared" si="132"/>
        <v>22973.178237685963</v>
      </c>
      <c r="Y297" s="23">
        <f t="shared" si="132"/>
        <v>23662.373584816542</v>
      </c>
      <c r="Z297" s="23">
        <f t="shared" si="132"/>
        <v>24372.244792361034</v>
      </c>
    </row>
    <row r="298" spans="2:29" ht="15" customHeight="1" outlineLevel="1" x14ac:dyDescent="0.3">
      <c r="B298" s="38"/>
      <c r="C298" s="49" t="s">
        <v>186</v>
      </c>
      <c r="D298" s="78"/>
      <c r="E298" s="79" t="s">
        <v>70</v>
      </c>
      <c r="F298" s="78"/>
      <c r="G298" s="34"/>
      <c r="H298" s="34"/>
      <c r="I298" s="34"/>
      <c r="J298" s="34">
        <f>SUM(J296:J297)</f>
        <v>970246.36268025823</v>
      </c>
      <c r="K298" s="34"/>
      <c r="L298" s="34">
        <f t="shared" ref="L298:Z298" si="133">SUM(L296:L297)</f>
        <v>0</v>
      </c>
      <c r="M298" s="34">
        <f t="shared" si="133"/>
        <v>0</v>
      </c>
      <c r="N298" s="34">
        <f t="shared" si="133"/>
        <v>0</v>
      </c>
      <c r="O298" s="34">
        <f t="shared" si="133"/>
        <v>0</v>
      </c>
      <c r="P298" s="34">
        <f t="shared" si="133"/>
        <v>60561.715701122994</v>
      </c>
      <c r="Q298" s="34">
        <f t="shared" si="133"/>
        <v>68319.383093314464</v>
      </c>
      <c r="R298" s="34">
        <f t="shared" si="133"/>
        <v>77252.885034755484</v>
      </c>
      <c r="S298" s="34">
        <f t="shared" si="133"/>
        <v>86108.351917640903</v>
      </c>
      <c r="T298" s="34">
        <f t="shared" si="133"/>
        <v>88449.275692451061</v>
      </c>
      <c r="U298" s="34">
        <f t="shared" si="133"/>
        <v>91102.753963224604</v>
      </c>
      <c r="V298" s="34">
        <f t="shared" si="133"/>
        <v>93835.836582121323</v>
      </c>
      <c r="W298" s="34">
        <f t="shared" si="133"/>
        <v>96915.708697885202</v>
      </c>
      <c r="X298" s="34">
        <f t="shared" si="133"/>
        <v>99550.439029972506</v>
      </c>
      <c r="Y298" s="34">
        <f t="shared" si="133"/>
        <v>102536.95220087167</v>
      </c>
      <c r="Z298" s="34">
        <f t="shared" si="133"/>
        <v>105613.06076689782</v>
      </c>
    </row>
    <row r="299" spans="2:29" ht="15" customHeight="1" x14ac:dyDescent="0.3"/>
    <row r="300" spans="2:29" ht="15" customHeight="1" x14ac:dyDescent="0.3">
      <c r="B300" s="102" t="s">
        <v>192</v>
      </c>
      <c r="C300" s="102"/>
      <c r="D300" s="102"/>
      <c r="E300" s="103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spans="2:29" ht="15" customHeight="1" outlineLevel="1" x14ac:dyDescent="0.3">
      <c r="B301" s="38"/>
      <c r="C301" s="38"/>
      <c r="D301" s="38"/>
      <c r="E301" s="96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2:29" ht="15" customHeight="1" outlineLevel="1" x14ac:dyDescent="0.3">
      <c r="B302" s="97"/>
      <c r="C302" s="97" t="s">
        <v>182</v>
      </c>
      <c r="D302" s="162">
        <v>1</v>
      </c>
      <c r="E302" s="98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spans="2:29" ht="15" customHeight="1" outlineLevel="1" x14ac:dyDescent="0.3">
      <c r="B303" s="38"/>
      <c r="C303" s="38"/>
      <c r="D303" s="38"/>
      <c r="E303" s="96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2:29" ht="15" customHeight="1" outlineLevel="1" x14ac:dyDescent="0.3">
      <c r="B304" s="38"/>
      <c r="C304" s="38" t="s">
        <v>155</v>
      </c>
      <c r="D304" s="38"/>
      <c r="E304" s="96" t="s">
        <v>148</v>
      </c>
      <c r="F304" s="38"/>
      <c r="G304" s="174">
        <v>2026</v>
      </c>
      <c r="H304" s="38"/>
      <c r="I304" s="38"/>
      <c r="J304" s="38"/>
      <c r="K304" s="38"/>
      <c r="L304" s="169">
        <f t="shared" ref="L304" si="134">IF(L$4&gt;=$G304,K304+1,0)</f>
        <v>0</v>
      </c>
      <c r="M304" s="169">
        <f t="shared" ref="M304" si="135">IF(M$4&gt;=$G304,L304+1,0)</f>
        <v>1</v>
      </c>
      <c r="N304" s="169">
        <f t="shared" ref="N304" si="136">IF(N$4&gt;=$G304,M304+1,0)</f>
        <v>2</v>
      </c>
      <c r="O304" s="169">
        <f t="shared" ref="O304" si="137">IF(O$4&gt;=$G304,N304+1,0)</f>
        <v>3</v>
      </c>
      <c r="P304" s="169">
        <f t="shared" ref="P304" si="138">IF(P$4&gt;=$G304,O304+1,0)</f>
        <v>4</v>
      </c>
      <c r="Q304" s="169">
        <f t="shared" ref="Q304" si="139">IF(Q$4&gt;=$G304,P304+1,0)</f>
        <v>5</v>
      </c>
      <c r="R304" s="169">
        <f t="shared" ref="R304" si="140">IF(R$4&gt;=$G304,Q304+1,0)</f>
        <v>6</v>
      </c>
      <c r="S304" s="169">
        <f t="shared" ref="S304" si="141">IF(S$4&gt;=$G304,R304+1,0)</f>
        <v>7</v>
      </c>
      <c r="T304" s="169">
        <f t="shared" ref="T304" si="142">IF(T$4&gt;=$G304,S304+1,0)</f>
        <v>8</v>
      </c>
      <c r="U304" s="169">
        <f t="shared" ref="U304" si="143">IF(U$4&gt;=$G304,T304+1,0)</f>
        <v>9</v>
      </c>
      <c r="V304" s="169">
        <f t="shared" ref="V304" si="144">IF(V$4&gt;=$G304,U304+1,0)</f>
        <v>10</v>
      </c>
      <c r="W304" s="169">
        <f t="shared" ref="W304" si="145">IF(W$4&gt;=$G304,V304+1,0)</f>
        <v>11</v>
      </c>
      <c r="X304" s="169">
        <f t="shared" ref="X304" si="146">IF(X$4&gt;=$G304,W304+1,0)</f>
        <v>12</v>
      </c>
      <c r="Y304" s="169">
        <f t="shared" ref="Y304" si="147">IF(Y$4&gt;=$G304,X304+1,0)</f>
        <v>13</v>
      </c>
      <c r="Z304" s="169">
        <f t="shared" ref="Z304" si="148">IF(Z$4&gt;=$G304,Y304+1,0)</f>
        <v>14</v>
      </c>
    </row>
    <row r="305" spans="2:35" ht="15" customHeight="1" outlineLevel="1" x14ac:dyDescent="0.3">
      <c r="B305" s="38"/>
      <c r="C305" s="38" t="s">
        <v>160</v>
      </c>
      <c r="D305" s="38"/>
      <c r="E305" s="96" t="s">
        <v>68</v>
      </c>
      <c r="F305" s="38"/>
      <c r="G305" s="38"/>
      <c r="H305" s="38"/>
      <c r="I305" s="38"/>
      <c r="J305" s="38"/>
      <c r="K305" s="38"/>
      <c r="L305" s="40">
        <v>0</v>
      </c>
      <c r="M305" s="40">
        <v>0.628138916673186</v>
      </c>
      <c r="N305" s="40">
        <v>0.61298949509038803</v>
      </c>
      <c r="O305" s="40">
        <v>0.61000784017392295</v>
      </c>
      <c r="P305" s="40">
        <v>0.608007168810069</v>
      </c>
      <c r="Q305" s="40">
        <v>0.60200199954401101</v>
      </c>
      <c r="R305" s="40">
        <v>0.62</v>
      </c>
      <c r="S305" s="40">
        <v>0.62</v>
      </c>
      <c r="T305" s="40">
        <v>0.62</v>
      </c>
      <c r="U305" s="40">
        <v>0.62</v>
      </c>
      <c r="V305" s="40">
        <v>0.62</v>
      </c>
      <c r="W305" s="40">
        <v>0.62</v>
      </c>
      <c r="X305" s="40">
        <v>0.62</v>
      </c>
      <c r="Y305" s="40">
        <v>0.62</v>
      </c>
      <c r="Z305" s="40">
        <v>0.62</v>
      </c>
    </row>
    <row r="306" spans="2:35" ht="15" customHeight="1" outlineLevel="1" x14ac:dyDescent="0.3">
      <c r="B306" s="38"/>
      <c r="C306" s="38" t="s">
        <v>172</v>
      </c>
      <c r="D306" s="38"/>
      <c r="E306" s="96" t="s">
        <v>68</v>
      </c>
      <c r="F306" s="38"/>
      <c r="G306" s="38"/>
      <c r="H306" s="38"/>
      <c r="I306" s="38"/>
      <c r="J306" s="38"/>
      <c r="K306" s="38"/>
      <c r="L306" s="40">
        <v>0</v>
      </c>
      <c r="M306" s="40">
        <v>0</v>
      </c>
      <c r="N306" s="40">
        <v>6.3789308762636707E-2</v>
      </c>
      <c r="O306" s="40">
        <v>4.1799628291895999E-2</v>
      </c>
      <c r="P306" s="40">
        <v>4.2579689656333297E-2</v>
      </c>
      <c r="Q306" s="40">
        <v>5.2915348356686202E-2</v>
      </c>
      <c r="R306" s="40">
        <v>0.03</v>
      </c>
      <c r="S306" s="40">
        <v>2.9999999999999801E-2</v>
      </c>
      <c r="T306" s="40">
        <v>0.03</v>
      </c>
      <c r="U306" s="40">
        <v>0.03</v>
      </c>
      <c r="V306" s="40">
        <v>0.03</v>
      </c>
      <c r="W306" s="40">
        <v>3.00000000000007E-2</v>
      </c>
      <c r="X306" s="40">
        <v>2.9999999999999801E-2</v>
      </c>
      <c r="Y306" s="40">
        <v>2.99999999999991E-2</v>
      </c>
      <c r="Z306" s="40">
        <v>3.0000000000001598E-2</v>
      </c>
    </row>
    <row r="307" spans="2:35" ht="15" customHeight="1" outlineLevel="1" x14ac:dyDescent="0.3">
      <c r="B307" s="38"/>
      <c r="C307" s="100" t="s">
        <v>166</v>
      </c>
      <c r="D307" s="38"/>
      <c r="E307" s="96" t="s">
        <v>167</v>
      </c>
      <c r="F307" s="38"/>
      <c r="G307" s="175">
        <v>268.07</v>
      </c>
      <c r="H307" s="38"/>
      <c r="I307" s="38"/>
      <c r="J307" s="38"/>
      <c r="K307" s="38"/>
      <c r="L307" s="176">
        <f>G307</f>
        <v>268.07</v>
      </c>
      <c r="M307" s="176">
        <f t="shared" ref="M307:Z307" si="149">L307*(1+M306)</f>
        <v>268.07</v>
      </c>
      <c r="N307" s="176">
        <f t="shared" si="149"/>
        <v>285.17</v>
      </c>
      <c r="O307" s="176">
        <f t="shared" si="149"/>
        <v>297.08999999999997</v>
      </c>
      <c r="P307" s="176">
        <f t="shared" si="149"/>
        <v>309.74</v>
      </c>
      <c r="Q307" s="176">
        <f t="shared" si="149"/>
        <v>326.13</v>
      </c>
      <c r="R307" s="176">
        <f t="shared" si="149"/>
        <v>335.91390000000001</v>
      </c>
      <c r="S307" s="176">
        <f t="shared" si="149"/>
        <v>345.99131699999992</v>
      </c>
      <c r="T307" s="176">
        <f t="shared" si="149"/>
        <v>356.3710565099999</v>
      </c>
      <c r="U307" s="176">
        <f t="shared" si="149"/>
        <v>367.06218820529989</v>
      </c>
      <c r="V307" s="176">
        <f t="shared" si="149"/>
        <v>378.07405385145887</v>
      </c>
      <c r="W307" s="176">
        <f t="shared" si="149"/>
        <v>389.41627546700289</v>
      </c>
      <c r="X307" s="176">
        <f t="shared" si="149"/>
        <v>401.09876373101292</v>
      </c>
      <c r="Y307" s="176">
        <f t="shared" si="149"/>
        <v>413.13172664294297</v>
      </c>
      <c r="Z307" s="176">
        <f t="shared" si="149"/>
        <v>425.52567844223188</v>
      </c>
    </row>
    <row r="308" spans="2:35" ht="15" customHeight="1" outlineLevel="1" x14ac:dyDescent="0.3">
      <c r="B308" s="38"/>
      <c r="C308" s="38" t="s">
        <v>169</v>
      </c>
      <c r="D308" s="38"/>
      <c r="E308" s="96" t="s">
        <v>161</v>
      </c>
      <c r="F308" s="38"/>
      <c r="G308" s="38"/>
      <c r="H308" s="38"/>
      <c r="I308" s="38"/>
      <c r="J308" s="38"/>
      <c r="K308" s="38"/>
      <c r="L308" s="175">
        <v>4321</v>
      </c>
      <c r="M308" s="175">
        <v>4321</v>
      </c>
      <c r="N308" s="175">
        <v>4321</v>
      </c>
      <c r="O308" s="175">
        <v>4321</v>
      </c>
      <c r="P308" s="175">
        <v>4321</v>
      </c>
      <c r="Q308" s="175">
        <v>4321</v>
      </c>
      <c r="R308" s="175">
        <v>4321</v>
      </c>
      <c r="S308" s="175">
        <v>4321</v>
      </c>
      <c r="T308" s="175">
        <v>4321</v>
      </c>
      <c r="U308" s="175">
        <v>4321</v>
      </c>
      <c r="V308" s="175">
        <v>4321</v>
      </c>
      <c r="W308" s="175">
        <v>4321</v>
      </c>
      <c r="X308" s="175">
        <v>4321</v>
      </c>
      <c r="Y308" s="175">
        <v>4321</v>
      </c>
      <c r="Z308" s="175">
        <v>4321</v>
      </c>
    </row>
    <row r="309" spans="2:35" ht="15" customHeight="1" outlineLevel="1" x14ac:dyDescent="0.3">
      <c r="B309" s="38"/>
      <c r="C309" s="38" t="s">
        <v>170</v>
      </c>
      <c r="D309" s="38"/>
      <c r="E309" s="96" t="s">
        <v>161</v>
      </c>
      <c r="F309" s="38"/>
      <c r="G309" s="38"/>
      <c r="H309" s="38"/>
      <c r="I309" s="38"/>
      <c r="J309" s="38"/>
      <c r="K309" s="38"/>
      <c r="L309" s="175">
        <v>365</v>
      </c>
      <c r="M309" s="175">
        <v>365</v>
      </c>
      <c r="N309" s="175">
        <v>365</v>
      </c>
      <c r="O309" s="175">
        <v>365</v>
      </c>
      <c r="P309" s="175">
        <v>365</v>
      </c>
      <c r="Q309" s="175">
        <v>365</v>
      </c>
      <c r="R309" s="175">
        <v>365</v>
      </c>
      <c r="S309" s="175">
        <v>365</v>
      </c>
      <c r="T309" s="175">
        <v>365</v>
      </c>
      <c r="U309" s="175">
        <v>365</v>
      </c>
      <c r="V309" s="175">
        <v>365</v>
      </c>
      <c r="W309" s="175">
        <v>365</v>
      </c>
      <c r="X309" s="175">
        <v>365</v>
      </c>
      <c r="Y309" s="175">
        <v>365</v>
      </c>
      <c r="Z309" s="175">
        <v>365</v>
      </c>
    </row>
    <row r="310" spans="2:35" ht="15" customHeight="1" outlineLevel="1" x14ac:dyDescent="0.3">
      <c r="B310" s="38"/>
      <c r="C310" s="38" t="s">
        <v>163</v>
      </c>
      <c r="D310" s="38"/>
      <c r="E310" s="96" t="s">
        <v>68</v>
      </c>
      <c r="F310" s="38"/>
      <c r="G310" s="38"/>
      <c r="H310" s="38"/>
      <c r="I310" s="38"/>
      <c r="J310" s="38"/>
      <c r="K310" s="38"/>
      <c r="L310" s="40"/>
      <c r="M310" s="40">
        <v>0.182926831426549</v>
      </c>
      <c r="N310" s="40">
        <v>0.182926831347271</v>
      </c>
      <c r="O310" s="40">
        <v>0.18292683127361101</v>
      </c>
      <c r="P310" s="40">
        <v>0.18292683119804201</v>
      </c>
      <c r="Q310" s="40">
        <v>0.18292683111934299</v>
      </c>
      <c r="R310" s="40">
        <v>0.18290000000000001</v>
      </c>
      <c r="S310" s="40">
        <v>0.18290000000000001</v>
      </c>
      <c r="T310" s="40">
        <v>0.18290000000000001</v>
      </c>
      <c r="U310" s="40">
        <v>0.18290000000000001</v>
      </c>
      <c r="V310" s="40">
        <v>0.18290000000000001</v>
      </c>
      <c r="W310" s="40">
        <v>0.18290000000000001</v>
      </c>
      <c r="X310" s="40">
        <v>0.18290000000000001</v>
      </c>
      <c r="Y310" s="40">
        <v>0.18290000000000001</v>
      </c>
      <c r="Z310" s="40">
        <v>0.18290000000000001</v>
      </c>
    </row>
    <row r="311" spans="2:35" ht="15" customHeight="1" outlineLevel="1" x14ac:dyDescent="0.3">
      <c r="B311" s="38"/>
      <c r="C311" s="38" t="s">
        <v>171</v>
      </c>
      <c r="D311" s="38"/>
      <c r="E311" s="96" t="s">
        <v>68</v>
      </c>
      <c r="F311" s="38"/>
      <c r="G311" s="38"/>
      <c r="H311" s="38"/>
      <c r="I311" s="38"/>
      <c r="J311" s="38"/>
      <c r="K311" s="38"/>
      <c r="L311" s="40">
        <v>0</v>
      </c>
      <c r="M311" s="40">
        <v>3.6585365532216203E-2</v>
      </c>
      <c r="N311" s="40">
        <v>3.6585365544023397E-2</v>
      </c>
      <c r="O311" s="40">
        <v>3.6585365554993997E-2</v>
      </c>
      <c r="P311" s="40">
        <v>3.6585365566249098E-2</v>
      </c>
      <c r="Q311" s="40">
        <v>3.6585365577970201E-2</v>
      </c>
      <c r="R311" s="40">
        <v>3.5523327793526897E-2</v>
      </c>
      <c r="S311" s="40">
        <v>3.5523327793526897E-2</v>
      </c>
      <c r="T311" s="40">
        <v>3.5523327793526897E-2</v>
      </c>
      <c r="U311" s="40">
        <v>3.5523327793526897E-2</v>
      </c>
      <c r="V311" s="40">
        <v>3.5523327793526897E-2</v>
      </c>
      <c r="W311" s="40">
        <v>3.5523327793526897E-2</v>
      </c>
      <c r="X311" s="40">
        <v>3.5523327793526897E-2</v>
      </c>
      <c r="Y311" s="40">
        <v>3.5523327793526897E-2</v>
      </c>
      <c r="Z311" s="40">
        <v>3.5523327793526897E-2</v>
      </c>
    </row>
    <row r="312" spans="2:35" ht="15" customHeight="1" outlineLevel="1" x14ac:dyDescent="0.3">
      <c r="B312" s="38"/>
      <c r="C312" s="38"/>
      <c r="D312" s="38"/>
      <c r="E312" s="96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2:35" ht="15" customHeight="1" outlineLevel="1" x14ac:dyDescent="0.3">
      <c r="B313" s="38"/>
      <c r="C313" s="38" t="s">
        <v>164</v>
      </c>
      <c r="D313" s="38"/>
      <c r="E313" s="96" t="s">
        <v>162</v>
      </c>
      <c r="F313" s="38"/>
      <c r="G313" s="38"/>
      <c r="H313" s="38"/>
      <c r="I313" s="38"/>
      <c r="J313" s="38"/>
      <c r="K313" s="38"/>
      <c r="L313" s="50">
        <f t="shared" ref="L313:Z313" si="150">IF(L304&gt;0,L308*L309,0)</f>
        <v>0</v>
      </c>
      <c r="M313" s="50">
        <f t="shared" si="150"/>
        <v>1577165</v>
      </c>
      <c r="N313" s="50">
        <f t="shared" si="150"/>
        <v>1577165</v>
      </c>
      <c r="O313" s="50">
        <f t="shared" si="150"/>
        <v>1577165</v>
      </c>
      <c r="P313" s="50">
        <f t="shared" si="150"/>
        <v>1577165</v>
      </c>
      <c r="Q313" s="50">
        <f t="shared" si="150"/>
        <v>1577165</v>
      </c>
      <c r="R313" s="50">
        <f t="shared" si="150"/>
        <v>1577165</v>
      </c>
      <c r="S313" s="50">
        <f t="shared" si="150"/>
        <v>1577165</v>
      </c>
      <c r="T313" s="50">
        <f t="shared" si="150"/>
        <v>1577165</v>
      </c>
      <c r="U313" s="50">
        <f t="shared" si="150"/>
        <v>1577165</v>
      </c>
      <c r="V313" s="50">
        <f t="shared" si="150"/>
        <v>1577165</v>
      </c>
      <c r="W313" s="50">
        <f t="shared" si="150"/>
        <v>1577165</v>
      </c>
      <c r="X313" s="50">
        <f t="shared" si="150"/>
        <v>1577165</v>
      </c>
      <c r="Y313" s="50">
        <f t="shared" si="150"/>
        <v>1577165</v>
      </c>
      <c r="Z313" s="50">
        <f t="shared" si="150"/>
        <v>1577165</v>
      </c>
    </row>
    <row r="314" spans="2:35" ht="15" customHeight="1" outlineLevel="1" x14ac:dyDescent="0.3">
      <c r="B314" s="38"/>
      <c r="C314" s="38" t="s">
        <v>165</v>
      </c>
      <c r="D314" s="38"/>
      <c r="E314" s="96" t="s">
        <v>162</v>
      </c>
      <c r="F314" s="38"/>
      <c r="G314" s="38"/>
      <c r="H314" s="38"/>
      <c r="I314" s="38"/>
      <c r="J314" s="38"/>
      <c r="K314" s="38"/>
      <c r="L314" s="50">
        <f t="shared" ref="L314:Z314" si="151">L313*L305</f>
        <v>0</v>
      </c>
      <c r="M314" s="50">
        <f t="shared" si="151"/>
        <v>990678.71451486542</v>
      </c>
      <c r="N314" s="50">
        <f t="shared" si="151"/>
        <v>966785.57702423178</v>
      </c>
      <c r="O314" s="50">
        <f t="shared" si="151"/>
        <v>962083.01524790516</v>
      </c>
      <c r="P314" s="50">
        <f t="shared" si="151"/>
        <v>958927.62639633252</v>
      </c>
      <c r="Q314" s="50">
        <f t="shared" si="151"/>
        <v>949456.48361083015</v>
      </c>
      <c r="R314" s="50">
        <f t="shared" si="151"/>
        <v>977842.3</v>
      </c>
      <c r="S314" s="50">
        <f t="shared" si="151"/>
        <v>977842.3</v>
      </c>
      <c r="T314" s="50">
        <f t="shared" si="151"/>
        <v>977842.3</v>
      </c>
      <c r="U314" s="50">
        <f t="shared" si="151"/>
        <v>977842.3</v>
      </c>
      <c r="V314" s="50">
        <f t="shared" si="151"/>
        <v>977842.3</v>
      </c>
      <c r="W314" s="50">
        <f t="shared" si="151"/>
        <v>977842.3</v>
      </c>
      <c r="X314" s="50">
        <f t="shared" si="151"/>
        <v>977842.3</v>
      </c>
      <c r="Y314" s="50">
        <f t="shared" si="151"/>
        <v>977842.3</v>
      </c>
      <c r="Z314" s="50">
        <f t="shared" si="151"/>
        <v>977842.3</v>
      </c>
    </row>
    <row r="315" spans="2:35" ht="15" customHeight="1" outlineLevel="1" x14ac:dyDescent="0.3">
      <c r="B315" s="38"/>
      <c r="D315" s="38"/>
      <c r="E315" s="96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</row>
    <row r="316" spans="2:35" ht="15" customHeight="1" outlineLevel="1" x14ac:dyDescent="0.3">
      <c r="B316" s="38"/>
      <c r="C316" s="38" t="s">
        <v>154</v>
      </c>
      <c r="D316" s="38"/>
      <c r="E316" s="96" t="s">
        <v>70</v>
      </c>
      <c r="F316" s="38"/>
      <c r="G316" s="38"/>
      <c r="H316" s="38"/>
      <c r="I316" s="38"/>
      <c r="J316" s="50">
        <f>SUM(L316:Z316)</f>
        <v>4770729.1410850827</v>
      </c>
      <c r="K316" s="38"/>
      <c r="L316" s="50">
        <f t="shared" ref="L316:Z316" si="152">L314*L307/$G$6</f>
        <v>0</v>
      </c>
      <c r="M316" s="50">
        <f t="shared" si="152"/>
        <v>265571.24299999996</v>
      </c>
      <c r="N316" s="50">
        <f t="shared" si="152"/>
        <v>275698.24300000019</v>
      </c>
      <c r="O316" s="50">
        <f t="shared" si="152"/>
        <v>285825.24300000013</v>
      </c>
      <c r="P316" s="50">
        <f t="shared" si="152"/>
        <v>297018.24300000007</v>
      </c>
      <c r="Q316" s="50">
        <f t="shared" si="152"/>
        <v>309646.24300000007</v>
      </c>
      <c r="R316" s="50">
        <f t="shared" si="152"/>
        <v>328470.82057797001</v>
      </c>
      <c r="S316" s="50">
        <f t="shared" si="152"/>
        <v>338324.94519530906</v>
      </c>
      <c r="T316" s="50">
        <f t="shared" si="152"/>
        <v>348474.69355116831</v>
      </c>
      <c r="U316" s="50">
        <f t="shared" si="152"/>
        <v>358928.93435770331</v>
      </c>
      <c r="V316" s="50">
        <f t="shared" si="152"/>
        <v>369696.80238843441</v>
      </c>
      <c r="W316" s="50">
        <f t="shared" si="152"/>
        <v>380787.70646008773</v>
      </c>
      <c r="X316" s="50">
        <f t="shared" si="152"/>
        <v>392211.33765389025</v>
      </c>
      <c r="Y316" s="50">
        <f t="shared" si="152"/>
        <v>403977.67778350663</v>
      </c>
      <c r="Z316" s="50">
        <f t="shared" si="152"/>
        <v>416097.00811701245</v>
      </c>
    </row>
    <row r="317" spans="2:35" ht="15" customHeight="1" outlineLevel="1" x14ac:dyDescent="0.3">
      <c r="B317" s="38"/>
      <c r="C317" s="38" t="s">
        <v>158</v>
      </c>
      <c r="D317" s="38"/>
      <c r="E317" s="96" t="s">
        <v>70</v>
      </c>
      <c r="F317" s="38"/>
      <c r="G317" s="38"/>
      <c r="H317" s="38"/>
      <c r="I317" s="38"/>
      <c r="J317" s="50">
        <f>SUM(L317:Z317)</f>
        <v>872604.82948096166</v>
      </c>
      <c r="K317" s="38"/>
      <c r="L317" s="50">
        <f t="shared" ref="L317:Z317" si="153">L$316*L310</f>
        <v>0</v>
      </c>
      <c r="M317" s="50">
        <f t="shared" si="153"/>
        <v>48580.106000000073</v>
      </c>
      <c r="N317" s="50">
        <f t="shared" si="153"/>
        <v>50432.605999999971</v>
      </c>
      <c r="O317" s="50">
        <f t="shared" si="153"/>
        <v>52285.105999999891</v>
      </c>
      <c r="P317" s="50">
        <f t="shared" si="153"/>
        <v>54332.606000000036</v>
      </c>
      <c r="Q317" s="50">
        <f t="shared" si="153"/>
        <v>56642.606000000058</v>
      </c>
      <c r="R317" s="50">
        <f t="shared" si="153"/>
        <v>60077.313083710716</v>
      </c>
      <c r="S317" s="50">
        <f t="shared" si="153"/>
        <v>61879.632476222032</v>
      </c>
      <c r="T317" s="50">
        <f t="shared" si="153"/>
        <v>63736.021450508684</v>
      </c>
      <c r="U317" s="50">
        <f t="shared" si="153"/>
        <v>65648.10209402394</v>
      </c>
      <c r="V317" s="50">
        <f t="shared" si="153"/>
        <v>67617.545156844659</v>
      </c>
      <c r="W317" s="50">
        <f t="shared" si="153"/>
        <v>69646.07151155005</v>
      </c>
      <c r="X317" s="50">
        <f t="shared" si="153"/>
        <v>71735.453656896527</v>
      </c>
      <c r="Y317" s="50">
        <f t="shared" si="153"/>
        <v>73887.517266603361</v>
      </c>
      <c r="Z317" s="50">
        <f t="shared" si="153"/>
        <v>76104.142784601572</v>
      </c>
    </row>
    <row r="318" spans="2:35" ht="15" customHeight="1" outlineLevel="1" x14ac:dyDescent="0.3">
      <c r="B318" s="38"/>
      <c r="C318" s="38" t="s">
        <v>168</v>
      </c>
      <c r="D318" s="38"/>
      <c r="E318" s="96" t="s">
        <v>70</v>
      </c>
      <c r="F318" s="38"/>
      <c r="G318" s="38"/>
      <c r="H318" s="38"/>
      <c r="I318" s="38"/>
      <c r="J318" s="50">
        <f>SUM(L318:Z318)</f>
        <v>170994.88152146159</v>
      </c>
      <c r="K318" s="38"/>
      <c r="L318" s="50">
        <f t="shared" ref="L318:Z318" si="154">L$316*L311</f>
        <v>0</v>
      </c>
      <c r="M318" s="50">
        <f t="shared" si="154"/>
        <v>9716.0210000000116</v>
      </c>
      <c r="N318" s="50">
        <f t="shared" si="154"/>
        <v>10086.520999999997</v>
      </c>
      <c r="O318" s="50">
        <f t="shared" si="154"/>
        <v>10457.020999999993</v>
      </c>
      <c r="P318" s="50">
        <f t="shared" si="154"/>
        <v>10866.52100000001</v>
      </c>
      <c r="Q318" s="50">
        <f t="shared" si="154"/>
        <v>11328.520999999999</v>
      </c>
      <c r="R318" s="50">
        <f t="shared" si="154"/>
        <v>11668.376629999988</v>
      </c>
      <c r="S318" s="50">
        <f t="shared" si="154"/>
        <v>12018.427928899986</v>
      </c>
      <c r="T318" s="50">
        <f t="shared" si="154"/>
        <v>12378.980766766985</v>
      </c>
      <c r="U318" s="50">
        <f t="shared" si="154"/>
        <v>12750.350189769993</v>
      </c>
      <c r="V318" s="50">
        <f t="shared" si="154"/>
        <v>13132.860695463094</v>
      </c>
      <c r="W318" s="50">
        <f t="shared" si="154"/>
        <v>13526.846516326996</v>
      </c>
      <c r="X318" s="50">
        <f t="shared" si="154"/>
        <v>13932.651911816802</v>
      </c>
      <c r="Y318" s="50">
        <f t="shared" si="154"/>
        <v>14350.631469171294</v>
      </c>
      <c r="Z318" s="50">
        <f t="shared" si="154"/>
        <v>14781.150413246456</v>
      </c>
    </row>
    <row r="319" spans="2:35" ht="15" customHeight="1" outlineLevel="1" x14ac:dyDescent="0.3">
      <c r="B319" s="38"/>
      <c r="C319" s="49" t="s">
        <v>187</v>
      </c>
      <c r="D319" s="78"/>
      <c r="E319" s="79" t="s">
        <v>70</v>
      </c>
      <c r="F319" s="78"/>
      <c r="G319" s="34"/>
      <c r="H319" s="34"/>
      <c r="I319" s="34"/>
      <c r="J319" s="34">
        <f>SUM(J316:J318)</f>
        <v>5814328.8520875061</v>
      </c>
      <c r="K319" s="34"/>
      <c r="L319" s="34">
        <f t="shared" ref="L319:Z319" si="155">SUM(L316:L318)</f>
        <v>0</v>
      </c>
      <c r="M319" s="34">
        <f t="shared" si="155"/>
        <v>323867.37000000005</v>
      </c>
      <c r="N319" s="34">
        <f t="shared" si="155"/>
        <v>336217.37000000017</v>
      </c>
      <c r="O319" s="34">
        <f t="shared" si="155"/>
        <v>348567.37000000005</v>
      </c>
      <c r="P319" s="34">
        <f t="shared" si="155"/>
        <v>362217.37000000011</v>
      </c>
      <c r="Q319" s="34">
        <f t="shared" si="155"/>
        <v>377617.37000000017</v>
      </c>
      <c r="R319" s="34">
        <f t="shared" si="155"/>
        <v>400216.51029168075</v>
      </c>
      <c r="S319" s="34">
        <f t="shared" si="155"/>
        <v>412223.00560043112</v>
      </c>
      <c r="T319" s="34">
        <f t="shared" si="155"/>
        <v>424589.69576844398</v>
      </c>
      <c r="U319" s="34">
        <f t="shared" si="155"/>
        <v>437327.38664149726</v>
      </c>
      <c r="V319" s="34">
        <f t="shared" si="155"/>
        <v>450447.20824074215</v>
      </c>
      <c r="W319" s="34">
        <f t="shared" si="155"/>
        <v>463960.62448796479</v>
      </c>
      <c r="X319" s="34">
        <f t="shared" si="155"/>
        <v>477879.44322260359</v>
      </c>
      <c r="Y319" s="34">
        <f t="shared" si="155"/>
        <v>492215.82651928131</v>
      </c>
      <c r="Z319" s="34">
        <f t="shared" si="155"/>
        <v>506982.30131486047</v>
      </c>
    </row>
    <row r="320" spans="2:35" ht="15" customHeight="1" x14ac:dyDescent="0.3">
      <c r="B320" s="38"/>
      <c r="C320" s="38"/>
      <c r="D320" s="38"/>
      <c r="E320" s="96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2:26" ht="15" customHeight="1" x14ac:dyDescent="0.3">
      <c r="B321" s="102" t="s">
        <v>9</v>
      </c>
      <c r="C321" s="102"/>
      <c r="D321" s="102"/>
      <c r="E321" s="103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 spans="2:26" ht="15" customHeight="1" outlineLevel="1" x14ac:dyDescent="0.3">
      <c r="B322" s="38"/>
      <c r="C322" s="38"/>
      <c r="D322" s="38"/>
      <c r="E322" s="96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2:26" ht="15" customHeight="1" outlineLevel="1" x14ac:dyDescent="0.3">
      <c r="B323" s="82" t="s">
        <v>190</v>
      </c>
      <c r="C323" s="82"/>
      <c r="D323" s="82"/>
      <c r="E323" s="83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2:26" ht="15" customHeight="1" outlineLevel="1" x14ac:dyDescent="0.3">
      <c r="C324" s="84" t="str">
        <f>C328</f>
        <v>Support Retail</v>
      </c>
      <c r="D324" s="161">
        <v>2</v>
      </c>
      <c r="J324" s="23">
        <f>SUM(L324:Z324)</f>
        <v>220121.28609806683</v>
      </c>
      <c r="K324" s="19"/>
      <c r="L324" s="23">
        <f t="shared" ref="L324:Z324" si="156">L336</f>
        <v>0</v>
      </c>
      <c r="M324" s="23">
        <f t="shared" si="156"/>
        <v>0</v>
      </c>
      <c r="N324" s="23">
        <f t="shared" si="156"/>
        <v>0</v>
      </c>
      <c r="O324" s="23">
        <f t="shared" si="156"/>
        <v>0</v>
      </c>
      <c r="P324" s="23">
        <f t="shared" si="156"/>
        <v>9598.2877763964825</v>
      </c>
      <c r="Q324" s="23">
        <f t="shared" si="156"/>
        <v>13117.659961075191</v>
      </c>
      <c r="R324" s="23">
        <f t="shared" si="156"/>
        <v>16807.001825127587</v>
      </c>
      <c r="S324" s="23">
        <f t="shared" si="156"/>
        <v>20672.612244906937</v>
      </c>
      <c r="T324" s="23">
        <f t="shared" si="156"/>
        <v>21189.427551029607</v>
      </c>
      <c r="U324" s="23">
        <f t="shared" si="156"/>
        <v>21719.163239805344</v>
      </c>
      <c r="V324" s="23">
        <f t="shared" si="156"/>
        <v>22262.142320800478</v>
      </c>
      <c r="W324" s="23">
        <f t="shared" si="156"/>
        <v>22818.69587882049</v>
      </c>
      <c r="X324" s="23">
        <f t="shared" si="156"/>
        <v>23389.163275791001</v>
      </c>
      <c r="Y324" s="23">
        <f t="shared" si="156"/>
        <v>23973.892357685771</v>
      </c>
      <c r="Z324" s="23">
        <f t="shared" si="156"/>
        <v>24573.239666627913</v>
      </c>
    </row>
    <row r="325" spans="2:26" ht="15" customHeight="1" outlineLevel="1" x14ac:dyDescent="0.3">
      <c r="C325" s="84" t="str">
        <f>C338</f>
        <v>Support Retail</v>
      </c>
      <c r="D325" s="161">
        <v>3</v>
      </c>
      <c r="J325" s="23">
        <f>SUM(L325:Z325)</f>
        <v>115889.21229639373</v>
      </c>
      <c r="K325" s="19"/>
      <c r="L325" s="23">
        <f t="shared" ref="L325:Z325" si="157">L346</f>
        <v>0</v>
      </c>
      <c r="M325" s="23">
        <f t="shared" si="157"/>
        <v>0</v>
      </c>
      <c r="N325" s="23">
        <f t="shared" si="157"/>
        <v>0</v>
      </c>
      <c r="O325" s="23">
        <f t="shared" si="157"/>
        <v>0</v>
      </c>
      <c r="P325" s="23">
        <f t="shared" si="157"/>
        <v>5053.295978404979</v>
      </c>
      <c r="Q325" s="23">
        <f t="shared" si="157"/>
        <v>6906.1711704868039</v>
      </c>
      <c r="R325" s="23">
        <f t="shared" si="157"/>
        <v>8848.5318121862165</v>
      </c>
      <c r="S325" s="23">
        <f t="shared" si="157"/>
        <v>10883.694128989051</v>
      </c>
      <c r="T325" s="23">
        <f t="shared" si="157"/>
        <v>11155.786482213774</v>
      </c>
      <c r="U325" s="23">
        <f t="shared" si="157"/>
        <v>11434.681144269116</v>
      </c>
      <c r="V325" s="23">
        <f t="shared" si="157"/>
        <v>11720.548172875846</v>
      </c>
      <c r="W325" s="23">
        <f t="shared" si="157"/>
        <v>12013.561877197741</v>
      </c>
      <c r="X325" s="23">
        <f t="shared" si="157"/>
        <v>12313.900924127684</v>
      </c>
      <c r="Y325" s="23">
        <f t="shared" si="157"/>
        <v>12621.748447230873</v>
      </c>
      <c r="Z325" s="23">
        <f t="shared" si="157"/>
        <v>12937.292158411645</v>
      </c>
    </row>
    <row r="326" spans="2:26" ht="15" customHeight="1" outlineLevel="1" x14ac:dyDescent="0.3">
      <c r="C326" s="78" t="s">
        <v>183</v>
      </c>
      <c r="D326" s="78"/>
      <c r="E326" s="79"/>
      <c r="F326" s="78"/>
      <c r="G326" s="78"/>
      <c r="H326" s="78"/>
      <c r="I326" s="78"/>
      <c r="J326" s="160">
        <f>SUM(J324:J325)</f>
        <v>336010.49839446053</v>
      </c>
      <c r="K326" s="25"/>
      <c r="L326" s="160">
        <f t="shared" ref="L326:Z326" si="158">SUM(L324:L325)</f>
        <v>0</v>
      </c>
      <c r="M326" s="160">
        <f t="shared" si="158"/>
        <v>0</v>
      </c>
      <c r="N326" s="160">
        <f t="shared" si="158"/>
        <v>0</v>
      </c>
      <c r="O326" s="160">
        <f t="shared" si="158"/>
        <v>0</v>
      </c>
      <c r="P326" s="160">
        <f t="shared" si="158"/>
        <v>14651.583754801461</v>
      </c>
      <c r="Q326" s="160">
        <f t="shared" si="158"/>
        <v>20023.831131561994</v>
      </c>
      <c r="R326" s="160">
        <f t="shared" si="158"/>
        <v>25655.533637313805</v>
      </c>
      <c r="S326" s="160">
        <f t="shared" si="158"/>
        <v>31556.30637389599</v>
      </c>
      <c r="T326" s="160">
        <f t="shared" si="158"/>
        <v>32345.214033243381</v>
      </c>
      <c r="U326" s="160">
        <f t="shared" si="158"/>
        <v>33153.844384074459</v>
      </c>
      <c r="V326" s="160">
        <f t="shared" si="158"/>
        <v>33982.690493676324</v>
      </c>
      <c r="W326" s="160">
        <f t="shared" si="158"/>
        <v>34832.257756018233</v>
      </c>
      <c r="X326" s="160">
        <f t="shared" si="158"/>
        <v>35703.064199918685</v>
      </c>
      <c r="Y326" s="160">
        <f t="shared" si="158"/>
        <v>36595.640804916642</v>
      </c>
      <c r="Z326" s="160">
        <f t="shared" si="158"/>
        <v>37510.531825039558</v>
      </c>
    </row>
    <row r="327" spans="2:26" ht="15" customHeight="1" outlineLevel="1" x14ac:dyDescent="0.3">
      <c r="E327" s="8"/>
    </row>
    <row r="328" spans="2:26" ht="15" customHeight="1" outlineLevel="1" x14ac:dyDescent="0.3">
      <c r="B328" s="97"/>
      <c r="C328" s="97" t="s">
        <v>44</v>
      </c>
      <c r="D328" s="162">
        <v>2</v>
      </c>
      <c r="E328" s="98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spans="2:26" ht="15" customHeight="1" outlineLevel="1" x14ac:dyDescent="0.3">
      <c r="B329" s="38"/>
      <c r="E329" s="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2:26" ht="15" customHeight="1" outlineLevel="1" x14ac:dyDescent="0.3">
      <c r="B330" s="38"/>
      <c r="C330" s="38" t="s">
        <v>155</v>
      </c>
      <c r="D330" s="38"/>
      <c r="E330" s="96" t="s">
        <v>148</v>
      </c>
      <c r="F330" s="38"/>
      <c r="G330" s="174">
        <v>2029</v>
      </c>
      <c r="H330" s="38"/>
      <c r="I330" s="38"/>
      <c r="J330" s="38"/>
      <c r="K330" s="38"/>
      <c r="L330" s="51">
        <f t="shared" ref="L330:Z330" si="159">IF(L$4&gt;=$G$330,K330+1,0)</f>
        <v>0</v>
      </c>
      <c r="M330" s="51">
        <f t="shared" si="159"/>
        <v>0</v>
      </c>
      <c r="N330" s="51">
        <f t="shared" si="159"/>
        <v>0</v>
      </c>
      <c r="O330" s="51">
        <f t="shared" si="159"/>
        <v>0</v>
      </c>
      <c r="P330" s="51">
        <f t="shared" si="159"/>
        <v>1</v>
      </c>
      <c r="Q330" s="51">
        <f t="shared" si="159"/>
        <v>2</v>
      </c>
      <c r="R330" s="51">
        <f t="shared" si="159"/>
        <v>3</v>
      </c>
      <c r="S330" s="51">
        <f t="shared" si="159"/>
        <v>4</v>
      </c>
      <c r="T330" s="51">
        <f t="shared" si="159"/>
        <v>5</v>
      </c>
      <c r="U330" s="51">
        <f t="shared" si="159"/>
        <v>6</v>
      </c>
      <c r="V330" s="51">
        <f t="shared" si="159"/>
        <v>7</v>
      </c>
      <c r="W330" s="51">
        <f t="shared" si="159"/>
        <v>8</v>
      </c>
      <c r="X330" s="51">
        <f t="shared" si="159"/>
        <v>9</v>
      </c>
      <c r="Y330" s="51">
        <f t="shared" si="159"/>
        <v>10</v>
      </c>
      <c r="Z330" s="51">
        <f t="shared" si="159"/>
        <v>11</v>
      </c>
    </row>
    <row r="331" spans="2:26" ht="15" customHeight="1" outlineLevel="1" x14ac:dyDescent="0.3">
      <c r="B331" s="38"/>
      <c r="C331" s="38" t="s">
        <v>149</v>
      </c>
      <c r="D331" s="38"/>
      <c r="E331" s="96" t="s">
        <v>161</v>
      </c>
      <c r="F331" s="38"/>
      <c r="G331" s="40">
        <v>2.5000000000000001E-2</v>
      </c>
      <c r="H331" s="38"/>
      <c r="I331" s="38"/>
      <c r="J331" s="38"/>
      <c r="K331" s="38"/>
      <c r="L331" s="51">
        <f t="shared" ref="L331:Z331" si="160">IF(AND(L330&gt;0,L$6&gt;1),(1+$G331)^(L$6-1),0)</f>
        <v>0</v>
      </c>
      <c r="M331" s="51">
        <f t="shared" si="160"/>
        <v>0</v>
      </c>
      <c r="N331" s="51">
        <f t="shared" si="160"/>
        <v>0</v>
      </c>
      <c r="O331" s="51">
        <f t="shared" si="160"/>
        <v>0</v>
      </c>
      <c r="P331" s="51">
        <f t="shared" si="160"/>
        <v>1.1038128906249998</v>
      </c>
      <c r="Q331" s="51">
        <f t="shared" si="160"/>
        <v>1.1314082128906247</v>
      </c>
      <c r="R331" s="51">
        <f t="shared" si="160"/>
        <v>1.1596934182128902</v>
      </c>
      <c r="S331" s="51">
        <f t="shared" si="160"/>
        <v>1.1886857536682125</v>
      </c>
      <c r="T331" s="51">
        <f t="shared" si="160"/>
        <v>1.2184028975099177</v>
      </c>
      <c r="U331" s="51">
        <f t="shared" si="160"/>
        <v>1.2488629699476654</v>
      </c>
      <c r="V331" s="51">
        <f t="shared" si="160"/>
        <v>1.2800845441963571</v>
      </c>
      <c r="W331" s="51">
        <f t="shared" si="160"/>
        <v>1.312086657801266</v>
      </c>
      <c r="X331" s="51">
        <f t="shared" si="160"/>
        <v>1.3448888242462975</v>
      </c>
      <c r="Y331" s="51">
        <f t="shared" si="160"/>
        <v>1.3785110448524549</v>
      </c>
      <c r="Z331" s="51">
        <f t="shared" si="160"/>
        <v>1.4129738209737661</v>
      </c>
    </row>
    <row r="332" spans="2:26" ht="15" customHeight="1" outlineLevel="1" x14ac:dyDescent="0.3">
      <c r="B332" s="38"/>
      <c r="C332" s="38" t="s">
        <v>160</v>
      </c>
      <c r="D332" s="38"/>
      <c r="E332" s="96" t="s">
        <v>68</v>
      </c>
      <c r="F332" s="38"/>
      <c r="G332" s="40"/>
      <c r="H332" s="38"/>
      <c r="I332" s="38"/>
      <c r="J332" s="38"/>
      <c r="K332" s="38"/>
      <c r="L332" s="40">
        <v>0</v>
      </c>
      <c r="M332" s="40">
        <v>0</v>
      </c>
      <c r="N332" s="40">
        <v>0</v>
      </c>
      <c r="O332" s="40">
        <v>0</v>
      </c>
      <c r="P332" s="40">
        <v>0.45</v>
      </c>
      <c r="Q332" s="40">
        <v>0.6</v>
      </c>
      <c r="R332" s="40">
        <v>0.75</v>
      </c>
      <c r="S332" s="40">
        <v>0.9</v>
      </c>
      <c r="T332" s="40">
        <v>0.9</v>
      </c>
      <c r="U332" s="40">
        <v>0.9</v>
      </c>
      <c r="V332" s="40">
        <v>0.9</v>
      </c>
      <c r="W332" s="40">
        <v>0.9</v>
      </c>
      <c r="X332" s="40">
        <v>0.9</v>
      </c>
      <c r="Y332" s="40">
        <v>0.9</v>
      </c>
      <c r="Z332" s="40">
        <v>0.9</v>
      </c>
    </row>
    <row r="333" spans="2:26" ht="15" customHeight="1" outlineLevel="1" x14ac:dyDescent="0.3">
      <c r="B333" s="38"/>
      <c r="C333" s="38"/>
      <c r="D333" s="38"/>
      <c r="E333" s="96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2:26" ht="15" customHeight="1" outlineLevel="1" x14ac:dyDescent="0.3">
      <c r="B334" s="38"/>
      <c r="C334" s="38" t="s">
        <v>188</v>
      </c>
      <c r="D334" s="38"/>
      <c r="E334" s="96" t="s">
        <v>189</v>
      </c>
      <c r="F334" s="38"/>
      <c r="G334" s="174">
        <v>5521</v>
      </c>
      <c r="I334" s="38"/>
      <c r="J334" s="38"/>
      <c r="K334" s="38"/>
      <c r="L334" s="51">
        <f t="shared" ref="L334:Z334" si="161">$G334*L332</f>
        <v>0</v>
      </c>
      <c r="M334" s="51">
        <f t="shared" si="161"/>
        <v>0</v>
      </c>
      <c r="N334" s="51">
        <f t="shared" si="161"/>
        <v>0</v>
      </c>
      <c r="O334" s="51">
        <f t="shared" si="161"/>
        <v>0</v>
      </c>
      <c r="P334" s="51">
        <f t="shared" si="161"/>
        <v>2484.4500000000003</v>
      </c>
      <c r="Q334" s="51">
        <f t="shared" si="161"/>
        <v>3312.6</v>
      </c>
      <c r="R334" s="51">
        <f t="shared" si="161"/>
        <v>4140.75</v>
      </c>
      <c r="S334" s="51">
        <f t="shared" si="161"/>
        <v>4968.9000000000005</v>
      </c>
      <c r="T334" s="51">
        <f t="shared" si="161"/>
        <v>4968.9000000000005</v>
      </c>
      <c r="U334" s="51">
        <f t="shared" si="161"/>
        <v>4968.9000000000005</v>
      </c>
      <c r="V334" s="51">
        <f t="shared" si="161"/>
        <v>4968.9000000000005</v>
      </c>
      <c r="W334" s="51">
        <f t="shared" si="161"/>
        <v>4968.9000000000005</v>
      </c>
      <c r="X334" s="51">
        <f t="shared" si="161"/>
        <v>4968.9000000000005</v>
      </c>
      <c r="Y334" s="51">
        <f t="shared" si="161"/>
        <v>4968.9000000000005</v>
      </c>
      <c r="Z334" s="51">
        <f t="shared" si="161"/>
        <v>4968.9000000000005</v>
      </c>
    </row>
    <row r="335" spans="2:26" ht="15" customHeight="1" outlineLevel="1" x14ac:dyDescent="0.3">
      <c r="B335" s="38"/>
      <c r="C335" s="38" t="s">
        <v>93</v>
      </c>
      <c r="D335" s="38"/>
      <c r="E335" s="96" t="s">
        <v>62</v>
      </c>
      <c r="F335" s="38"/>
      <c r="G335" s="174">
        <v>3500</v>
      </c>
      <c r="H335" s="38"/>
      <c r="I335" s="38"/>
      <c r="J335" s="38"/>
      <c r="K335" s="38"/>
      <c r="L335" s="51">
        <f t="shared" ref="L335:Z335" si="162">$G335*L331</f>
        <v>0</v>
      </c>
      <c r="M335" s="51">
        <f t="shared" si="162"/>
        <v>0</v>
      </c>
      <c r="N335" s="51">
        <f t="shared" si="162"/>
        <v>0</v>
      </c>
      <c r="O335" s="51">
        <f t="shared" si="162"/>
        <v>0</v>
      </c>
      <c r="P335" s="51">
        <f t="shared" si="162"/>
        <v>3863.345117187499</v>
      </c>
      <c r="Q335" s="51">
        <f t="shared" si="162"/>
        <v>3959.9287451171863</v>
      </c>
      <c r="R335" s="51">
        <f t="shared" si="162"/>
        <v>4058.9269637451157</v>
      </c>
      <c r="S335" s="51">
        <f t="shared" si="162"/>
        <v>4160.4001378387438</v>
      </c>
      <c r="T335" s="51">
        <f t="shared" si="162"/>
        <v>4264.4101412847122</v>
      </c>
      <c r="U335" s="51">
        <f t="shared" si="162"/>
        <v>4371.0203948168291</v>
      </c>
      <c r="V335" s="51">
        <f t="shared" si="162"/>
        <v>4480.2959046872502</v>
      </c>
      <c r="W335" s="51">
        <f t="shared" si="162"/>
        <v>4592.3033023044309</v>
      </c>
      <c r="X335" s="51">
        <f t="shared" si="162"/>
        <v>4707.1108848620415</v>
      </c>
      <c r="Y335" s="51">
        <f t="shared" si="162"/>
        <v>4824.7886569835919</v>
      </c>
      <c r="Z335" s="51">
        <f t="shared" si="162"/>
        <v>4945.4083734081814</v>
      </c>
    </row>
    <row r="336" spans="2:26" ht="15" customHeight="1" outlineLevel="1" x14ac:dyDescent="0.3">
      <c r="B336" s="38"/>
      <c r="C336" s="49" t="s">
        <v>191</v>
      </c>
      <c r="D336" s="78"/>
      <c r="E336" s="79" t="s">
        <v>70</v>
      </c>
      <c r="F336" s="78"/>
      <c r="G336" s="34"/>
      <c r="H336" s="34"/>
      <c r="I336" s="34"/>
      <c r="J336" s="34">
        <f>SUM(L336:Z336)</f>
        <v>220121.28609806683</v>
      </c>
      <c r="K336" s="34"/>
      <c r="L336" s="34">
        <f t="shared" ref="L336:Z336" si="163">L334*L335/$G$6</f>
        <v>0</v>
      </c>
      <c r="M336" s="34">
        <f t="shared" si="163"/>
        <v>0</v>
      </c>
      <c r="N336" s="34">
        <f t="shared" si="163"/>
        <v>0</v>
      </c>
      <c r="O336" s="34">
        <f t="shared" si="163"/>
        <v>0</v>
      </c>
      <c r="P336" s="34">
        <f t="shared" si="163"/>
        <v>9598.2877763964825</v>
      </c>
      <c r="Q336" s="34">
        <f t="shared" si="163"/>
        <v>13117.659961075191</v>
      </c>
      <c r="R336" s="34">
        <f t="shared" si="163"/>
        <v>16807.001825127587</v>
      </c>
      <c r="S336" s="34">
        <f t="shared" si="163"/>
        <v>20672.612244906937</v>
      </c>
      <c r="T336" s="34">
        <f t="shared" si="163"/>
        <v>21189.427551029607</v>
      </c>
      <c r="U336" s="34">
        <f t="shared" si="163"/>
        <v>21719.163239805344</v>
      </c>
      <c r="V336" s="34">
        <f t="shared" si="163"/>
        <v>22262.142320800478</v>
      </c>
      <c r="W336" s="34">
        <f t="shared" si="163"/>
        <v>22818.69587882049</v>
      </c>
      <c r="X336" s="34">
        <f t="shared" si="163"/>
        <v>23389.163275791001</v>
      </c>
      <c r="Y336" s="34">
        <f t="shared" si="163"/>
        <v>23973.892357685771</v>
      </c>
      <c r="Z336" s="34">
        <f t="shared" si="163"/>
        <v>24573.239666627913</v>
      </c>
    </row>
    <row r="337" spans="2:26" ht="15" customHeight="1" outlineLevel="1" x14ac:dyDescent="0.3">
      <c r="B337" s="38"/>
      <c r="C337" s="38"/>
      <c r="D337" s="38"/>
      <c r="E337" s="96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2:26" ht="15" customHeight="1" outlineLevel="1" x14ac:dyDescent="0.3">
      <c r="B338" s="97"/>
      <c r="C338" s="97" t="s">
        <v>44</v>
      </c>
      <c r="D338" s="162">
        <v>3</v>
      </c>
      <c r="E338" s="98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spans="2:26" ht="15" customHeight="1" outlineLevel="1" x14ac:dyDescent="0.3">
      <c r="B339" s="38"/>
      <c r="E339" s="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2:26" ht="15" customHeight="1" outlineLevel="1" x14ac:dyDescent="0.3">
      <c r="B340" s="38"/>
      <c r="C340" s="38" t="s">
        <v>155</v>
      </c>
      <c r="D340" s="38"/>
      <c r="E340" s="96" t="s">
        <v>148</v>
      </c>
      <c r="F340" s="38"/>
      <c r="G340" s="174">
        <v>2029</v>
      </c>
      <c r="H340" s="38"/>
      <c r="I340" s="38"/>
      <c r="J340" s="38"/>
      <c r="K340" s="38"/>
      <c r="L340" s="51">
        <f t="shared" ref="L340:Z340" si="164">IF(L$4&gt;=$G$330,K340+1,0)</f>
        <v>0</v>
      </c>
      <c r="M340" s="51">
        <f t="shared" si="164"/>
        <v>0</v>
      </c>
      <c r="N340" s="51">
        <f t="shared" si="164"/>
        <v>0</v>
      </c>
      <c r="O340" s="51">
        <f t="shared" si="164"/>
        <v>0</v>
      </c>
      <c r="P340" s="51">
        <f t="shared" si="164"/>
        <v>1</v>
      </c>
      <c r="Q340" s="51">
        <f t="shared" si="164"/>
        <v>2</v>
      </c>
      <c r="R340" s="51">
        <f t="shared" si="164"/>
        <v>3</v>
      </c>
      <c r="S340" s="51">
        <f t="shared" si="164"/>
        <v>4</v>
      </c>
      <c r="T340" s="51">
        <f t="shared" si="164"/>
        <v>5</v>
      </c>
      <c r="U340" s="51">
        <f t="shared" si="164"/>
        <v>6</v>
      </c>
      <c r="V340" s="51">
        <f t="shared" si="164"/>
        <v>7</v>
      </c>
      <c r="W340" s="51">
        <f t="shared" si="164"/>
        <v>8</v>
      </c>
      <c r="X340" s="51">
        <f t="shared" si="164"/>
        <v>9</v>
      </c>
      <c r="Y340" s="51">
        <f t="shared" si="164"/>
        <v>10</v>
      </c>
      <c r="Z340" s="51">
        <f t="shared" si="164"/>
        <v>11</v>
      </c>
    </row>
    <row r="341" spans="2:26" ht="15" customHeight="1" outlineLevel="1" x14ac:dyDescent="0.3">
      <c r="B341" s="38"/>
      <c r="C341" s="38" t="s">
        <v>149</v>
      </c>
      <c r="D341" s="38"/>
      <c r="E341" s="96" t="s">
        <v>161</v>
      </c>
      <c r="F341" s="38"/>
      <c r="G341" s="40">
        <v>2.5000000000000001E-2</v>
      </c>
      <c r="H341" s="38"/>
      <c r="I341" s="38"/>
      <c r="J341" s="38"/>
      <c r="K341" s="38"/>
      <c r="L341" s="51">
        <f t="shared" ref="L341:Z341" si="165">IF(AND(L340&gt;0,L$6&gt;1),(1+$G341)^(L$6-1),0)</f>
        <v>0</v>
      </c>
      <c r="M341" s="51">
        <f t="shared" si="165"/>
        <v>0</v>
      </c>
      <c r="N341" s="51">
        <f t="shared" si="165"/>
        <v>0</v>
      </c>
      <c r="O341" s="51">
        <f t="shared" si="165"/>
        <v>0</v>
      </c>
      <c r="P341" s="51">
        <f t="shared" si="165"/>
        <v>1.1038128906249998</v>
      </c>
      <c r="Q341" s="51">
        <f t="shared" si="165"/>
        <v>1.1314082128906247</v>
      </c>
      <c r="R341" s="51">
        <f t="shared" si="165"/>
        <v>1.1596934182128902</v>
      </c>
      <c r="S341" s="51">
        <f t="shared" si="165"/>
        <v>1.1886857536682125</v>
      </c>
      <c r="T341" s="51">
        <f t="shared" si="165"/>
        <v>1.2184028975099177</v>
      </c>
      <c r="U341" s="51">
        <f t="shared" si="165"/>
        <v>1.2488629699476654</v>
      </c>
      <c r="V341" s="51">
        <f t="shared" si="165"/>
        <v>1.2800845441963571</v>
      </c>
      <c r="W341" s="51">
        <f t="shared" si="165"/>
        <v>1.312086657801266</v>
      </c>
      <c r="X341" s="51">
        <f t="shared" si="165"/>
        <v>1.3448888242462975</v>
      </c>
      <c r="Y341" s="51">
        <f t="shared" si="165"/>
        <v>1.3785110448524549</v>
      </c>
      <c r="Z341" s="51">
        <f t="shared" si="165"/>
        <v>1.4129738209737661</v>
      </c>
    </row>
    <row r="342" spans="2:26" ht="15" customHeight="1" outlineLevel="1" x14ac:dyDescent="0.3">
      <c r="B342" s="38"/>
      <c r="C342" s="38" t="s">
        <v>160</v>
      </c>
      <c r="D342" s="38"/>
      <c r="E342" s="96" t="s">
        <v>68</v>
      </c>
      <c r="F342" s="38"/>
      <c r="G342" s="40"/>
      <c r="H342" s="38"/>
      <c r="I342" s="38"/>
      <c r="J342" s="38"/>
      <c r="K342" s="38"/>
      <c r="L342" s="40">
        <v>0</v>
      </c>
      <c r="M342" s="40">
        <v>0</v>
      </c>
      <c r="N342" s="40">
        <v>0</v>
      </c>
      <c r="O342" s="40">
        <v>0</v>
      </c>
      <c r="P342" s="40">
        <v>0.45</v>
      </c>
      <c r="Q342" s="40">
        <v>0.6</v>
      </c>
      <c r="R342" s="40">
        <v>0.75</v>
      </c>
      <c r="S342" s="40">
        <v>0.9</v>
      </c>
      <c r="T342" s="40">
        <v>0.9</v>
      </c>
      <c r="U342" s="40">
        <v>0.9</v>
      </c>
      <c r="V342" s="40">
        <v>0.9</v>
      </c>
      <c r="W342" s="40">
        <v>0.9</v>
      </c>
      <c r="X342" s="40">
        <v>0.9</v>
      </c>
      <c r="Y342" s="40">
        <v>0.9</v>
      </c>
      <c r="Z342" s="40">
        <v>0.9</v>
      </c>
    </row>
    <row r="343" spans="2:26" ht="15" customHeight="1" outlineLevel="1" x14ac:dyDescent="0.3">
      <c r="B343" s="38"/>
      <c r="C343" s="38"/>
      <c r="D343" s="38"/>
      <c r="E343" s="96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2:26" ht="15" customHeight="1" outlineLevel="1" x14ac:dyDescent="0.3">
      <c r="B344" s="38"/>
      <c r="C344" s="38" t="s">
        <v>188</v>
      </c>
      <c r="D344" s="38"/>
      <c r="E344" s="96" t="s">
        <v>189</v>
      </c>
      <c r="F344" s="38"/>
      <c r="G344" s="174">
        <v>2906.69</v>
      </c>
      <c r="I344" s="38"/>
      <c r="J344" s="38"/>
      <c r="K344" s="38"/>
      <c r="L344" s="51">
        <f t="shared" ref="L344:Z344" si="166">$G344*L342</f>
        <v>0</v>
      </c>
      <c r="M344" s="51">
        <f t="shared" si="166"/>
        <v>0</v>
      </c>
      <c r="N344" s="51">
        <f t="shared" si="166"/>
        <v>0</v>
      </c>
      <c r="O344" s="51">
        <f t="shared" si="166"/>
        <v>0</v>
      </c>
      <c r="P344" s="51">
        <f t="shared" si="166"/>
        <v>1308.0105000000001</v>
      </c>
      <c r="Q344" s="51">
        <f t="shared" si="166"/>
        <v>1744.0139999999999</v>
      </c>
      <c r="R344" s="51">
        <f t="shared" si="166"/>
        <v>2180.0174999999999</v>
      </c>
      <c r="S344" s="51">
        <f t="shared" si="166"/>
        <v>2616.0210000000002</v>
      </c>
      <c r="T344" s="51">
        <f t="shared" si="166"/>
        <v>2616.0210000000002</v>
      </c>
      <c r="U344" s="51">
        <f t="shared" si="166"/>
        <v>2616.0210000000002</v>
      </c>
      <c r="V344" s="51">
        <f t="shared" si="166"/>
        <v>2616.0210000000002</v>
      </c>
      <c r="W344" s="51">
        <f t="shared" si="166"/>
        <v>2616.0210000000002</v>
      </c>
      <c r="X344" s="51">
        <f t="shared" si="166"/>
        <v>2616.0210000000002</v>
      </c>
      <c r="Y344" s="51">
        <f t="shared" si="166"/>
        <v>2616.0210000000002</v>
      </c>
      <c r="Z344" s="51">
        <f t="shared" si="166"/>
        <v>2616.0210000000002</v>
      </c>
    </row>
    <row r="345" spans="2:26" ht="15" customHeight="1" outlineLevel="1" x14ac:dyDescent="0.3">
      <c r="B345" s="38"/>
      <c r="C345" s="38" t="s">
        <v>93</v>
      </c>
      <c r="D345" s="38"/>
      <c r="E345" s="96" t="s">
        <v>62</v>
      </c>
      <c r="F345" s="38"/>
      <c r="G345" s="174">
        <v>3500</v>
      </c>
      <c r="H345" s="38"/>
      <c r="I345" s="38"/>
      <c r="J345" s="38"/>
      <c r="K345" s="38"/>
      <c r="L345" s="51">
        <f t="shared" ref="L345:Z345" si="167">$G345*L341</f>
        <v>0</v>
      </c>
      <c r="M345" s="51">
        <f t="shared" si="167"/>
        <v>0</v>
      </c>
      <c r="N345" s="51">
        <f t="shared" si="167"/>
        <v>0</v>
      </c>
      <c r="O345" s="51">
        <f t="shared" si="167"/>
        <v>0</v>
      </c>
      <c r="P345" s="51">
        <f t="shared" si="167"/>
        <v>3863.345117187499</v>
      </c>
      <c r="Q345" s="51">
        <f t="shared" si="167"/>
        <v>3959.9287451171863</v>
      </c>
      <c r="R345" s="51">
        <f t="shared" si="167"/>
        <v>4058.9269637451157</v>
      </c>
      <c r="S345" s="51">
        <f t="shared" si="167"/>
        <v>4160.4001378387438</v>
      </c>
      <c r="T345" s="51">
        <f t="shared" si="167"/>
        <v>4264.4101412847122</v>
      </c>
      <c r="U345" s="51">
        <f t="shared" si="167"/>
        <v>4371.0203948168291</v>
      </c>
      <c r="V345" s="51">
        <f t="shared" si="167"/>
        <v>4480.2959046872502</v>
      </c>
      <c r="W345" s="51">
        <f t="shared" si="167"/>
        <v>4592.3033023044309</v>
      </c>
      <c r="X345" s="51">
        <f t="shared" si="167"/>
        <v>4707.1108848620415</v>
      </c>
      <c r="Y345" s="51">
        <f t="shared" si="167"/>
        <v>4824.7886569835919</v>
      </c>
      <c r="Z345" s="51">
        <f t="shared" si="167"/>
        <v>4945.4083734081814</v>
      </c>
    </row>
    <row r="346" spans="2:26" ht="15" customHeight="1" outlineLevel="1" x14ac:dyDescent="0.3">
      <c r="B346" s="38"/>
      <c r="C346" s="49" t="s">
        <v>187</v>
      </c>
      <c r="D346" s="78"/>
      <c r="E346" s="79" t="s">
        <v>70</v>
      </c>
      <c r="F346" s="78"/>
      <c r="G346" s="34"/>
      <c r="H346" s="34"/>
      <c r="I346" s="34"/>
      <c r="J346" s="34">
        <f>SUM(L346:Z346)</f>
        <v>115889.21229639373</v>
      </c>
      <c r="K346" s="34"/>
      <c r="L346" s="34">
        <f t="shared" ref="L346:Z346" si="168">L344*L345/$G$6</f>
        <v>0</v>
      </c>
      <c r="M346" s="34">
        <f t="shared" si="168"/>
        <v>0</v>
      </c>
      <c r="N346" s="34">
        <f t="shared" si="168"/>
        <v>0</v>
      </c>
      <c r="O346" s="34">
        <f t="shared" si="168"/>
        <v>0</v>
      </c>
      <c r="P346" s="34">
        <f t="shared" si="168"/>
        <v>5053.295978404979</v>
      </c>
      <c r="Q346" s="34">
        <f t="shared" si="168"/>
        <v>6906.1711704868039</v>
      </c>
      <c r="R346" s="34">
        <f t="shared" si="168"/>
        <v>8848.5318121862165</v>
      </c>
      <c r="S346" s="34">
        <f t="shared" si="168"/>
        <v>10883.694128989051</v>
      </c>
      <c r="T346" s="34">
        <f t="shared" si="168"/>
        <v>11155.786482213774</v>
      </c>
      <c r="U346" s="34">
        <f t="shared" si="168"/>
        <v>11434.681144269116</v>
      </c>
      <c r="V346" s="34">
        <f t="shared" si="168"/>
        <v>11720.548172875846</v>
      </c>
      <c r="W346" s="34">
        <f t="shared" si="168"/>
        <v>12013.561877197741</v>
      </c>
      <c r="X346" s="34">
        <f t="shared" si="168"/>
        <v>12313.900924127684</v>
      </c>
      <c r="Y346" s="34">
        <f t="shared" si="168"/>
        <v>12621.748447230873</v>
      </c>
      <c r="Z346" s="34">
        <f t="shared" si="168"/>
        <v>12937.292158411645</v>
      </c>
    </row>
    <row r="347" spans="2:26" ht="15" customHeight="1" x14ac:dyDescent="0.3">
      <c r="B347" s="38"/>
      <c r="C347" s="38"/>
      <c r="D347" s="38"/>
      <c r="E347" s="96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2:26" ht="15" customHeight="1" x14ac:dyDescent="0.3">
      <c r="B348" s="21" t="s">
        <v>193</v>
      </c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2:26" ht="15" customHeight="1" x14ac:dyDescent="0.3"/>
    <row r="350" spans="2:26" ht="15" customHeight="1" x14ac:dyDescent="0.3"/>
    <row r="351" spans="2:26" ht="15" customHeight="1" x14ac:dyDescent="0.3"/>
    <row r="352" spans="2:26" ht="15" customHeight="1" x14ac:dyDescent="0.3"/>
    <row r="353" ht="15" customHeight="1" x14ac:dyDescent="0.3"/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2691E-BE30-416E-A745-624E94BA10A4}">
  <dimension ref="A1:Y205"/>
  <sheetViews>
    <sheetView showGridLines="0" zoomScale="80" zoomScaleNormal="80" workbookViewId="0">
      <pane xSplit="4" ySplit="4" topLeftCell="N74" activePane="bottomRight" state="frozen"/>
      <selection pane="topRight" activeCell="E1" sqref="E1"/>
      <selection pane="bottomLeft" activeCell="A5" sqref="A5"/>
      <selection pane="bottomRight" activeCell="X86" sqref="X86"/>
    </sheetView>
  </sheetViews>
  <sheetFormatPr defaultRowHeight="12.6" x14ac:dyDescent="0.3"/>
  <cols>
    <col min="1" max="1" width="3.33203125" style="8" customWidth="1"/>
    <col min="2" max="2" width="2.5546875" style="8" customWidth="1"/>
    <col min="3" max="3" width="43.21875" style="8" customWidth="1"/>
    <col min="4" max="4" width="10.21875" style="20" customWidth="1"/>
    <col min="5" max="5" width="3.33203125" style="8" customWidth="1"/>
    <col min="6" max="6" width="12.77734375" style="22" customWidth="1"/>
    <col min="7" max="8" width="12.77734375" style="8" customWidth="1"/>
    <col min="9" max="9" width="3" style="8" customWidth="1"/>
    <col min="10" max="24" width="13" style="8" customWidth="1"/>
    <col min="25" max="16384" width="8.88671875" style="8"/>
  </cols>
  <sheetData>
    <row r="1" spans="1:24" ht="15" customHeight="1" x14ac:dyDescent="0.3">
      <c r="A1" s="55"/>
      <c r="B1" s="104" t="s">
        <v>408</v>
      </c>
      <c r="C1" s="104"/>
      <c r="D1" s="393"/>
      <c r="E1" s="104"/>
      <c r="F1" s="105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</row>
    <row r="2" spans="1:24" ht="15" customHeight="1" x14ac:dyDescent="0.3">
      <c r="A2" s="55"/>
      <c r="B2" s="106" t="s">
        <v>564</v>
      </c>
      <c r="C2" s="106"/>
      <c r="D2" s="107"/>
      <c r="E2" s="106"/>
      <c r="F2" s="107"/>
      <c r="G2" s="106"/>
      <c r="H2" s="106"/>
      <c r="I2" s="106"/>
      <c r="J2" s="106" t="s">
        <v>409</v>
      </c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</row>
    <row r="3" spans="1:24" ht="15" customHeight="1" x14ac:dyDescent="0.3">
      <c r="A3" s="55"/>
      <c r="B3" s="106" t="s">
        <v>566</v>
      </c>
      <c r="C3" s="106"/>
      <c r="D3" s="107"/>
      <c r="E3" s="106"/>
      <c r="F3" s="107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</row>
    <row r="4" spans="1:24" ht="15" customHeight="1" x14ac:dyDescent="0.3">
      <c r="A4" s="55"/>
      <c r="B4" s="108" t="s">
        <v>0</v>
      </c>
      <c r="C4" s="108"/>
      <c r="D4" s="109" t="s">
        <v>43</v>
      </c>
      <c r="E4" s="109"/>
      <c r="F4" s="110" t="s">
        <v>401</v>
      </c>
      <c r="G4" s="109" t="s">
        <v>93</v>
      </c>
      <c r="H4" s="109" t="s">
        <v>23</v>
      </c>
      <c r="I4" s="109"/>
      <c r="J4" s="109">
        <f>Revenue!L4</f>
        <v>2025</v>
      </c>
      <c r="K4" s="109">
        <f t="shared" ref="K4:X4" si="0">J4+1</f>
        <v>2026</v>
      </c>
      <c r="L4" s="109">
        <f t="shared" si="0"/>
        <v>2027</v>
      </c>
      <c r="M4" s="109">
        <f t="shared" si="0"/>
        <v>2028</v>
      </c>
      <c r="N4" s="109">
        <f t="shared" si="0"/>
        <v>2029</v>
      </c>
      <c r="O4" s="109">
        <f t="shared" si="0"/>
        <v>2030</v>
      </c>
      <c r="P4" s="109">
        <f t="shared" si="0"/>
        <v>2031</v>
      </c>
      <c r="Q4" s="109">
        <f t="shared" si="0"/>
        <v>2032</v>
      </c>
      <c r="R4" s="109">
        <f t="shared" si="0"/>
        <v>2033</v>
      </c>
      <c r="S4" s="109">
        <f t="shared" si="0"/>
        <v>2034</v>
      </c>
      <c r="T4" s="109">
        <f t="shared" si="0"/>
        <v>2035</v>
      </c>
      <c r="U4" s="109">
        <f t="shared" si="0"/>
        <v>2036</v>
      </c>
      <c r="V4" s="109">
        <f t="shared" si="0"/>
        <v>2037</v>
      </c>
      <c r="W4" s="109">
        <f t="shared" si="0"/>
        <v>2038</v>
      </c>
      <c r="X4" s="109">
        <f t="shared" si="0"/>
        <v>2039</v>
      </c>
    </row>
    <row r="5" spans="1:24" ht="15" customHeight="1" x14ac:dyDescent="0.3">
      <c r="A5" s="55"/>
      <c r="B5" s="55"/>
      <c r="C5" s="55"/>
      <c r="D5" s="111"/>
      <c r="E5" s="55"/>
      <c r="F5" s="112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</row>
    <row r="6" spans="1:24" ht="15" customHeight="1" x14ac:dyDescent="0.3">
      <c r="A6" s="55"/>
      <c r="B6" s="108" t="s">
        <v>365</v>
      </c>
      <c r="C6" s="108"/>
      <c r="D6" s="109"/>
      <c r="E6" s="113"/>
      <c r="F6" s="109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</row>
    <row r="7" spans="1:24" ht="15" customHeight="1" x14ac:dyDescent="0.3">
      <c r="A7" s="55"/>
      <c r="B7" s="114" t="s">
        <v>182</v>
      </c>
      <c r="C7" s="114"/>
      <c r="D7" s="394">
        <v>1</v>
      </c>
      <c r="E7" s="55"/>
      <c r="F7" s="112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</row>
    <row r="8" spans="1:24" ht="15" customHeight="1" x14ac:dyDescent="0.3">
      <c r="A8" s="55"/>
      <c r="B8" s="55"/>
      <c r="C8" s="55" t="s">
        <v>367</v>
      </c>
      <c r="D8" s="111"/>
      <c r="E8" s="55"/>
      <c r="F8" s="112"/>
      <c r="G8" s="55"/>
      <c r="H8" s="62">
        <f>SUM(J8:X8)</f>
        <v>4770729.1410850827</v>
      </c>
      <c r="I8" s="56"/>
      <c r="J8" s="62">
        <f>Revenue!L316</f>
        <v>0</v>
      </c>
      <c r="K8" s="62">
        <f>Revenue!M316</f>
        <v>265571.24299999996</v>
      </c>
      <c r="L8" s="62">
        <f>Revenue!N316</f>
        <v>275698.24300000019</v>
      </c>
      <c r="M8" s="62">
        <f>Revenue!O316</f>
        <v>285825.24300000013</v>
      </c>
      <c r="N8" s="62">
        <f>Revenue!P316</f>
        <v>297018.24300000007</v>
      </c>
      <c r="O8" s="62">
        <f>Revenue!Q316</f>
        <v>309646.24300000007</v>
      </c>
      <c r="P8" s="62">
        <f>Revenue!R316</f>
        <v>328470.82057797001</v>
      </c>
      <c r="Q8" s="62">
        <f>Revenue!S316</f>
        <v>338324.94519530906</v>
      </c>
      <c r="R8" s="62">
        <f>Revenue!T316</f>
        <v>348474.69355116831</v>
      </c>
      <c r="S8" s="62">
        <f>Revenue!U316</f>
        <v>358928.93435770331</v>
      </c>
      <c r="T8" s="62">
        <f>Revenue!V316</f>
        <v>369696.80238843441</v>
      </c>
      <c r="U8" s="62">
        <f>Revenue!W316</f>
        <v>380787.70646008773</v>
      </c>
      <c r="V8" s="62">
        <f>Revenue!X316</f>
        <v>392211.33765389025</v>
      </c>
      <c r="W8" s="62">
        <f>Revenue!Y316</f>
        <v>403977.67778350663</v>
      </c>
      <c r="X8" s="62">
        <f>Revenue!Z316</f>
        <v>416097.00811701245</v>
      </c>
    </row>
    <row r="9" spans="1:24" ht="15" customHeight="1" x14ac:dyDescent="0.3">
      <c r="A9" s="55"/>
      <c r="B9" s="55"/>
      <c r="C9" s="55" t="s">
        <v>368</v>
      </c>
      <c r="D9" s="111"/>
      <c r="E9" s="55"/>
      <c r="F9" s="112"/>
      <c r="G9" s="55"/>
      <c r="H9" s="62">
        <f>SUM(J9:X9)</f>
        <v>872604.82948096166</v>
      </c>
      <c r="I9" s="56"/>
      <c r="J9" s="62">
        <f>Revenue!L317</f>
        <v>0</v>
      </c>
      <c r="K9" s="62">
        <f>Revenue!M317</f>
        <v>48580.106000000073</v>
      </c>
      <c r="L9" s="62">
        <f>Revenue!N317</f>
        <v>50432.605999999971</v>
      </c>
      <c r="M9" s="62">
        <f>Revenue!O317</f>
        <v>52285.105999999891</v>
      </c>
      <c r="N9" s="62">
        <f>Revenue!P317</f>
        <v>54332.606000000036</v>
      </c>
      <c r="O9" s="62">
        <f>Revenue!Q317</f>
        <v>56642.606000000058</v>
      </c>
      <c r="P9" s="62">
        <f>Revenue!R317</f>
        <v>60077.313083710716</v>
      </c>
      <c r="Q9" s="62">
        <f>Revenue!S317</f>
        <v>61879.632476222032</v>
      </c>
      <c r="R9" s="62">
        <f>Revenue!T317</f>
        <v>63736.021450508684</v>
      </c>
      <c r="S9" s="62">
        <f>Revenue!U317</f>
        <v>65648.10209402394</v>
      </c>
      <c r="T9" s="62">
        <f>Revenue!V317</f>
        <v>67617.545156844659</v>
      </c>
      <c r="U9" s="62">
        <f>Revenue!W317</f>
        <v>69646.07151155005</v>
      </c>
      <c r="V9" s="62">
        <f>Revenue!X317</f>
        <v>71735.453656896527</v>
      </c>
      <c r="W9" s="62">
        <f>Revenue!Y317</f>
        <v>73887.517266603361</v>
      </c>
      <c r="X9" s="62">
        <f>Revenue!Z317</f>
        <v>76104.142784601572</v>
      </c>
    </row>
    <row r="10" spans="1:24" ht="15" customHeight="1" x14ac:dyDescent="0.3">
      <c r="A10" s="55"/>
      <c r="B10" s="55"/>
      <c r="C10" s="55" t="s">
        <v>168</v>
      </c>
      <c r="D10" s="111"/>
      <c r="E10" s="55"/>
      <c r="F10" s="112"/>
      <c r="G10" s="55"/>
      <c r="H10" s="62">
        <f>SUM(J10:X10)</f>
        <v>170994.88152146159</v>
      </c>
      <c r="I10" s="56"/>
      <c r="J10" s="62">
        <f>Revenue!L318</f>
        <v>0</v>
      </c>
      <c r="K10" s="62">
        <f>Revenue!M318</f>
        <v>9716.0210000000116</v>
      </c>
      <c r="L10" s="62">
        <f>Revenue!N318</f>
        <v>10086.520999999997</v>
      </c>
      <c r="M10" s="62">
        <f>Revenue!O318</f>
        <v>10457.020999999993</v>
      </c>
      <c r="N10" s="62">
        <f>Revenue!P318</f>
        <v>10866.52100000001</v>
      </c>
      <c r="O10" s="62">
        <f>Revenue!Q318</f>
        <v>11328.520999999999</v>
      </c>
      <c r="P10" s="62">
        <f>Revenue!R318</f>
        <v>11668.376629999988</v>
      </c>
      <c r="Q10" s="62">
        <f>Revenue!S318</f>
        <v>12018.427928899986</v>
      </c>
      <c r="R10" s="62">
        <f>Revenue!T318</f>
        <v>12378.980766766985</v>
      </c>
      <c r="S10" s="62">
        <f>Revenue!U318</f>
        <v>12750.350189769993</v>
      </c>
      <c r="T10" s="62">
        <f>Revenue!V318</f>
        <v>13132.860695463094</v>
      </c>
      <c r="U10" s="62">
        <f>Revenue!W318</f>
        <v>13526.846516326996</v>
      </c>
      <c r="V10" s="62">
        <f>Revenue!X318</f>
        <v>13932.651911816802</v>
      </c>
      <c r="W10" s="62">
        <f>Revenue!Y318</f>
        <v>14350.631469171294</v>
      </c>
      <c r="X10" s="62">
        <f>Revenue!Z318</f>
        <v>14781.150413246456</v>
      </c>
    </row>
    <row r="11" spans="1:24" ht="15" customHeight="1" x14ac:dyDescent="0.3">
      <c r="A11" s="55"/>
      <c r="B11" s="115" t="s">
        <v>369</v>
      </c>
      <c r="C11" s="115"/>
      <c r="D11" s="395"/>
      <c r="E11" s="115"/>
      <c r="F11" s="116"/>
      <c r="G11" s="115"/>
      <c r="H11" s="65">
        <f>SUM(J11:X11)</f>
        <v>5814328.8520875061</v>
      </c>
      <c r="I11" s="57"/>
      <c r="J11" s="65">
        <f t="shared" ref="J11:X11" si="1">SUM(J8:J10)</f>
        <v>0</v>
      </c>
      <c r="K11" s="65">
        <f t="shared" si="1"/>
        <v>323867.37000000005</v>
      </c>
      <c r="L11" s="65">
        <f t="shared" si="1"/>
        <v>336217.37000000017</v>
      </c>
      <c r="M11" s="65">
        <f t="shared" si="1"/>
        <v>348567.37000000005</v>
      </c>
      <c r="N11" s="65">
        <f t="shared" si="1"/>
        <v>362217.37000000011</v>
      </c>
      <c r="O11" s="65">
        <f t="shared" si="1"/>
        <v>377617.37000000017</v>
      </c>
      <c r="P11" s="65">
        <f t="shared" si="1"/>
        <v>400216.51029168075</v>
      </c>
      <c r="Q11" s="65">
        <f t="shared" si="1"/>
        <v>412223.00560043112</v>
      </c>
      <c r="R11" s="65">
        <f t="shared" si="1"/>
        <v>424589.69576844398</v>
      </c>
      <c r="S11" s="65">
        <f t="shared" si="1"/>
        <v>437327.38664149726</v>
      </c>
      <c r="T11" s="65">
        <f t="shared" si="1"/>
        <v>450447.20824074215</v>
      </c>
      <c r="U11" s="65">
        <f t="shared" si="1"/>
        <v>463960.62448796479</v>
      </c>
      <c r="V11" s="65">
        <f t="shared" si="1"/>
        <v>477879.44322260359</v>
      </c>
      <c r="W11" s="65">
        <f t="shared" si="1"/>
        <v>492215.82651928131</v>
      </c>
      <c r="X11" s="65">
        <f t="shared" si="1"/>
        <v>506982.30131486047</v>
      </c>
    </row>
    <row r="12" spans="1:24" ht="15" customHeight="1" x14ac:dyDescent="0.3">
      <c r="A12" s="55"/>
      <c r="B12" s="114" t="s">
        <v>362</v>
      </c>
      <c r="C12" s="114"/>
      <c r="D12" s="394">
        <v>2</v>
      </c>
      <c r="E12" s="55"/>
      <c r="F12" s="112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</row>
    <row r="13" spans="1:24" ht="15" customHeight="1" x14ac:dyDescent="0.3">
      <c r="A13" s="55"/>
      <c r="B13" s="55"/>
      <c r="C13" s="55" t="s">
        <v>370</v>
      </c>
      <c r="D13" s="111"/>
      <c r="E13" s="55"/>
      <c r="F13" s="112"/>
      <c r="G13" s="55"/>
      <c r="H13" s="62">
        <f>SUM(J13:X13)</f>
        <v>924446.75958041719</v>
      </c>
      <c r="I13" s="56"/>
      <c r="J13" s="62">
        <f>Revenue!L265</f>
        <v>0</v>
      </c>
      <c r="K13" s="62">
        <f>Revenue!M265</f>
        <v>0</v>
      </c>
      <c r="L13" s="62">
        <f>Revenue!N265</f>
        <v>0</v>
      </c>
      <c r="M13" s="62">
        <f>Revenue!O265</f>
        <v>0</v>
      </c>
      <c r="N13" s="62">
        <f>Revenue!P265</f>
        <v>46375.600068297194</v>
      </c>
      <c r="O13" s="62">
        <f>Revenue!Q265</f>
        <v>55088.79675266194</v>
      </c>
      <c r="P13" s="62">
        <f>Revenue!R265</f>
        <v>72542.880078220536</v>
      </c>
      <c r="Q13" s="62">
        <f>Revenue!S265</f>
        <v>84567.543801307023</v>
      </c>
      <c r="R13" s="62">
        <f>Revenue!T265</f>
        <v>86866.579486615767</v>
      </c>
      <c r="S13" s="62">
        <f>Revenue!U265</f>
        <v>89472.57687121426</v>
      </c>
      <c r="T13" s="62">
        <f>Revenue!V265</f>
        <v>92156.754177350682</v>
      </c>
      <c r="U13" s="62">
        <f>Revenue!W265</f>
        <v>95181.515588431939</v>
      </c>
      <c r="V13" s="62">
        <f>Revenue!X265</f>
        <v>97769.100506751318</v>
      </c>
      <c r="W13" s="62">
        <f>Revenue!Y265</f>
        <v>100702.17352195387</v>
      </c>
      <c r="X13" s="62">
        <f>Revenue!Z265</f>
        <v>103723.23872761249</v>
      </c>
    </row>
    <row r="14" spans="1:24" ht="15" customHeight="1" x14ac:dyDescent="0.3">
      <c r="A14" s="55"/>
      <c r="B14" s="55"/>
      <c r="C14" s="55" t="s">
        <v>368</v>
      </c>
      <c r="D14" s="111"/>
      <c r="E14" s="55"/>
      <c r="F14" s="112"/>
      <c r="G14" s="55"/>
      <c r="H14" s="62">
        <f>SUM(J14:X14)</f>
        <v>73955.740766433359</v>
      </c>
      <c r="I14" s="56"/>
      <c r="J14" s="62">
        <f>Revenue!L266</f>
        <v>0</v>
      </c>
      <c r="K14" s="62">
        <f>Revenue!M266</f>
        <v>0</v>
      </c>
      <c r="L14" s="62">
        <f>Revenue!N266</f>
        <v>0</v>
      </c>
      <c r="M14" s="62">
        <f>Revenue!O266</f>
        <v>0</v>
      </c>
      <c r="N14" s="62">
        <f>Revenue!P266</f>
        <v>3710.0480054637756</v>
      </c>
      <c r="O14" s="62">
        <f>Revenue!Q266</f>
        <v>4407.103740212955</v>
      </c>
      <c r="P14" s="62">
        <f>Revenue!R266</f>
        <v>5803.430406257643</v>
      </c>
      <c r="Q14" s="62">
        <f>Revenue!S266</f>
        <v>6765.4035041045618</v>
      </c>
      <c r="R14" s="62">
        <f>Revenue!T266</f>
        <v>6949.3263589292619</v>
      </c>
      <c r="S14" s="62">
        <f>Revenue!U266</f>
        <v>7157.8061496971413</v>
      </c>
      <c r="T14" s="62">
        <f>Revenue!V266</f>
        <v>7372.5403341880547</v>
      </c>
      <c r="U14" s="62">
        <f>Revenue!W266</f>
        <v>7614.5212470745555</v>
      </c>
      <c r="V14" s="62">
        <f>Revenue!X266</f>
        <v>7821.5280405401054</v>
      </c>
      <c r="W14" s="62">
        <f>Revenue!Y266</f>
        <v>8056.17388175631</v>
      </c>
      <c r="X14" s="62">
        <f>Revenue!Z266</f>
        <v>8297.8590982089991</v>
      </c>
    </row>
    <row r="15" spans="1:24" ht="15" customHeight="1" x14ac:dyDescent="0.3">
      <c r="A15" s="55"/>
      <c r="B15" s="115" t="s">
        <v>371</v>
      </c>
      <c r="C15" s="115"/>
      <c r="D15" s="395"/>
      <c r="E15" s="115"/>
      <c r="F15" s="116"/>
      <c r="G15" s="115"/>
      <c r="H15" s="65">
        <f>SUM(J15:X15)</f>
        <v>998402.50034685014</v>
      </c>
      <c r="I15" s="57"/>
      <c r="J15" s="65">
        <f t="shared" ref="J15:X15" si="2">SUM(J13:J14)</f>
        <v>0</v>
      </c>
      <c r="K15" s="65">
        <f t="shared" si="2"/>
        <v>0</v>
      </c>
      <c r="L15" s="65">
        <f t="shared" si="2"/>
        <v>0</v>
      </c>
      <c r="M15" s="65">
        <f t="shared" si="2"/>
        <v>0</v>
      </c>
      <c r="N15" s="65">
        <f t="shared" si="2"/>
        <v>50085.648073760967</v>
      </c>
      <c r="O15" s="65">
        <f t="shared" si="2"/>
        <v>59495.900492874891</v>
      </c>
      <c r="P15" s="65">
        <f t="shared" si="2"/>
        <v>78346.310484478177</v>
      </c>
      <c r="Q15" s="65">
        <f t="shared" si="2"/>
        <v>91332.947305411581</v>
      </c>
      <c r="R15" s="65">
        <f t="shared" si="2"/>
        <v>93815.905845545029</v>
      </c>
      <c r="S15" s="65">
        <f t="shared" si="2"/>
        <v>96630.383020911395</v>
      </c>
      <c r="T15" s="65">
        <f t="shared" si="2"/>
        <v>99529.294511538741</v>
      </c>
      <c r="U15" s="65">
        <f t="shared" si="2"/>
        <v>102796.0368355065</v>
      </c>
      <c r="V15" s="65">
        <f t="shared" si="2"/>
        <v>105590.62854729142</v>
      </c>
      <c r="W15" s="65">
        <f t="shared" si="2"/>
        <v>108758.34740371018</v>
      </c>
      <c r="X15" s="65">
        <f t="shared" si="2"/>
        <v>112021.09782582149</v>
      </c>
    </row>
    <row r="16" spans="1:24" ht="15" customHeight="1" x14ac:dyDescent="0.3">
      <c r="A16" s="55"/>
      <c r="B16" s="114" t="s">
        <v>181</v>
      </c>
      <c r="C16" s="114"/>
      <c r="D16" s="394">
        <v>2</v>
      </c>
      <c r="E16" s="55"/>
      <c r="F16" s="112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</row>
    <row r="17" spans="1:25" ht="15" customHeight="1" x14ac:dyDescent="0.3">
      <c r="A17" s="55"/>
      <c r="B17" s="55"/>
      <c r="C17" s="55" t="s">
        <v>370</v>
      </c>
      <c r="D17" s="111"/>
      <c r="E17" s="55"/>
      <c r="F17" s="112"/>
      <c r="G17" s="55"/>
      <c r="H17" s="62">
        <f t="shared" ref="H17:H22" si="3">SUM(J17:X17)</f>
        <v>746343.35590789095</v>
      </c>
      <c r="I17" s="56"/>
      <c r="J17" s="62">
        <f>Revenue!L296</f>
        <v>0</v>
      </c>
      <c r="K17" s="62">
        <f>Revenue!M296</f>
        <v>0</v>
      </c>
      <c r="L17" s="62">
        <f>Revenue!N296</f>
        <v>0</v>
      </c>
      <c r="M17" s="62">
        <f>Revenue!O296</f>
        <v>0</v>
      </c>
      <c r="N17" s="62">
        <f>Revenue!P296</f>
        <v>46585.935154709994</v>
      </c>
      <c r="O17" s="62">
        <f>Revenue!Q296</f>
        <v>52553.371610241891</v>
      </c>
      <c r="P17" s="62">
        <f>Revenue!R296</f>
        <v>59425.296180581136</v>
      </c>
      <c r="Q17" s="62">
        <f>Revenue!S296</f>
        <v>66237.193782800692</v>
      </c>
      <c r="R17" s="62">
        <f>Revenue!T296</f>
        <v>68037.904378808511</v>
      </c>
      <c r="S17" s="62">
        <f>Revenue!U296</f>
        <v>70079.04151017277</v>
      </c>
      <c r="T17" s="62">
        <f>Revenue!V296</f>
        <v>72181.412755477941</v>
      </c>
      <c r="U17" s="62">
        <f>Revenue!W296</f>
        <v>74550.545152219391</v>
      </c>
      <c r="V17" s="62">
        <f>Revenue!X296</f>
        <v>76577.260792286543</v>
      </c>
      <c r="W17" s="62">
        <f>Revenue!Y296</f>
        <v>78874.578616055136</v>
      </c>
      <c r="X17" s="62">
        <f>Revenue!Z296</f>
        <v>81240.815974536788</v>
      </c>
    </row>
    <row r="18" spans="1:25" ht="15" customHeight="1" x14ac:dyDescent="0.3">
      <c r="A18" s="55"/>
      <c r="B18" s="55"/>
      <c r="C18" s="55" t="s">
        <v>368</v>
      </c>
      <c r="D18" s="111"/>
      <c r="E18" s="55"/>
      <c r="F18" s="112"/>
      <c r="G18" s="55"/>
      <c r="H18" s="62">
        <f t="shared" si="3"/>
        <v>223903.00677236725</v>
      </c>
      <c r="I18" s="56"/>
      <c r="J18" s="62">
        <f>Revenue!L297</f>
        <v>0</v>
      </c>
      <c r="K18" s="62">
        <f>Revenue!M297</f>
        <v>0</v>
      </c>
      <c r="L18" s="62">
        <f>Revenue!N297</f>
        <v>0</v>
      </c>
      <c r="M18" s="62">
        <f>Revenue!O297</f>
        <v>0</v>
      </c>
      <c r="N18" s="62">
        <f>Revenue!P297</f>
        <v>13975.780546412998</v>
      </c>
      <c r="O18" s="62">
        <f>Revenue!Q297</f>
        <v>15766.011483072567</v>
      </c>
      <c r="P18" s="62">
        <f>Revenue!R297</f>
        <v>17827.588854174341</v>
      </c>
      <c r="Q18" s="62">
        <f>Revenue!S297</f>
        <v>19871.158134840207</v>
      </c>
      <c r="R18" s="62">
        <f>Revenue!T297</f>
        <v>20411.371313642554</v>
      </c>
      <c r="S18" s="62">
        <f>Revenue!U297</f>
        <v>21023.71245305183</v>
      </c>
      <c r="T18" s="62">
        <f>Revenue!V297</f>
        <v>21654.423826643382</v>
      </c>
      <c r="U18" s="62">
        <f>Revenue!W297</f>
        <v>22365.163545665815</v>
      </c>
      <c r="V18" s="62">
        <f>Revenue!X297</f>
        <v>22973.178237685963</v>
      </c>
      <c r="W18" s="62">
        <f>Revenue!Y297</f>
        <v>23662.373584816542</v>
      </c>
      <c r="X18" s="62">
        <f>Revenue!Z297</f>
        <v>24372.244792361034</v>
      </c>
    </row>
    <row r="19" spans="1:25" ht="15" customHeight="1" x14ac:dyDescent="0.3">
      <c r="A19" s="55"/>
      <c r="B19" s="115" t="s">
        <v>372</v>
      </c>
      <c r="C19" s="115"/>
      <c r="D19" s="395"/>
      <c r="E19" s="115"/>
      <c r="F19" s="116"/>
      <c r="G19" s="115"/>
      <c r="H19" s="65">
        <f t="shared" si="3"/>
        <v>970246.362680258</v>
      </c>
      <c r="I19" s="57"/>
      <c r="J19" s="65">
        <f t="shared" ref="J19:X19" si="4">SUM(J17:J18)</f>
        <v>0</v>
      </c>
      <c r="K19" s="65">
        <f t="shared" si="4"/>
        <v>0</v>
      </c>
      <c r="L19" s="65">
        <f t="shared" si="4"/>
        <v>0</v>
      </c>
      <c r="M19" s="65">
        <f t="shared" si="4"/>
        <v>0</v>
      </c>
      <c r="N19" s="65">
        <f t="shared" si="4"/>
        <v>60561.715701122994</v>
      </c>
      <c r="O19" s="65">
        <f t="shared" si="4"/>
        <v>68319.383093314464</v>
      </c>
      <c r="P19" s="65">
        <f t="shared" si="4"/>
        <v>77252.885034755484</v>
      </c>
      <c r="Q19" s="65">
        <f t="shared" si="4"/>
        <v>86108.351917640903</v>
      </c>
      <c r="R19" s="65">
        <f t="shared" si="4"/>
        <v>88449.275692451061</v>
      </c>
      <c r="S19" s="65">
        <f t="shared" si="4"/>
        <v>91102.753963224604</v>
      </c>
      <c r="T19" s="65">
        <f t="shared" si="4"/>
        <v>93835.836582121323</v>
      </c>
      <c r="U19" s="65">
        <f t="shared" si="4"/>
        <v>96915.708697885202</v>
      </c>
      <c r="V19" s="65">
        <f t="shared" si="4"/>
        <v>99550.439029972506</v>
      </c>
      <c r="W19" s="65">
        <f t="shared" si="4"/>
        <v>102536.95220087167</v>
      </c>
      <c r="X19" s="65">
        <f t="shared" si="4"/>
        <v>105613.06076689782</v>
      </c>
    </row>
    <row r="20" spans="1:25" ht="15" customHeight="1" x14ac:dyDescent="0.3">
      <c r="A20" s="55"/>
      <c r="B20" s="55"/>
      <c r="C20" s="55" t="s">
        <v>12</v>
      </c>
      <c r="D20" s="394">
        <v>2</v>
      </c>
      <c r="E20" s="55"/>
      <c r="F20" s="112"/>
      <c r="G20" s="55"/>
      <c r="H20" s="62">
        <f t="shared" si="3"/>
        <v>220121.28609806683</v>
      </c>
      <c r="I20" s="56"/>
      <c r="J20" s="62">
        <f>Revenue!L324</f>
        <v>0</v>
      </c>
      <c r="K20" s="62">
        <f>Revenue!M324</f>
        <v>0</v>
      </c>
      <c r="L20" s="62">
        <f>Revenue!N324</f>
        <v>0</v>
      </c>
      <c r="M20" s="62">
        <f>Revenue!O324</f>
        <v>0</v>
      </c>
      <c r="N20" s="62">
        <f>Revenue!P324</f>
        <v>9598.2877763964825</v>
      </c>
      <c r="O20" s="62">
        <f>Revenue!Q324</f>
        <v>13117.659961075191</v>
      </c>
      <c r="P20" s="62">
        <f>Revenue!R324</f>
        <v>16807.001825127587</v>
      </c>
      <c r="Q20" s="62">
        <f>Revenue!S324</f>
        <v>20672.612244906937</v>
      </c>
      <c r="R20" s="62">
        <f>Revenue!T324</f>
        <v>21189.427551029607</v>
      </c>
      <c r="S20" s="62">
        <f>Revenue!U324</f>
        <v>21719.163239805344</v>
      </c>
      <c r="T20" s="62">
        <f>Revenue!V324</f>
        <v>22262.142320800478</v>
      </c>
      <c r="U20" s="62">
        <f>Revenue!W324</f>
        <v>22818.69587882049</v>
      </c>
      <c r="V20" s="62">
        <f>Revenue!X324</f>
        <v>23389.163275791001</v>
      </c>
      <c r="W20" s="62">
        <f>Revenue!Y324</f>
        <v>23973.892357685771</v>
      </c>
      <c r="X20" s="62">
        <f>Revenue!Z324</f>
        <v>24573.239666627913</v>
      </c>
    </row>
    <row r="21" spans="1:25" ht="15" customHeight="1" x14ac:dyDescent="0.3">
      <c r="A21" s="55"/>
      <c r="B21" s="55"/>
      <c r="C21" s="55" t="s">
        <v>13</v>
      </c>
      <c r="D21" s="394">
        <v>3</v>
      </c>
      <c r="E21" s="55"/>
      <c r="F21" s="112"/>
      <c r="G21" s="55"/>
      <c r="H21" s="62">
        <f t="shared" si="3"/>
        <v>115889.21229639373</v>
      </c>
      <c r="I21" s="56"/>
      <c r="J21" s="62">
        <f>Revenue!L325</f>
        <v>0</v>
      </c>
      <c r="K21" s="62">
        <f>Revenue!M325</f>
        <v>0</v>
      </c>
      <c r="L21" s="62">
        <f>Revenue!N325</f>
        <v>0</v>
      </c>
      <c r="M21" s="62">
        <f>Revenue!O325</f>
        <v>0</v>
      </c>
      <c r="N21" s="62">
        <f>Revenue!P325</f>
        <v>5053.295978404979</v>
      </c>
      <c r="O21" s="62">
        <f>Revenue!Q325</f>
        <v>6906.1711704868039</v>
      </c>
      <c r="P21" s="62">
        <f>Revenue!R325</f>
        <v>8848.5318121862165</v>
      </c>
      <c r="Q21" s="62">
        <f>Revenue!S325</f>
        <v>10883.694128989051</v>
      </c>
      <c r="R21" s="62">
        <f>Revenue!T325</f>
        <v>11155.786482213774</v>
      </c>
      <c r="S21" s="62">
        <f>Revenue!U325</f>
        <v>11434.681144269116</v>
      </c>
      <c r="T21" s="62">
        <f>Revenue!V325</f>
        <v>11720.548172875846</v>
      </c>
      <c r="U21" s="62">
        <f>Revenue!W325</f>
        <v>12013.561877197741</v>
      </c>
      <c r="V21" s="62">
        <f>Revenue!X325</f>
        <v>12313.900924127684</v>
      </c>
      <c r="W21" s="62">
        <f>Revenue!Y325</f>
        <v>12621.748447230873</v>
      </c>
      <c r="X21" s="62">
        <f>Revenue!Z325</f>
        <v>12937.292158411645</v>
      </c>
    </row>
    <row r="22" spans="1:25" ht="15" customHeight="1" x14ac:dyDescent="0.3">
      <c r="A22" s="55"/>
      <c r="B22" s="115" t="s">
        <v>366</v>
      </c>
      <c r="C22" s="115"/>
      <c r="D22" s="395"/>
      <c r="E22" s="115"/>
      <c r="F22" s="116"/>
      <c r="G22" s="115"/>
      <c r="H22" s="65">
        <f t="shared" si="3"/>
        <v>8118988.2135090744</v>
      </c>
      <c r="I22" s="57"/>
      <c r="J22" s="65">
        <f t="shared" ref="J22:X22" si="5">J11+J15+J19+J20+J21</f>
        <v>0</v>
      </c>
      <c r="K22" s="65">
        <f t="shared" si="5"/>
        <v>323867.37000000005</v>
      </c>
      <c r="L22" s="65">
        <f t="shared" si="5"/>
        <v>336217.37000000017</v>
      </c>
      <c r="M22" s="65">
        <f t="shared" si="5"/>
        <v>348567.37000000005</v>
      </c>
      <c r="N22" s="65">
        <f t="shared" si="5"/>
        <v>487516.31752968556</v>
      </c>
      <c r="O22" s="65">
        <f t="shared" si="5"/>
        <v>525456.4847177515</v>
      </c>
      <c r="P22" s="65">
        <f t="shared" si="5"/>
        <v>581471.23944822827</v>
      </c>
      <c r="Q22" s="65">
        <f t="shared" si="5"/>
        <v>621220.61119737953</v>
      </c>
      <c r="R22" s="65">
        <f t="shared" si="5"/>
        <v>639200.09133968339</v>
      </c>
      <c r="S22" s="65">
        <f t="shared" si="5"/>
        <v>658214.36800970766</v>
      </c>
      <c r="T22" s="65">
        <f t="shared" si="5"/>
        <v>677795.02982807858</v>
      </c>
      <c r="U22" s="65">
        <f t="shared" si="5"/>
        <v>698504.62777737458</v>
      </c>
      <c r="V22" s="65">
        <f t="shared" si="5"/>
        <v>718723.57499978621</v>
      </c>
      <c r="W22" s="65">
        <f t="shared" si="5"/>
        <v>740106.76692877978</v>
      </c>
      <c r="X22" s="65">
        <f t="shared" si="5"/>
        <v>762126.99173261947</v>
      </c>
    </row>
    <row r="23" spans="1:25" ht="15" customHeight="1" x14ac:dyDescent="0.3">
      <c r="A23" s="55"/>
      <c r="B23" s="55"/>
      <c r="C23" s="55"/>
      <c r="D23" s="111"/>
      <c r="E23" s="55"/>
      <c r="F23" s="112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</row>
    <row r="24" spans="1:25" ht="15" customHeight="1" x14ac:dyDescent="0.3">
      <c r="A24" s="55"/>
      <c r="B24" s="108" t="s">
        <v>360</v>
      </c>
      <c r="C24" s="108"/>
      <c r="D24" s="109"/>
      <c r="E24" s="113"/>
      <c r="F24" s="109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</row>
    <row r="25" spans="1:25" ht="15" customHeight="1" x14ac:dyDescent="0.3">
      <c r="A25" s="55"/>
      <c r="B25" s="55"/>
      <c r="C25" s="55"/>
      <c r="D25" s="111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</row>
    <row r="26" spans="1:25" ht="15" customHeight="1" x14ac:dyDescent="0.3">
      <c r="A26" s="55"/>
      <c r="C26" s="117" t="s">
        <v>402</v>
      </c>
      <c r="D26" s="396"/>
      <c r="E26" s="118"/>
      <c r="F26" s="117" t="s">
        <v>373</v>
      </c>
      <c r="G26" s="117" t="s">
        <v>93</v>
      </c>
      <c r="H26" s="117" t="s">
        <v>23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</row>
    <row r="27" spans="1:25" ht="15" customHeight="1" x14ac:dyDescent="0.3">
      <c r="A27" s="55"/>
      <c r="B27" s="55"/>
      <c r="C27" s="55" t="s">
        <v>397</v>
      </c>
      <c r="D27" s="111"/>
      <c r="E27" s="55"/>
      <c r="F27" s="112" t="s">
        <v>398</v>
      </c>
      <c r="G27" s="119">
        <f>AVERAGE(J27:X27)</f>
        <v>0.49174250638940858</v>
      </c>
      <c r="J27" s="120">
        <v>0</v>
      </c>
      <c r="K27" s="120">
        <v>0.51804496389988297</v>
      </c>
      <c r="L27" s="120">
        <v>0.51803861293662501</v>
      </c>
      <c r="M27" s="120">
        <v>0.50315323548500801</v>
      </c>
      <c r="N27" s="120">
        <v>0.517337382575912</v>
      </c>
      <c r="O27" s="120">
        <v>0.53156340094370003</v>
      </c>
      <c r="P27" s="120">
        <v>0.53200000000000003</v>
      </c>
      <c r="Q27" s="120">
        <v>0.53200000000000003</v>
      </c>
      <c r="R27" s="120">
        <v>0.53200000000000003</v>
      </c>
      <c r="S27" s="120">
        <v>0.53200000000000003</v>
      </c>
      <c r="T27" s="120">
        <v>0.53200000000000003</v>
      </c>
      <c r="U27" s="120">
        <v>0.53200000000000003</v>
      </c>
      <c r="V27" s="120">
        <v>0.53200000000000003</v>
      </c>
      <c r="W27" s="120">
        <v>0.53200000000000003</v>
      </c>
      <c r="X27" s="120">
        <v>0.53200000000000003</v>
      </c>
    </row>
    <row r="28" spans="1:25" ht="15" customHeight="1" x14ac:dyDescent="0.3">
      <c r="A28" s="55"/>
      <c r="B28" s="55"/>
      <c r="C28" s="55" t="s">
        <v>399</v>
      </c>
      <c r="D28" s="111"/>
      <c r="E28" s="55"/>
      <c r="F28" s="112"/>
      <c r="G28" s="55"/>
      <c r="H28" s="62">
        <f>SUM(J28:X28)</f>
        <v>-3068478.3446824988</v>
      </c>
      <c r="I28" s="56"/>
      <c r="J28" s="62">
        <f t="shared" ref="J28:X28" si="6">-J27*J11</f>
        <v>0</v>
      </c>
      <c r="K28" s="62">
        <f t="shared" si="6"/>
        <v>-167777.86000000007</v>
      </c>
      <c r="L28" s="62">
        <f t="shared" si="6"/>
        <v>-174173.58000000013</v>
      </c>
      <c r="M28" s="62">
        <f t="shared" si="6"/>
        <v>-175382.79999999993</v>
      </c>
      <c r="N28" s="62">
        <f t="shared" si="6"/>
        <v>-187388.58611933072</v>
      </c>
      <c r="O28" s="62">
        <f t="shared" si="6"/>
        <v>-200727.57345261562</v>
      </c>
      <c r="P28" s="62">
        <f t="shared" si="6"/>
        <v>-212915.18347517418</v>
      </c>
      <c r="Q28" s="62">
        <f t="shared" si="6"/>
        <v>-219302.63897942938</v>
      </c>
      <c r="R28" s="62">
        <f t="shared" si="6"/>
        <v>-225881.71814881222</v>
      </c>
      <c r="S28" s="62">
        <f t="shared" si="6"/>
        <v>-232658.16969327655</v>
      </c>
      <c r="T28" s="62">
        <f t="shared" si="6"/>
        <v>-239637.91478407485</v>
      </c>
      <c r="U28" s="62">
        <f t="shared" si="6"/>
        <v>-246827.05222759728</v>
      </c>
      <c r="V28" s="62">
        <f t="shared" si="6"/>
        <v>-254231.86379442512</v>
      </c>
      <c r="W28" s="62">
        <f t="shared" si="6"/>
        <v>-261858.81970825768</v>
      </c>
      <c r="X28" s="62">
        <f t="shared" si="6"/>
        <v>-269714.5842995058</v>
      </c>
    </row>
    <row r="29" spans="1:25" ht="15" customHeight="1" x14ac:dyDescent="0.3">
      <c r="A29" s="55"/>
      <c r="C29" s="115" t="s">
        <v>400</v>
      </c>
      <c r="D29" s="395"/>
      <c r="E29" s="115"/>
      <c r="F29" s="116"/>
      <c r="G29" s="115"/>
      <c r="H29" s="65">
        <f>SUM(J29:X29)</f>
        <v>-3068478.3446824988</v>
      </c>
      <c r="I29" s="57"/>
      <c r="J29" s="65">
        <f t="shared" ref="J29:X29" si="7">J28</f>
        <v>0</v>
      </c>
      <c r="K29" s="65">
        <f t="shared" si="7"/>
        <v>-167777.86000000007</v>
      </c>
      <c r="L29" s="65">
        <f t="shared" si="7"/>
        <v>-174173.58000000013</v>
      </c>
      <c r="M29" s="65">
        <f t="shared" si="7"/>
        <v>-175382.79999999993</v>
      </c>
      <c r="N29" s="65">
        <f t="shared" si="7"/>
        <v>-187388.58611933072</v>
      </c>
      <c r="O29" s="65">
        <f t="shared" si="7"/>
        <v>-200727.57345261562</v>
      </c>
      <c r="P29" s="65">
        <f t="shared" si="7"/>
        <v>-212915.18347517418</v>
      </c>
      <c r="Q29" s="65">
        <f t="shared" si="7"/>
        <v>-219302.63897942938</v>
      </c>
      <c r="R29" s="65">
        <f t="shared" si="7"/>
        <v>-225881.71814881222</v>
      </c>
      <c r="S29" s="65">
        <f t="shared" si="7"/>
        <v>-232658.16969327655</v>
      </c>
      <c r="T29" s="65">
        <f t="shared" si="7"/>
        <v>-239637.91478407485</v>
      </c>
      <c r="U29" s="65">
        <f t="shared" si="7"/>
        <v>-246827.05222759728</v>
      </c>
      <c r="V29" s="65">
        <f t="shared" si="7"/>
        <v>-254231.86379442512</v>
      </c>
      <c r="W29" s="65">
        <f t="shared" si="7"/>
        <v>-261858.81970825768</v>
      </c>
      <c r="X29" s="65">
        <f t="shared" si="7"/>
        <v>-269714.5842995058</v>
      </c>
    </row>
    <row r="30" spans="1:25" ht="15" customHeight="1" x14ac:dyDescent="0.3">
      <c r="A30" s="55"/>
      <c r="B30" s="55"/>
      <c r="C30" s="55"/>
      <c r="D30" s="111"/>
      <c r="E30" s="55"/>
      <c r="F30" s="112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</row>
    <row r="31" spans="1:25" ht="15" customHeight="1" x14ac:dyDescent="0.3">
      <c r="A31" s="55"/>
      <c r="C31" s="117" t="s">
        <v>403</v>
      </c>
      <c r="D31" s="396"/>
      <c r="E31" s="117"/>
      <c r="F31" s="118" t="s">
        <v>373</v>
      </c>
      <c r="G31" s="117" t="s">
        <v>93</v>
      </c>
      <c r="H31" s="117" t="s">
        <v>23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</row>
    <row r="32" spans="1:25" ht="15" customHeight="1" x14ac:dyDescent="0.3">
      <c r="A32" s="55"/>
      <c r="B32" s="55"/>
      <c r="C32" s="114" t="s">
        <v>374</v>
      </c>
      <c r="D32" s="111"/>
      <c r="E32" s="55"/>
      <c r="F32" s="112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</row>
    <row r="33" spans="1:24" ht="15" customHeight="1" x14ac:dyDescent="0.3">
      <c r="A33" s="55"/>
      <c r="B33" s="55"/>
      <c r="C33" s="55" t="s">
        <v>382</v>
      </c>
      <c r="D33" s="111"/>
      <c r="E33" s="55"/>
      <c r="F33" s="112" t="s">
        <v>383</v>
      </c>
      <c r="G33" s="121">
        <v>0</v>
      </c>
      <c r="H33" s="62">
        <f>SUM(J33:X33)</f>
        <v>0</v>
      </c>
      <c r="I33" s="56"/>
      <c r="J33" s="62">
        <f t="shared" ref="J33:X33" si="8">-$G$33*J13</f>
        <v>0</v>
      </c>
      <c r="K33" s="62">
        <f t="shared" si="8"/>
        <v>0</v>
      </c>
      <c r="L33" s="62">
        <f t="shared" si="8"/>
        <v>0</v>
      </c>
      <c r="M33" s="62">
        <f t="shared" si="8"/>
        <v>0</v>
      </c>
      <c r="N33" s="62">
        <f t="shared" si="8"/>
        <v>0</v>
      </c>
      <c r="O33" s="62">
        <f t="shared" si="8"/>
        <v>0</v>
      </c>
      <c r="P33" s="62">
        <f t="shared" si="8"/>
        <v>0</v>
      </c>
      <c r="Q33" s="62">
        <f t="shared" si="8"/>
        <v>0</v>
      </c>
      <c r="R33" s="62">
        <f t="shared" si="8"/>
        <v>0</v>
      </c>
      <c r="S33" s="62">
        <f t="shared" si="8"/>
        <v>0</v>
      </c>
      <c r="T33" s="62">
        <f t="shared" si="8"/>
        <v>0</v>
      </c>
      <c r="U33" s="62">
        <f t="shared" si="8"/>
        <v>0</v>
      </c>
      <c r="V33" s="62">
        <f t="shared" si="8"/>
        <v>0</v>
      </c>
      <c r="W33" s="62">
        <f t="shared" si="8"/>
        <v>0</v>
      </c>
      <c r="X33" s="62">
        <f t="shared" si="8"/>
        <v>0</v>
      </c>
    </row>
    <row r="34" spans="1:24" ht="15" customHeight="1" x14ac:dyDescent="0.3">
      <c r="A34" s="55"/>
      <c r="B34" s="55"/>
      <c r="C34" s="55" t="s">
        <v>375</v>
      </c>
      <c r="D34" s="111"/>
      <c r="E34" s="55"/>
      <c r="F34" s="112" t="s">
        <v>376</v>
      </c>
      <c r="G34" s="121">
        <v>0.67</v>
      </c>
      <c r="H34" s="62">
        <f>SUM(J34:X34)</f>
        <v>-49550.346313510352</v>
      </c>
      <c r="I34" s="56"/>
      <c r="J34" s="62">
        <f t="shared" ref="J34:X34" si="9">-$G$34*J14</f>
        <v>0</v>
      </c>
      <c r="K34" s="62">
        <f t="shared" si="9"/>
        <v>0</v>
      </c>
      <c r="L34" s="62">
        <f t="shared" si="9"/>
        <v>0</v>
      </c>
      <c r="M34" s="62">
        <f t="shared" si="9"/>
        <v>0</v>
      </c>
      <c r="N34" s="62">
        <f t="shared" si="9"/>
        <v>-2485.7321636607298</v>
      </c>
      <c r="O34" s="62">
        <f t="shared" si="9"/>
        <v>-2952.7595059426799</v>
      </c>
      <c r="P34" s="62">
        <f t="shared" si="9"/>
        <v>-3888.2983721926212</v>
      </c>
      <c r="Q34" s="62">
        <f t="shared" si="9"/>
        <v>-4532.8203477500565</v>
      </c>
      <c r="R34" s="62">
        <f t="shared" si="9"/>
        <v>-4656.0486604826056</v>
      </c>
      <c r="S34" s="62">
        <f t="shared" si="9"/>
        <v>-4795.7301202970848</v>
      </c>
      <c r="T34" s="62">
        <f t="shared" si="9"/>
        <v>-4939.6020239059972</v>
      </c>
      <c r="U34" s="62">
        <f t="shared" si="9"/>
        <v>-5101.7292355399522</v>
      </c>
      <c r="V34" s="62">
        <f t="shared" si="9"/>
        <v>-5240.4237871618707</v>
      </c>
      <c r="W34" s="62">
        <f t="shared" si="9"/>
        <v>-5397.6365007767281</v>
      </c>
      <c r="X34" s="62">
        <f t="shared" si="9"/>
        <v>-5559.5655958000298</v>
      </c>
    </row>
    <row r="35" spans="1:24" ht="15" customHeight="1" x14ac:dyDescent="0.3">
      <c r="A35" s="55"/>
      <c r="B35" s="55"/>
      <c r="C35" s="114" t="s">
        <v>377</v>
      </c>
      <c r="D35" s="111"/>
      <c r="E35" s="55"/>
      <c r="F35" s="112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</row>
    <row r="36" spans="1:24" ht="15" customHeight="1" x14ac:dyDescent="0.3">
      <c r="A36" s="55"/>
      <c r="B36" s="55"/>
      <c r="C36" s="55" t="s">
        <v>379</v>
      </c>
      <c r="D36" s="111"/>
      <c r="E36" s="55"/>
      <c r="F36" s="112" t="s">
        <v>383</v>
      </c>
      <c r="G36" s="121">
        <v>0.75</v>
      </c>
      <c r="H36" s="62">
        <f>SUM(J36:X36)</f>
        <v>-693335.06968531269</v>
      </c>
      <c r="I36" s="56"/>
      <c r="J36" s="62">
        <f t="shared" ref="J36:X36" si="10">-$G$36*J13</f>
        <v>0</v>
      </c>
      <c r="K36" s="62">
        <f t="shared" si="10"/>
        <v>0</v>
      </c>
      <c r="L36" s="62">
        <f t="shared" si="10"/>
        <v>0</v>
      </c>
      <c r="M36" s="62">
        <f t="shared" si="10"/>
        <v>0</v>
      </c>
      <c r="N36" s="62">
        <f>-$G$36*N13</f>
        <v>-34781.700051222899</v>
      </c>
      <c r="O36" s="62">
        <f t="shared" si="10"/>
        <v>-41316.597564496456</v>
      </c>
      <c r="P36" s="62">
        <f t="shared" si="10"/>
        <v>-54407.160058665402</v>
      </c>
      <c r="Q36" s="62">
        <f t="shared" si="10"/>
        <v>-63425.657850980264</v>
      </c>
      <c r="R36" s="62">
        <f t="shared" si="10"/>
        <v>-65149.934614961821</v>
      </c>
      <c r="S36" s="62">
        <f t="shared" si="10"/>
        <v>-67104.432653410695</v>
      </c>
      <c r="T36" s="62">
        <f t="shared" si="10"/>
        <v>-69117.565633013015</v>
      </c>
      <c r="U36" s="62">
        <f t="shared" si="10"/>
        <v>-71386.136691323947</v>
      </c>
      <c r="V36" s="62">
        <f t="shared" si="10"/>
        <v>-73326.825380063485</v>
      </c>
      <c r="W36" s="62">
        <f t="shared" si="10"/>
        <v>-75526.630141465401</v>
      </c>
      <c r="X36" s="62">
        <f t="shared" si="10"/>
        <v>-77792.429045709374</v>
      </c>
    </row>
    <row r="37" spans="1:24" ht="15" customHeight="1" x14ac:dyDescent="0.3">
      <c r="A37" s="55"/>
      <c r="C37" s="115" t="s">
        <v>363</v>
      </c>
      <c r="D37" s="395"/>
      <c r="E37" s="115"/>
      <c r="F37" s="116"/>
      <c r="G37" s="115"/>
      <c r="H37" s="65">
        <f>SUM(J37:X37)</f>
        <v>-742885.41599882313</v>
      </c>
      <c r="I37" s="57"/>
      <c r="J37" s="65">
        <f t="shared" ref="J37:X37" si="11">SUM(J33:J34)+J36</f>
        <v>0</v>
      </c>
      <c r="K37" s="65">
        <f t="shared" si="11"/>
        <v>0</v>
      </c>
      <c r="L37" s="65">
        <f t="shared" si="11"/>
        <v>0</v>
      </c>
      <c r="M37" s="65">
        <f t="shared" si="11"/>
        <v>0</v>
      </c>
      <c r="N37" s="65">
        <f t="shared" si="11"/>
        <v>-37267.432214883629</v>
      </c>
      <c r="O37" s="65">
        <f t="shared" si="11"/>
        <v>-44269.357070439139</v>
      </c>
      <c r="P37" s="65">
        <f t="shared" si="11"/>
        <v>-58295.458430858023</v>
      </c>
      <c r="Q37" s="65">
        <f t="shared" si="11"/>
        <v>-67958.478198730314</v>
      </c>
      <c r="R37" s="65">
        <f t="shared" si="11"/>
        <v>-69805.983275444421</v>
      </c>
      <c r="S37" s="65">
        <f t="shared" si="11"/>
        <v>-71900.16277370778</v>
      </c>
      <c r="T37" s="65">
        <f t="shared" si="11"/>
        <v>-74057.167656919017</v>
      </c>
      <c r="U37" s="65">
        <f t="shared" si="11"/>
        <v>-76487.865926863902</v>
      </c>
      <c r="V37" s="65">
        <f t="shared" si="11"/>
        <v>-78567.249167225353</v>
      </c>
      <c r="W37" s="65">
        <f t="shared" si="11"/>
        <v>-80924.266642242132</v>
      </c>
      <c r="X37" s="65">
        <f t="shared" si="11"/>
        <v>-83351.994641509402</v>
      </c>
    </row>
    <row r="38" spans="1:24" ht="15" customHeight="1" x14ac:dyDescent="0.3">
      <c r="A38" s="55"/>
      <c r="B38" s="55"/>
      <c r="C38" s="55"/>
      <c r="D38" s="111"/>
      <c r="E38" s="55"/>
      <c r="F38" s="112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</row>
    <row r="39" spans="1:24" ht="15" customHeight="1" x14ac:dyDescent="0.3">
      <c r="A39" s="55"/>
      <c r="C39" s="117" t="s">
        <v>404</v>
      </c>
      <c r="D39" s="396"/>
      <c r="E39" s="117"/>
      <c r="F39" s="118" t="s">
        <v>373</v>
      </c>
      <c r="G39" s="117" t="s">
        <v>93</v>
      </c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</row>
    <row r="40" spans="1:24" ht="15" customHeight="1" x14ac:dyDescent="0.3">
      <c r="A40" s="55"/>
      <c r="B40" s="55"/>
      <c r="C40" s="114" t="s">
        <v>374</v>
      </c>
      <c r="D40" s="111"/>
      <c r="E40" s="55"/>
      <c r="F40" s="112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</row>
    <row r="41" spans="1:24" ht="15" customHeight="1" x14ac:dyDescent="0.3">
      <c r="A41" s="55"/>
      <c r="B41" s="55"/>
      <c r="C41" s="55" t="s">
        <v>382</v>
      </c>
      <c r="D41" s="111"/>
      <c r="E41" s="55"/>
      <c r="F41" s="112" t="s">
        <v>383</v>
      </c>
      <c r="G41" s="121">
        <v>0.14000000000000001</v>
      </c>
      <c r="H41" s="62">
        <f>SUM(J41:X41)</f>
        <v>-104488.06982710471</v>
      </c>
      <c r="I41" s="56"/>
      <c r="J41" s="62">
        <f t="shared" ref="J41:X41" si="12">-$G$41*J17</f>
        <v>0</v>
      </c>
      <c r="K41" s="62">
        <f t="shared" si="12"/>
        <v>0</v>
      </c>
      <c r="L41" s="62">
        <f t="shared" si="12"/>
        <v>0</v>
      </c>
      <c r="M41" s="62">
        <f t="shared" si="12"/>
        <v>0</v>
      </c>
      <c r="N41" s="62">
        <f t="shared" si="12"/>
        <v>-6522.0309216593996</v>
      </c>
      <c r="O41" s="62">
        <f t="shared" si="12"/>
        <v>-7357.4720254338654</v>
      </c>
      <c r="P41" s="62">
        <f t="shared" si="12"/>
        <v>-8319.5414652813597</v>
      </c>
      <c r="Q41" s="62">
        <f t="shared" si="12"/>
        <v>-9273.2071295920978</v>
      </c>
      <c r="R41" s="62">
        <f t="shared" si="12"/>
        <v>-9525.3066130331918</v>
      </c>
      <c r="S41" s="62">
        <f t="shared" si="12"/>
        <v>-9811.0658114241887</v>
      </c>
      <c r="T41" s="62">
        <f t="shared" si="12"/>
        <v>-10105.397785766912</v>
      </c>
      <c r="U41" s="62">
        <f t="shared" si="12"/>
        <v>-10437.076321310717</v>
      </c>
      <c r="V41" s="62">
        <f t="shared" si="12"/>
        <v>-10720.816510920116</v>
      </c>
      <c r="W41" s="62">
        <f t="shared" si="12"/>
        <v>-11042.44100624772</v>
      </c>
      <c r="X41" s="62">
        <f t="shared" si="12"/>
        <v>-11373.714236435151</v>
      </c>
    </row>
    <row r="42" spans="1:24" ht="15" customHeight="1" x14ac:dyDescent="0.3">
      <c r="A42" s="55"/>
      <c r="B42" s="55"/>
      <c r="C42" s="55" t="s">
        <v>375</v>
      </c>
      <c r="D42" s="111"/>
      <c r="E42" s="55"/>
      <c r="F42" s="112" t="s">
        <v>376</v>
      </c>
      <c r="G42" s="121">
        <v>0.65</v>
      </c>
      <c r="H42" s="62">
        <f>SUM(J42:X42)</f>
        <v>-145536.95440203871</v>
      </c>
      <c r="I42" s="56"/>
      <c r="J42" s="62">
        <f t="shared" ref="J42:X42" si="13">-$G$42*J18</f>
        <v>0</v>
      </c>
      <c r="K42" s="62">
        <f t="shared" si="13"/>
        <v>0</v>
      </c>
      <c r="L42" s="62">
        <f t="shared" si="13"/>
        <v>0</v>
      </c>
      <c r="M42" s="62">
        <f t="shared" si="13"/>
        <v>0</v>
      </c>
      <c r="N42" s="62">
        <f t="shared" si="13"/>
        <v>-9084.2573551684491</v>
      </c>
      <c r="O42" s="62">
        <f t="shared" si="13"/>
        <v>-10247.90746399717</v>
      </c>
      <c r="P42" s="62">
        <f t="shared" si="13"/>
        <v>-11587.932755213322</v>
      </c>
      <c r="Q42" s="62">
        <f t="shared" si="13"/>
        <v>-12916.252787646135</v>
      </c>
      <c r="R42" s="62">
        <f t="shared" si="13"/>
        <v>-13267.391353867661</v>
      </c>
      <c r="S42" s="62">
        <f t="shared" si="13"/>
        <v>-13665.413094483691</v>
      </c>
      <c r="T42" s="62">
        <f t="shared" si="13"/>
        <v>-14075.375487318199</v>
      </c>
      <c r="U42" s="62">
        <f t="shared" si="13"/>
        <v>-14537.35630468278</v>
      </c>
      <c r="V42" s="62">
        <f t="shared" si="13"/>
        <v>-14932.565854495877</v>
      </c>
      <c r="W42" s="62">
        <f t="shared" si="13"/>
        <v>-15380.542830130753</v>
      </c>
      <c r="X42" s="62">
        <f t="shared" si="13"/>
        <v>-15841.959115034673</v>
      </c>
    </row>
    <row r="43" spans="1:24" ht="15" customHeight="1" x14ac:dyDescent="0.3">
      <c r="A43" s="55"/>
      <c r="B43" s="55"/>
      <c r="C43" s="114" t="s">
        <v>377</v>
      </c>
      <c r="D43" s="111"/>
      <c r="E43" s="55"/>
      <c r="F43" s="112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</row>
    <row r="44" spans="1:24" ht="15" customHeight="1" x14ac:dyDescent="0.3">
      <c r="A44" s="55"/>
      <c r="B44" s="55"/>
      <c r="C44" s="55" t="s">
        <v>379</v>
      </c>
      <c r="D44" s="111"/>
      <c r="E44" s="55"/>
      <c r="F44" s="112" t="s">
        <v>378</v>
      </c>
      <c r="G44" s="121">
        <v>0.09</v>
      </c>
      <c r="H44" s="62">
        <f>SUM(J44:X44)</f>
        <v>-87322.172641223209</v>
      </c>
      <c r="I44" s="56"/>
      <c r="J44" s="62">
        <f t="shared" ref="J44:X44" si="14">-$G$44*J19</f>
        <v>0</v>
      </c>
      <c r="K44" s="62">
        <f t="shared" si="14"/>
        <v>0</v>
      </c>
      <c r="L44" s="62">
        <f t="shared" si="14"/>
        <v>0</v>
      </c>
      <c r="M44" s="62">
        <f t="shared" si="14"/>
        <v>0</v>
      </c>
      <c r="N44" s="62">
        <f t="shared" si="14"/>
        <v>-5450.5544131010693</v>
      </c>
      <c r="O44" s="62">
        <f t="shared" si="14"/>
        <v>-6148.7444783983019</v>
      </c>
      <c r="P44" s="62">
        <f t="shared" si="14"/>
        <v>-6952.7596531279933</v>
      </c>
      <c r="Q44" s="62">
        <f t="shared" si="14"/>
        <v>-7749.7516725876812</v>
      </c>
      <c r="R44" s="62">
        <f t="shared" si="14"/>
        <v>-7960.4348123205955</v>
      </c>
      <c r="S44" s="62">
        <f t="shared" si="14"/>
        <v>-8199.2478566902137</v>
      </c>
      <c r="T44" s="62">
        <f t="shared" si="14"/>
        <v>-8445.2252923909182</v>
      </c>
      <c r="U44" s="62">
        <f t="shared" si="14"/>
        <v>-8722.4137828096682</v>
      </c>
      <c r="V44" s="62">
        <f t="shared" si="14"/>
        <v>-8959.5395126975254</v>
      </c>
      <c r="W44" s="62">
        <f t="shared" si="14"/>
        <v>-9228.3256980784499</v>
      </c>
      <c r="X44" s="62">
        <f t="shared" si="14"/>
        <v>-9505.1754690208036</v>
      </c>
    </row>
    <row r="45" spans="1:24" ht="15" customHeight="1" x14ac:dyDescent="0.3">
      <c r="A45" s="55"/>
      <c r="B45" s="55"/>
      <c r="C45" s="55" t="s">
        <v>380</v>
      </c>
      <c r="D45" s="111"/>
      <c r="E45" s="55"/>
      <c r="F45" s="112" t="s">
        <v>378</v>
      </c>
      <c r="G45" s="121">
        <v>0.05</v>
      </c>
      <c r="H45" s="62">
        <f>SUM(J45:X45)</f>
        <v>-48512.318134012901</v>
      </c>
      <c r="I45" s="56"/>
      <c r="J45" s="62">
        <f t="shared" ref="J45:X45" si="15">-$G$45*J19</f>
        <v>0</v>
      </c>
      <c r="K45" s="62">
        <f t="shared" si="15"/>
        <v>0</v>
      </c>
      <c r="L45" s="62">
        <f t="shared" si="15"/>
        <v>0</v>
      </c>
      <c r="M45" s="62">
        <f t="shared" si="15"/>
        <v>0</v>
      </c>
      <c r="N45" s="62">
        <f t="shared" si="15"/>
        <v>-3028.0857850561497</v>
      </c>
      <c r="O45" s="62">
        <f t="shared" si="15"/>
        <v>-3415.9691546657232</v>
      </c>
      <c r="P45" s="62">
        <f t="shared" si="15"/>
        <v>-3862.6442517377745</v>
      </c>
      <c r="Q45" s="62">
        <f t="shared" si="15"/>
        <v>-4305.4175958820451</v>
      </c>
      <c r="R45" s="62">
        <f t="shared" si="15"/>
        <v>-4422.4637846225532</v>
      </c>
      <c r="S45" s="62">
        <f t="shared" si="15"/>
        <v>-4555.1376981612302</v>
      </c>
      <c r="T45" s="62">
        <f t="shared" si="15"/>
        <v>-4691.791829106066</v>
      </c>
      <c r="U45" s="62">
        <f t="shared" si="15"/>
        <v>-4845.7854348942601</v>
      </c>
      <c r="V45" s="62">
        <f t="shared" si="15"/>
        <v>-4977.5219514986256</v>
      </c>
      <c r="W45" s="62">
        <f t="shared" si="15"/>
        <v>-5126.8476100435837</v>
      </c>
      <c r="X45" s="62">
        <f t="shared" si="15"/>
        <v>-5280.6530383448917</v>
      </c>
    </row>
    <row r="46" spans="1:24" ht="15" customHeight="1" x14ac:dyDescent="0.3">
      <c r="A46" s="55"/>
      <c r="B46" s="55"/>
      <c r="C46" s="55" t="s">
        <v>381</v>
      </c>
      <c r="D46" s="111"/>
      <c r="E46" s="55"/>
      <c r="F46" s="112" t="s">
        <v>378</v>
      </c>
      <c r="G46" s="121">
        <v>0.1</v>
      </c>
      <c r="H46" s="62">
        <f>SUM(J46:X46)</f>
        <v>-97024.636268025803</v>
      </c>
      <c r="I46" s="56"/>
      <c r="J46" s="62">
        <f t="shared" ref="J46:X46" si="16">-$G$46*J19</f>
        <v>0</v>
      </c>
      <c r="K46" s="62">
        <f t="shared" si="16"/>
        <v>0</v>
      </c>
      <c r="L46" s="62">
        <f t="shared" si="16"/>
        <v>0</v>
      </c>
      <c r="M46" s="62">
        <f t="shared" si="16"/>
        <v>0</v>
      </c>
      <c r="N46" s="62">
        <f t="shared" si="16"/>
        <v>-6056.1715701122994</v>
      </c>
      <c r="O46" s="62">
        <f t="shared" si="16"/>
        <v>-6831.9383093314464</v>
      </c>
      <c r="P46" s="62">
        <f t="shared" si="16"/>
        <v>-7725.2885034755491</v>
      </c>
      <c r="Q46" s="62">
        <f t="shared" si="16"/>
        <v>-8610.8351917640903</v>
      </c>
      <c r="R46" s="62">
        <f t="shared" si="16"/>
        <v>-8844.9275692451065</v>
      </c>
      <c r="S46" s="62">
        <f t="shared" si="16"/>
        <v>-9110.2753963224604</v>
      </c>
      <c r="T46" s="62">
        <f t="shared" si="16"/>
        <v>-9383.5836582121319</v>
      </c>
      <c r="U46" s="62">
        <f t="shared" si="16"/>
        <v>-9691.5708697885202</v>
      </c>
      <c r="V46" s="62">
        <f t="shared" si="16"/>
        <v>-9955.0439029972513</v>
      </c>
      <c r="W46" s="62">
        <f t="shared" si="16"/>
        <v>-10253.695220087167</v>
      </c>
      <c r="X46" s="62">
        <f t="shared" si="16"/>
        <v>-10561.306076689783</v>
      </c>
    </row>
    <row r="47" spans="1:24" ht="15" customHeight="1" x14ac:dyDescent="0.3">
      <c r="A47" s="55"/>
      <c r="B47" s="55"/>
      <c r="C47" s="55" t="s">
        <v>361</v>
      </c>
      <c r="D47" s="111"/>
      <c r="E47" s="55"/>
      <c r="F47" s="112" t="s">
        <v>378</v>
      </c>
      <c r="G47" s="121">
        <v>0.1</v>
      </c>
      <c r="H47" s="62">
        <f>SUM(J47:X47)</f>
        <v>-97024.636268025803</v>
      </c>
      <c r="I47" s="56"/>
      <c r="J47" s="62">
        <f t="shared" ref="J47:X47" si="17">-$G$47*J19</f>
        <v>0</v>
      </c>
      <c r="K47" s="62">
        <f t="shared" si="17"/>
        <v>0</v>
      </c>
      <c r="L47" s="62">
        <f t="shared" si="17"/>
        <v>0</v>
      </c>
      <c r="M47" s="62">
        <f t="shared" si="17"/>
        <v>0</v>
      </c>
      <c r="N47" s="62">
        <f t="shared" si="17"/>
        <v>-6056.1715701122994</v>
      </c>
      <c r="O47" s="62">
        <f t="shared" si="17"/>
        <v>-6831.9383093314464</v>
      </c>
      <c r="P47" s="62">
        <f t="shared" si="17"/>
        <v>-7725.2885034755491</v>
      </c>
      <c r="Q47" s="62">
        <f t="shared" si="17"/>
        <v>-8610.8351917640903</v>
      </c>
      <c r="R47" s="62">
        <f t="shared" si="17"/>
        <v>-8844.9275692451065</v>
      </c>
      <c r="S47" s="62">
        <f t="shared" si="17"/>
        <v>-9110.2753963224604</v>
      </c>
      <c r="T47" s="62">
        <f t="shared" si="17"/>
        <v>-9383.5836582121319</v>
      </c>
      <c r="U47" s="62">
        <f t="shared" si="17"/>
        <v>-9691.5708697885202</v>
      </c>
      <c r="V47" s="62">
        <f t="shared" si="17"/>
        <v>-9955.0439029972513</v>
      </c>
      <c r="W47" s="62">
        <f t="shared" si="17"/>
        <v>-10253.695220087167</v>
      </c>
      <c r="X47" s="62">
        <f t="shared" si="17"/>
        <v>-10561.306076689783</v>
      </c>
    </row>
    <row r="48" spans="1:24" ht="15" customHeight="1" x14ac:dyDescent="0.3">
      <c r="A48" s="55"/>
      <c r="C48" s="115" t="s">
        <v>364</v>
      </c>
      <c r="D48" s="395"/>
      <c r="E48" s="115"/>
      <c r="F48" s="116"/>
      <c r="G48" s="115"/>
      <c r="H48" s="65">
        <f>SUM(J48:X48)</f>
        <v>-579908.78754043113</v>
      </c>
      <c r="I48" s="57"/>
      <c r="J48" s="65">
        <f t="shared" ref="J48:X48" si="18">SUM(J41:J42)+SUM(J44:J47)</f>
        <v>0</v>
      </c>
      <c r="K48" s="65">
        <f t="shared" si="18"/>
        <v>0</v>
      </c>
      <c r="L48" s="65">
        <f t="shared" si="18"/>
        <v>0</v>
      </c>
      <c r="M48" s="65">
        <f t="shared" si="18"/>
        <v>0</v>
      </c>
      <c r="N48" s="65">
        <f t="shared" si="18"/>
        <v>-36197.271615209669</v>
      </c>
      <c r="O48" s="65">
        <f t="shared" si="18"/>
        <v>-40833.969741157955</v>
      </c>
      <c r="P48" s="65">
        <f t="shared" si="18"/>
        <v>-46173.455132311545</v>
      </c>
      <c r="Q48" s="65">
        <f t="shared" si="18"/>
        <v>-51466.299569236144</v>
      </c>
      <c r="R48" s="65">
        <f t="shared" si="18"/>
        <v>-52865.451702334212</v>
      </c>
      <c r="S48" s="65">
        <f t="shared" si="18"/>
        <v>-54451.415253404244</v>
      </c>
      <c r="T48" s="65">
        <f t="shared" si="18"/>
        <v>-56084.957711006362</v>
      </c>
      <c r="U48" s="65">
        <f t="shared" si="18"/>
        <v>-57925.773583274466</v>
      </c>
      <c r="V48" s="65">
        <f t="shared" si="18"/>
        <v>-59500.531635606647</v>
      </c>
      <c r="W48" s="65">
        <f t="shared" si="18"/>
        <v>-61285.547584674838</v>
      </c>
      <c r="X48" s="65">
        <f t="shared" si="18"/>
        <v>-63124.114012215083</v>
      </c>
    </row>
    <row r="49" spans="1:24" ht="15" customHeight="1" x14ac:dyDescent="0.3">
      <c r="A49" s="55"/>
      <c r="B49" s="55"/>
      <c r="C49" s="55"/>
      <c r="D49" s="111"/>
      <c r="E49" s="55"/>
      <c r="F49" s="112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</row>
    <row r="50" spans="1:24" ht="15" customHeight="1" x14ac:dyDescent="0.3">
      <c r="A50" s="55"/>
      <c r="C50" s="117" t="s">
        <v>405</v>
      </c>
      <c r="D50" s="396"/>
      <c r="E50" s="117"/>
      <c r="F50" s="118" t="s">
        <v>373</v>
      </c>
      <c r="G50" s="117" t="s">
        <v>93</v>
      </c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</row>
    <row r="51" spans="1:24" ht="15" customHeight="1" x14ac:dyDescent="0.3">
      <c r="A51" s="55"/>
      <c r="B51" s="55"/>
      <c r="C51" s="55" t="s">
        <v>406</v>
      </c>
      <c r="D51" s="111"/>
      <c r="E51" s="55"/>
      <c r="F51" s="112" t="s">
        <v>384</v>
      </c>
      <c r="G51" s="121">
        <v>0.12</v>
      </c>
      <c r="H51" s="62">
        <f>SUM(J51:X51)</f>
        <v>-26414.554331768017</v>
      </c>
      <c r="I51" s="56"/>
      <c r="J51" s="62">
        <f t="shared" ref="J51:X51" si="19">-$G$51*J20</f>
        <v>0</v>
      </c>
      <c r="K51" s="62">
        <f t="shared" si="19"/>
        <v>0</v>
      </c>
      <c r="L51" s="62">
        <f t="shared" si="19"/>
        <v>0</v>
      </c>
      <c r="M51" s="62">
        <f t="shared" si="19"/>
        <v>0</v>
      </c>
      <c r="N51" s="62">
        <f t="shared" si="19"/>
        <v>-1151.7945331675778</v>
      </c>
      <c r="O51" s="62">
        <f t="shared" si="19"/>
        <v>-1574.1191953290229</v>
      </c>
      <c r="P51" s="62">
        <f t="shared" si="19"/>
        <v>-2016.8402190153104</v>
      </c>
      <c r="Q51" s="62">
        <f t="shared" si="19"/>
        <v>-2480.7134693888324</v>
      </c>
      <c r="R51" s="62">
        <f t="shared" si="19"/>
        <v>-2542.7313061235527</v>
      </c>
      <c r="S51" s="62">
        <f t="shared" si="19"/>
        <v>-2606.299588776641</v>
      </c>
      <c r="T51" s="62">
        <f t="shared" si="19"/>
        <v>-2671.4570784960574</v>
      </c>
      <c r="U51" s="62">
        <f t="shared" si="19"/>
        <v>-2738.2435054584589</v>
      </c>
      <c r="V51" s="62">
        <f t="shared" si="19"/>
        <v>-2806.6995930949201</v>
      </c>
      <c r="W51" s="62">
        <f t="shared" si="19"/>
        <v>-2876.8670829222924</v>
      </c>
      <c r="X51" s="62">
        <f t="shared" si="19"/>
        <v>-2948.7887599953492</v>
      </c>
    </row>
    <row r="52" spans="1:24" ht="15" customHeight="1" x14ac:dyDescent="0.3">
      <c r="A52" s="55"/>
      <c r="B52" s="55"/>
      <c r="C52" s="55" t="s">
        <v>407</v>
      </c>
      <c r="D52" s="111"/>
      <c r="E52" s="55"/>
      <c r="F52" s="112" t="s">
        <v>385</v>
      </c>
      <c r="G52" s="121">
        <v>0.12</v>
      </c>
      <c r="H52" s="62">
        <f>SUM(J52:X52)</f>
        <v>-13906.705475567247</v>
      </c>
      <c r="I52" s="56"/>
      <c r="J52" s="62">
        <f t="shared" ref="J52:X52" si="20">-$G$52*J21</f>
        <v>0</v>
      </c>
      <c r="K52" s="62">
        <f t="shared" si="20"/>
        <v>0</v>
      </c>
      <c r="L52" s="62">
        <f t="shared" si="20"/>
        <v>0</v>
      </c>
      <c r="M52" s="62">
        <f t="shared" si="20"/>
        <v>0</v>
      </c>
      <c r="N52" s="62">
        <f t="shared" si="20"/>
        <v>-606.39551740859747</v>
      </c>
      <c r="O52" s="62">
        <f t="shared" si="20"/>
        <v>-828.74054045841649</v>
      </c>
      <c r="P52" s="62">
        <f t="shared" si="20"/>
        <v>-1061.8238174623459</v>
      </c>
      <c r="Q52" s="62">
        <f t="shared" si="20"/>
        <v>-1306.0432954786861</v>
      </c>
      <c r="R52" s="62">
        <f t="shared" si="20"/>
        <v>-1338.694377865653</v>
      </c>
      <c r="S52" s="62">
        <f t="shared" si="20"/>
        <v>-1372.1617373122938</v>
      </c>
      <c r="T52" s="62">
        <f t="shared" si="20"/>
        <v>-1406.4657807451015</v>
      </c>
      <c r="U52" s="62">
        <f t="shared" si="20"/>
        <v>-1441.6274252637288</v>
      </c>
      <c r="V52" s="62">
        <f t="shared" si="20"/>
        <v>-1477.6681108953219</v>
      </c>
      <c r="W52" s="62">
        <f t="shared" si="20"/>
        <v>-1514.6098136677047</v>
      </c>
      <c r="X52" s="62">
        <f t="shared" si="20"/>
        <v>-1552.4750590093972</v>
      </c>
    </row>
    <row r="53" spans="1:24" ht="15" customHeight="1" x14ac:dyDescent="0.3">
      <c r="A53" s="55"/>
      <c r="C53" s="115" t="s">
        <v>386</v>
      </c>
      <c r="D53" s="395"/>
      <c r="E53" s="115"/>
      <c r="F53" s="116"/>
      <c r="G53" s="115"/>
      <c r="H53" s="65">
        <f>SUM(J53:X53)</f>
        <v>-40321.259807335264</v>
      </c>
      <c r="I53" s="57"/>
      <c r="J53" s="65">
        <f t="shared" ref="J53:X53" si="21">J51+J52</f>
        <v>0</v>
      </c>
      <c r="K53" s="65">
        <f t="shared" si="21"/>
        <v>0</v>
      </c>
      <c r="L53" s="65">
        <f t="shared" si="21"/>
        <v>0</v>
      </c>
      <c r="M53" s="65">
        <f t="shared" si="21"/>
        <v>0</v>
      </c>
      <c r="N53" s="65">
        <f t="shared" si="21"/>
        <v>-1758.1900505761753</v>
      </c>
      <c r="O53" s="65">
        <f t="shared" si="21"/>
        <v>-2402.8597357874396</v>
      </c>
      <c r="P53" s="65">
        <f t="shared" si="21"/>
        <v>-3078.6640364776563</v>
      </c>
      <c r="Q53" s="65">
        <f t="shared" si="21"/>
        <v>-3786.7567648675185</v>
      </c>
      <c r="R53" s="65">
        <f t="shared" si="21"/>
        <v>-3881.4256839892059</v>
      </c>
      <c r="S53" s="65">
        <f t="shared" si="21"/>
        <v>-3978.4613260889346</v>
      </c>
      <c r="T53" s="65">
        <f t="shared" si="21"/>
        <v>-4077.9228592411591</v>
      </c>
      <c r="U53" s="65">
        <f t="shared" si="21"/>
        <v>-4179.8709307221879</v>
      </c>
      <c r="V53" s="65">
        <f t="shared" si="21"/>
        <v>-4284.3677039902423</v>
      </c>
      <c r="W53" s="65">
        <f t="shared" si="21"/>
        <v>-4391.4768965899966</v>
      </c>
      <c r="X53" s="65">
        <f t="shared" si="21"/>
        <v>-4501.2638190047464</v>
      </c>
    </row>
    <row r="54" spans="1:24" ht="15" customHeight="1" x14ac:dyDescent="0.3">
      <c r="A54" s="55"/>
      <c r="B54" s="55"/>
      <c r="C54" s="55"/>
      <c r="D54" s="111"/>
      <c r="E54" s="55"/>
      <c r="F54" s="112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</row>
    <row r="55" spans="1:24" ht="15" customHeight="1" x14ac:dyDescent="0.3">
      <c r="A55" s="55"/>
      <c r="B55" s="108" t="s">
        <v>410</v>
      </c>
      <c r="C55" s="108"/>
      <c r="D55" s="109"/>
      <c r="E55" s="113"/>
      <c r="F55" s="109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</row>
    <row r="56" spans="1:24" ht="15" customHeight="1" x14ac:dyDescent="0.3">
      <c r="A56" s="55"/>
      <c r="B56" s="55"/>
      <c r="C56" s="95" t="s">
        <v>6</v>
      </c>
      <c r="D56" s="111"/>
      <c r="E56" s="55"/>
      <c r="F56" s="112"/>
      <c r="G56" s="55"/>
      <c r="H56" s="62">
        <f>SUM(J56:X56)</f>
        <v>-3068478.3446824988</v>
      </c>
      <c r="I56" s="56"/>
      <c r="J56" s="62">
        <f t="shared" ref="J56:X56" si="22">J29</f>
        <v>0</v>
      </c>
      <c r="K56" s="62">
        <f t="shared" si="22"/>
        <v>-167777.86000000007</v>
      </c>
      <c r="L56" s="62">
        <f t="shared" si="22"/>
        <v>-174173.58000000013</v>
      </c>
      <c r="M56" s="62">
        <f t="shared" si="22"/>
        <v>-175382.79999999993</v>
      </c>
      <c r="N56" s="62">
        <f t="shared" si="22"/>
        <v>-187388.58611933072</v>
      </c>
      <c r="O56" s="62">
        <f t="shared" si="22"/>
        <v>-200727.57345261562</v>
      </c>
      <c r="P56" s="62">
        <f t="shared" si="22"/>
        <v>-212915.18347517418</v>
      </c>
      <c r="Q56" s="62">
        <f t="shared" si="22"/>
        <v>-219302.63897942938</v>
      </c>
      <c r="R56" s="62">
        <f t="shared" si="22"/>
        <v>-225881.71814881222</v>
      </c>
      <c r="S56" s="62">
        <f t="shared" si="22"/>
        <v>-232658.16969327655</v>
      </c>
      <c r="T56" s="62">
        <f t="shared" si="22"/>
        <v>-239637.91478407485</v>
      </c>
      <c r="U56" s="62">
        <f t="shared" si="22"/>
        <v>-246827.05222759728</v>
      </c>
      <c r="V56" s="62">
        <f t="shared" si="22"/>
        <v>-254231.86379442512</v>
      </c>
      <c r="W56" s="62">
        <f t="shared" si="22"/>
        <v>-261858.81970825768</v>
      </c>
      <c r="X56" s="62">
        <f t="shared" si="22"/>
        <v>-269714.5842995058</v>
      </c>
    </row>
    <row r="57" spans="1:24" ht="15" customHeight="1" x14ac:dyDescent="0.3">
      <c r="A57" s="55"/>
      <c r="B57" s="55"/>
      <c r="C57" s="95" t="s">
        <v>7</v>
      </c>
      <c r="D57" s="111"/>
      <c r="E57" s="55"/>
      <c r="F57" s="112"/>
      <c r="G57" s="55"/>
      <c r="H57" s="62">
        <f>SUM(J57:X57)</f>
        <v>-742885.41599882313</v>
      </c>
      <c r="I57" s="56"/>
      <c r="J57" s="62">
        <f t="shared" ref="J57:X57" si="23">J37</f>
        <v>0</v>
      </c>
      <c r="K57" s="62">
        <f t="shared" si="23"/>
        <v>0</v>
      </c>
      <c r="L57" s="62">
        <f t="shared" si="23"/>
        <v>0</v>
      </c>
      <c r="M57" s="62">
        <f t="shared" si="23"/>
        <v>0</v>
      </c>
      <c r="N57" s="62">
        <f t="shared" si="23"/>
        <v>-37267.432214883629</v>
      </c>
      <c r="O57" s="62">
        <f t="shared" si="23"/>
        <v>-44269.357070439139</v>
      </c>
      <c r="P57" s="62">
        <f t="shared" si="23"/>
        <v>-58295.458430858023</v>
      </c>
      <c r="Q57" s="62">
        <f t="shared" si="23"/>
        <v>-67958.478198730314</v>
      </c>
      <c r="R57" s="62">
        <f t="shared" si="23"/>
        <v>-69805.983275444421</v>
      </c>
      <c r="S57" s="62">
        <f t="shared" si="23"/>
        <v>-71900.16277370778</v>
      </c>
      <c r="T57" s="62">
        <f t="shared" si="23"/>
        <v>-74057.167656919017</v>
      </c>
      <c r="U57" s="62">
        <f t="shared" si="23"/>
        <v>-76487.865926863902</v>
      </c>
      <c r="V57" s="62">
        <f t="shared" si="23"/>
        <v>-78567.249167225353</v>
      </c>
      <c r="W57" s="62">
        <f t="shared" si="23"/>
        <v>-80924.266642242132</v>
      </c>
      <c r="X57" s="62">
        <f t="shared" si="23"/>
        <v>-83351.994641509402</v>
      </c>
    </row>
    <row r="58" spans="1:24" ht="15" customHeight="1" x14ac:dyDescent="0.3">
      <c r="A58" s="55"/>
      <c r="B58" s="55"/>
      <c r="C58" s="95" t="s">
        <v>8</v>
      </c>
      <c r="D58" s="111"/>
      <c r="E58" s="55"/>
      <c r="F58" s="112"/>
      <c r="G58" s="55"/>
      <c r="H58" s="62">
        <f>SUM(J58:X58)</f>
        <v>-579908.78754043113</v>
      </c>
      <c r="I58" s="56"/>
      <c r="J58" s="62">
        <f t="shared" ref="J58:X58" si="24">J48</f>
        <v>0</v>
      </c>
      <c r="K58" s="62">
        <f t="shared" si="24"/>
        <v>0</v>
      </c>
      <c r="L58" s="62">
        <f t="shared" si="24"/>
        <v>0</v>
      </c>
      <c r="M58" s="62">
        <f t="shared" si="24"/>
        <v>0</v>
      </c>
      <c r="N58" s="62">
        <f t="shared" si="24"/>
        <v>-36197.271615209669</v>
      </c>
      <c r="O58" s="62">
        <f t="shared" si="24"/>
        <v>-40833.969741157955</v>
      </c>
      <c r="P58" s="62">
        <f t="shared" si="24"/>
        <v>-46173.455132311545</v>
      </c>
      <c r="Q58" s="62">
        <f t="shared" si="24"/>
        <v>-51466.299569236144</v>
      </c>
      <c r="R58" s="62">
        <f t="shared" si="24"/>
        <v>-52865.451702334212</v>
      </c>
      <c r="S58" s="62">
        <f t="shared" si="24"/>
        <v>-54451.415253404244</v>
      </c>
      <c r="T58" s="62">
        <f t="shared" si="24"/>
        <v>-56084.957711006362</v>
      </c>
      <c r="U58" s="62">
        <f t="shared" si="24"/>
        <v>-57925.773583274466</v>
      </c>
      <c r="V58" s="62">
        <f t="shared" si="24"/>
        <v>-59500.531635606647</v>
      </c>
      <c r="W58" s="62">
        <f t="shared" si="24"/>
        <v>-61285.547584674838</v>
      </c>
      <c r="X58" s="62">
        <f t="shared" si="24"/>
        <v>-63124.114012215083</v>
      </c>
    </row>
    <row r="59" spans="1:24" ht="15" customHeight="1" x14ac:dyDescent="0.3">
      <c r="A59" s="55"/>
      <c r="B59" s="55"/>
      <c r="C59" s="89" t="s">
        <v>19</v>
      </c>
      <c r="D59" s="111"/>
      <c r="E59" s="55"/>
      <c r="F59" s="112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</row>
    <row r="60" spans="1:24" ht="15" customHeight="1" x14ac:dyDescent="0.3">
      <c r="A60" s="55"/>
      <c r="B60" s="55"/>
      <c r="C60" s="95" t="s">
        <v>12</v>
      </c>
      <c r="D60" s="111"/>
      <c r="E60" s="55"/>
      <c r="F60" s="112"/>
      <c r="G60" s="55"/>
      <c r="H60" s="62">
        <f>SUM(J60:X60)</f>
        <v>-26414.554331768017</v>
      </c>
      <c r="I60" s="56"/>
      <c r="J60" s="62">
        <f t="shared" ref="J60:X60" si="25">J51</f>
        <v>0</v>
      </c>
      <c r="K60" s="62">
        <f t="shared" si="25"/>
        <v>0</v>
      </c>
      <c r="L60" s="62">
        <f t="shared" si="25"/>
        <v>0</v>
      </c>
      <c r="M60" s="62">
        <f t="shared" si="25"/>
        <v>0</v>
      </c>
      <c r="N60" s="62">
        <f t="shared" si="25"/>
        <v>-1151.7945331675778</v>
      </c>
      <c r="O60" s="62">
        <f t="shared" si="25"/>
        <v>-1574.1191953290229</v>
      </c>
      <c r="P60" s="62">
        <f t="shared" si="25"/>
        <v>-2016.8402190153104</v>
      </c>
      <c r="Q60" s="62">
        <f t="shared" si="25"/>
        <v>-2480.7134693888324</v>
      </c>
      <c r="R60" s="62">
        <f t="shared" si="25"/>
        <v>-2542.7313061235527</v>
      </c>
      <c r="S60" s="62">
        <f t="shared" si="25"/>
        <v>-2606.299588776641</v>
      </c>
      <c r="T60" s="62">
        <f t="shared" si="25"/>
        <v>-2671.4570784960574</v>
      </c>
      <c r="U60" s="62">
        <f t="shared" si="25"/>
        <v>-2738.2435054584589</v>
      </c>
      <c r="V60" s="62">
        <f t="shared" si="25"/>
        <v>-2806.6995930949201</v>
      </c>
      <c r="W60" s="62">
        <f t="shared" si="25"/>
        <v>-2876.8670829222924</v>
      </c>
      <c r="X60" s="62">
        <f t="shared" si="25"/>
        <v>-2948.7887599953492</v>
      </c>
    </row>
    <row r="61" spans="1:24" ht="15" customHeight="1" x14ac:dyDescent="0.3">
      <c r="A61" s="55"/>
      <c r="B61" s="55"/>
      <c r="C61" s="95" t="s">
        <v>13</v>
      </c>
      <c r="D61" s="111"/>
      <c r="E61" s="55"/>
      <c r="F61" s="112"/>
      <c r="G61" s="55"/>
      <c r="H61" s="62">
        <f>SUM(J61:X61)</f>
        <v>-13906.705475567247</v>
      </c>
      <c r="I61" s="56"/>
      <c r="J61" s="62">
        <f t="shared" ref="J61:X61" si="26">J52</f>
        <v>0</v>
      </c>
      <c r="K61" s="62">
        <f t="shared" si="26"/>
        <v>0</v>
      </c>
      <c r="L61" s="62">
        <f t="shared" si="26"/>
        <v>0</v>
      </c>
      <c r="M61" s="62">
        <f t="shared" si="26"/>
        <v>0</v>
      </c>
      <c r="N61" s="62">
        <f t="shared" si="26"/>
        <v>-606.39551740859747</v>
      </c>
      <c r="O61" s="62">
        <f t="shared" si="26"/>
        <v>-828.74054045841649</v>
      </c>
      <c r="P61" s="62">
        <f t="shared" si="26"/>
        <v>-1061.8238174623459</v>
      </c>
      <c r="Q61" s="62">
        <f t="shared" si="26"/>
        <v>-1306.0432954786861</v>
      </c>
      <c r="R61" s="62">
        <f t="shared" si="26"/>
        <v>-1338.694377865653</v>
      </c>
      <c r="S61" s="62">
        <f t="shared" si="26"/>
        <v>-1372.1617373122938</v>
      </c>
      <c r="T61" s="62">
        <f t="shared" si="26"/>
        <v>-1406.4657807451015</v>
      </c>
      <c r="U61" s="62">
        <f t="shared" si="26"/>
        <v>-1441.6274252637288</v>
      </c>
      <c r="V61" s="62">
        <f t="shared" si="26"/>
        <v>-1477.6681108953219</v>
      </c>
      <c r="W61" s="62">
        <f t="shared" si="26"/>
        <v>-1514.6098136677047</v>
      </c>
      <c r="X61" s="62">
        <f t="shared" si="26"/>
        <v>-1552.4750590093972</v>
      </c>
    </row>
    <row r="62" spans="1:24" ht="15" customHeight="1" x14ac:dyDescent="0.3">
      <c r="A62" s="55"/>
      <c r="B62" s="122" t="s">
        <v>387</v>
      </c>
      <c r="C62" s="122"/>
      <c r="D62" s="397"/>
      <c r="E62" s="122"/>
      <c r="F62" s="123"/>
      <c r="G62" s="122"/>
      <c r="H62" s="177">
        <f>SUM(J62:X62)</f>
        <v>-4431593.8080290901</v>
      </c>
      <c r="I62" s="58"/>
      <c r="J62" s="177">
        <f t="shared" ref="J62:X62" si="27">J29+J37+J48+J53</f>
        <v>0</v>
      </c>
      <c r="K62" s="177">
        <f t="shared" si="27"/>
        <v>-167777.86000000007</v>
      </c>
      <c r="L62" s="177">
        <f t="shared" si="27"/>
        <v>-174173.58000000013</v>
      </c>
      <c r="M62" s="177">
        <f t="shared" si="27"/>
        <v>-175382.79999999993</v>
      </c>
      <c r="N62" s="177">
        <f t="shared" si="27"/>
        <v>-262611.48000000021</v>
      </c>
      <c r="O62" s="177">
        <f t="shared" si="27"/>
        <v>-288233.76000000018</v>
      </c>
      <c r="P62" s="177">
        <f t="shared" si="27"/>
        <v>-320462.76107482146</v>
      </c>
      <c r="Q62" s="177">
        <f t="shared" si="27"/>
        <v>-342514.1735122634</v>
      </c>
      <c r="R62" s="177">
        <f t="shared" si="27"/>
        <v>-352434.57881058007</v>
      </c>
      <c r="S62" s="177">
        <f t="shared" si="27"/>
        <v>-362988.20904647751</v>
      </c>
      <c r="T62" s="177">
        <f t="shared" si="27"/>
        <v>-373857.96301124134</v>
      </c>
      <c r="U62" s="177">
        <f t="shared" si="27"/>
        <v>-385420.56266845786</v>
      </c>
      <c r="V62" s="177">
        <f t="shared" si="27"/>
        <v>-396584.01230124739</v>
      </c>
      <c r="W62" s="177">
        <f t="shared" si="27"/>
        <v>-408460.11083176464</v>
      </c>
      <c r="X62" s="177">
        <f t="shared" si="27"/>
        <v>-420691.95677223499</v>
      </c>
    </row>
    <row r="63" spans="1:24" ht="15" customHeight="1" x14ac:dyDescent="0.3">
      <c r="A63" s="55"/>
      <c r="B63" s="124" t="s">
        <v>388</v>
      </c>
      <c r="C63" s="124"/>
      <c r="D63" s="125"/>
      <c r="E63" s="124"/>
      <c r="F63" s="125"/>
      <c r="G63" s="124"/>
      <c r="H63" s="59"/>
      <c r="I63" s="59"/>
      <c r="J63" s="59">
        <f t="shared" ref="J63:X63" si="28">IFERROR(1+J62/J22,0)</f>
        <v>0</v>
      </c>
      <c r="K63" s="59">
        <f t="shared" si="28"/>
        <v>0.48195503610011703</v>
      </c>
      <c r="L63" s="59">
        <f t="shared" si="28"/>
        <v>0.48196138706337499</v>
      </c>
      <c r="M63" s="59">
        <f t="shared" si="28"/>
        <v>0.49684676451499199</v>
      </c>
      <c r="N63" s="59">
        <f t="shared" si="28"/>
        <v>0.46132781497306619</v>
      </c>
      <c r="O63" s="59">
        <f t="shared" si="28"/>
        <v>0.45146026667684058</v>
      </c>
      <c r="P63" s="59">
        <f t="shared" si="28"/>
        <v>0.44887599018841218</v>
      </c>
      <c r="Q63" s="59">
        <f t="shared" si="28"/>
        <v>0.44864325597297861</v>
      </c>
      <c r="R63" s="59">
        <f t="shared" si="28"/>
        <v>0.44863183909764259</v>
      </c>
      <c r="S63" s="59">
        <f t="shared" si="28"/>
        <v>0.44852585010553281</v>
      </c>
      <c r="T63" s="59">
        <f t="shared" si="28"/>
        <v>0.44842032390519337</v>
      </c>
      <c r="U63" s="59">
        <f t="shared" si="28"/>
        <v>0.448220459333452</v>
      </c>
      <c r="V63" s="59">
        <f t="shared" si="28"/>
        <v>0.44821065275149019</v>
      </c>
      <c r="W63" s="59">
        <f t="shared" si="28"/>
        <v>0.4481065042456629</v>
      </c>
      <c r="X63" s="59">
        <f t="shared" si="28"/>
        <v>0.44800281142669685</v>
      </c>
    </row>
    <row r="64" spans="1:24" ht="15" customHeight="1" x14ac:dyDescent="0.3">
      <c r="A64" s="55"/>
      <c r="B64" s="55"/>
      <c r="C64" s="55"/>
      <c r="D64" s="111"/>
      <c r="E64" s="55"/>
      <c r="F64" s="112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</row>
    <row r="65" spans="1:24" ht="15" customHeight="1" x14ac:dyDescent="0.3">
      <c r="A65" s="55"/>
      <c r="B65" s="108" t="s">
        <v>246</v>
      </c>
      <c r="C65" s="108"/>
      <c r="D65" s="109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</row>
    <row r="66" spans="1:24" ht="15" customHeight="1" x14ac:dyDescent="0.3">
      <c r="A66" s="55"/>
      <c r="B66" s="55"/>
      <c r="C66" s="55"/>
      <c r="D66" s="111"/>
      <c r="E66" s="55"/>
      <c r="F66" s="112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</row>
    <row r="67" spans="1:24" ht="15" customHeight="1" x14ac:dyDescent="0.3">
      <c r="A67" s="55"/>
      <c r="B67" s="117"/>
      <c r="C67" s="117" t="s">
        <v>389</v>
      </c>
      <c r="D67" s="396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</row>
    <row r="68" spans="1:24" ht="15" customHeight="1" x14ac:dyDescent="0.3">
      <c r="A68" s="55"/>
      <c r="B68" s="55"/>
      <c r="C68" s="55" t="s">
        <v>247</v>
      </c>
      <c r="D68" s="111"/>
      <c r="E68" s="55"/>
      <c r="F68" s="111"/>
      <c r="G68" s="55"/>
      <c r="H68" s="47">
        <f>SUM(J68:X68)</f>
        <v>-4431594.2700000005</v>
      </c>
      <c r="I68" s="47"/>
      <c r="J68" s="60">
        <v>0</v>
      </c>
      <c r="K68" s="60">
        <v>-167777.86</v>
      </c>
      <c r="L68" s="60">
        <v>-174173.58</v>
      </c>
      <c r="M68" s="60">
        <v>-175382.8</v>
      </c>
      <c r="N68" s="60">
        <v>-262611.48</v>
      </c>
      <c r="O68" s="60">
        <v>-288233.76</v>
      </c>
      <c r="P68" s="60">
        <v>-320462.87</v>
      </c>
      <c r="Q68" s="60">
        <v>-342514.21</v>
      </c>
      <c r="R68" s="60">
        <v>-352434.62</v>
      </c>
      <c r="S68" s="60">
        <v>-362988.25</v>
      </c>
      <c r="T68" s="60">
        <v>-373858.01</v>
      </c>
      <c r="U68" s="60">
        <v>-385420.61</v>
      </c>
      <c r="V68" s="60">
        <v>-396584.06</v>
      </c>
      <c r="W68" s="60">
        <v>-408460.16</v>
      </c>
      <c r="X68" s="60">
        <v>-420692</v>
      </c>
    </row>
    <row r="69" spans="1:24" ht="15" customHeight="1" x14ac:dyDescent="0.3">
      <c r="A69" s="55"/>
      <c r="B69" s="55"/>
      <c r="C69" s="55" t="s">
        <v>248</v>
      </c>
      <c r="D69" s="111"/>
      <c r="E69" s="55"/>
      <c r="F69" s="111"/>
      <c r="G69" s="55"/>
      <c r="H69" s="61">
        <f>SUM(J69:X69)</f>
        <v>-4431593.8080290901</v>
      </c>
      <c r="I69" s="61"/>
      <c r="J69" s="62">
        <f t="shared" ref="J69:X69" si="29">J62</f>
        <v>0</v>
      </c>
      <c r="K69" s="62">
        <f t="shared" si="29"/>
        <v>-167777.86000000007</v>
      </c>
      <c r="L69" s="62">
        <f t="shared" si="29"/>
        <v>-174173.58000000013</v>
      </c>
      <c r="M69" s="62">
        <f t="shared" si="29"/>
        <v>-175382.79999999993</v>
      </c>
      <c r="N69" s="62">
        <f t="shared" si="29"/>
        <v>-262611.48000000021</v>
      </c>
      <c r="O69" s="62">
        <f t="shared" si="29"/>
        <v>-288233.76000000018</v>
      </c>
      <c r="P69" s="62">
        <f t="shared" si="29"/>
        <v>-320462.76107482146</v>
      </c>
      <c r="Q69" s="62">
        <f t="shared" si="29"/>
        <v>-342514.1735122634</v>
      </c>
      <c r="R69" s="62">
        <f t="shared" si="29"/>
        <v>-352434.57881058007</v>
      </c>
      <c r="S69" s="62">
        <f t="shared" si="29"/>
        <v>-362988.20904647751</v>
      </c>
      <c r="T69" s="62">
        <f t="shared" si="29"/>
        <v>-373857.96301124134</v>
      </c>
      <c r="U69" s="62">
        <f t="shared" si="29"/>
        <v>-385420.56266845786</v>
      </c>
      <c r="V69" s="62">
        <f t="shared" si="29"/>
        <v>-396584.01230124739</v>
      </c>
      <c r="W69" s="62">
        <f t="shared" si="29"/>
        <v>-408460.11083176464</v>
      </c>
      <c r="X69" s="62">
        <f t="shared" si="29"/>
        <v>-420691.95677223499</v>
      </c>
    </row>
    <row r="70" spans="1:24" ht="15" customHeight="1" x14ac:dyDescent="0.3">
      <c r="A70" s="55"/>
      <c r="B70" s="126"/>
      <c r="C70" s="126" t="s">
        <v>249</v>
      </c>
      <c r="D70" s="127"/>
      <c r="E70" s="126"/>
      <c r="F70" s="127"/>
      <c r="G70" s="126"/>
      <c r="H70" s="63">
        <f>SUM(J70:X70)</f>
        <v>0.46197091130306944</v>
      </c>
      <c r="I70" s="63"/>
      <c r="J70" s="63">
        <f t="shared" ref="J70:X70" si="30">J69-J68</f>
        <v>0</v>
      </c>
      <c r="K70" s="63">
        <f t="shared" si="30"/>
        <v>0</v>
      </c>
      <c r="L70" s="63">
        <f t="shared" si="30"/>
        <v>0</v>
      </c>
      <c r="M70" s="63">
        <f t="shared" si="30"/>
        <v>0</v>
      </c>
      <c r="N70" s="63">
        <f t="shared" si="30"/>
        <v>0</v>
      </c>
      <c r="O70" s="63">
        <f t="shared" si="30"/>
        <v>0</v>
      </c>
      <c r="P70" s="63">
        <f t="shared" si="30"/>
        <v>0.108925178530626</v>
      </c>
      <c r="Q70" s="63">
        <f t="shared" si="30"/>
        <v>3.6487736622802913E-2</v>
      </c>
      <c r="R70" s="63">
        <f t="shared" si="30"/>
        <v>4.1189419920556247E-2</v>
      </c>
      <c r="S70" s="63">
        <f t="shared" si="30"/>
        <v>4.095352248987183E-2</v>
      </c>
      <c r="T70" s="63">
        <f t="shared" si="30"/>
        <v>4.6988758665975183E-2</v>
      </c>
      <c r="U70" s="63">
        <f t="shared" si="30"/>
        <v>4.733154212590307E-2</v>
      </c>
      <c r="V70" s="63">
        <f t="shared" si="30"/>
        <v>4.7698752605356276E-2</v>
      </c>
      <c r="W70" s="63">
        <f t="shared" si="30"/>
        <v>4.9168235331308097E-2</v>
      </c>
      <c r="X70" s="63">
        <f t="shared" si="30"/>
        <v>4.3227765010669827E-2</v>
      </c>
    </row>
    <row r="71" spans="1:24" ht="15" customHeight="1" x14ac:dyDescent="0.3">
      <c r="A71" s="55"/>
      <c r="B71" s="55"/>
      <c r="C71" s="55"/>
      <c r="D71" s="111"/>
      <c r="E71" s="55"/>
      <c r="F71" s="112"/>
      <c r="G71" s="55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</row>
    <row r="72" spans="1:24" ht="15" customHeight="1" x14ac:dyDescent="0.3">
      <c r="A72" s="55"/>
      <c r="B72" s="117"/>
      <c r="C72" s="117" t="s">
        <v>390</v>
      </c>
      <c r="D72" s="396"/>
      <c r="E72" s="117"/>
      <c r="F72" s="117"/>
      <c r="G72" s="117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</row>
    <row r="73" spans="1:24" ht="15" customHeight="1" x14ac:dyDescent="0.3">
      <c r="A73" s="55"/>
      <c r="B73" s="55"/>
      <c r="C73" s="55" t="s">
        <v>391</v>
      </c>
      <c r="D73" s="111"/>
      <c r="E73" s="55"/>
      <c r="F73" s="111"/>
      <c r="G73" s="55"/>
      <c r="H73" s="47">
        <f>SUM(J73:X73)</f>
        <v>-4391272.57</v>
      </c>
      <c r="I73" s="47"/>
      <c r="J73" s="60">
        <v>0</v>
      </c>
      <c r="K73" s="60">
        <v>-167777.86</v>
      </c>
      <c r="L73" s="60">
        <v>-174173.58</v>
      </c>
      <c r="M73" s="60">
        <v>-175382.8</v>
      </c>
      <c r="N73" s="60">
        <v>-260853.51</v>
      </c>
      <c r="O73" s="60">
        <v>-285830.71000000002</v>
      </c>
      <c r="P73" s="60">
        <v>-317384.09999999998</v>
      </c>
      <c r="Q73" s="60">
        <v>-338727.42</v>
      </c>
      <c r="R73" s="60">
        <v>-348553.15</v>
      </c>
      <c r="S73" s="60">
        <v>-359009.75</v>
      </c>
      <c r="T73" s="60">
        <v>-369780.04</v>
      </c>
      <c r="U73" s="60">
        <v>-381240.69</v>
      </c>
      <c r="V73" s="60">
        <v>-392299.64</v>
      </c>
      <c r="W73" s="60">
        <v>-404068.63</v>
      </c>
      <c r="X73" s="60">
        <v>-416190.69</v>
      </c>
    </row>
    <row r="74" spans="1:24" ht="15" customHeight="1" x14ac:dyDescent="0.3">
      <c r="A74" s="55"/>
      <c r="B74" s="55"/>
      <c r="C74" s="55" t="s">
        <v>392</v>
      </c>
      <c r="D74" s="111"/>
      <c r="E74" s="55"/>
      <c r="F74" s="111"/>
      <c r="G74" s="55"/>
      <c r="H74" s="61">
        <f>SUM(J74:X74)</f>
        <v>-4391272.548221753</v>
      </c>
      <c r="I74" s="61"/>
      <c r="J74" s="62">
        <f t="shared" ref="J74:X74" si="31">J29+J37+J48</f>
        <v>0</v>
      </c>
      <c r="K74" s="62">
        <f t="shared" si="31"/>
        <v>-167777.86000000007</v>
      </c>
      <c r="L74" s="62">
        <f t="shared" si="31"/>
        <v>-174173.58000000013</v>
      </c>
      <c r="M74" s="62">
        <f t="shared" si="31"/>
        <v>-175382.79999999993</v>
      </c>
      <c r="N74" s="62">
        <f t="shared" si="31"/>
        <v>-260853.28994942401</v>
      </c>
      <c r="O74" s="62">
        <f t="shared" si="31"/>
        <v>-285830.90026421275</v>
      </c>
      <c r="P74" s="62">
        <f t="shared" si="31"/>
        <v>-317384.09703834378</v>
      </c>
      <c r="Q74" s="62">
        <f t="shared" si="31"/>
        <v>-338727.41674739588</v>
      </c>
      <c r="R74" s="62">
        <f t="shared" si="31"/>
        <v>-348553.15312659089</v>
      </c>
      <c r="S74" s="62">
        <f t="shared" si="31"/>
        <v>-359009.74772038858</v>
      </c>
      <c r="T74" s="62">
        <f t="shared" si="31"/>
        <v>-369780.04015200021</v>
      </c>
      <c r="U74" s="62">
        <f t="shared" si="31"/>
        <v>-381240.69173773564</v>
      </c>
      <c r="V74" s="62">
        <f t="shared" si="31"/>
        <v>-392299.64459725714</v>
      </c>
      <c r="W74" s="62">
        <f t="shared" si="31"/>
        <v>-404068.63393517467</v>
      </c>
      <c r="X74" s="62">
        <f t="shared" si="31"/>
        <v>-416190.69295323023</v>
      </c>
    </row>
    <row r="75" spans="1:24" ht="15" customHeight="1" x14ac:dyDescent="0.3">
      <c r="A75" s="55"/>
      <c r="B75" s="126"/>
      <c r="C75" s="126" t="s">
        <v>393</v>
      </c>
      <c r="D75" s="127"/>
      <c r="E75" s="126"/>
      <c r="F75" s="127"/>
      <c r="G75" s="126"/>
      <c r="H75" s="63">
        <f>SUM(J75:X75)</f>
        <v>2.1778246242320165E-2</v>
      </c>
      <c r="I75" s="63"/>
      <c r="J75" s="63">
        <f t="shared" ref="J75:X75" si="32">J74-J73</f>
        <v>0</v>
      </c>
      <c r="K75" s="63">
        <f t="shared" si="32"/>
        <v>0</v>
      </c>
      <c r="L75" s="63">
        <f t="shared" si="32"/>
        <v>0</v>
      </c>
      <c r="M75" s="63">
        <f t="shared" si="32"/>
        <v>0</v>
      </c>
      <c r="N75" s="63">
        <f t="shared" si="32"/>
        <v>0.2200505759974476</v>
      </c>
      <c r="O75" s="63">
        <f t="shared" si="32"/>
        <v>-0.19026421272428706</v>
      </c>
      <c r="P75" s="63">
        <f t="shared" si="32"/>
        <v>2.9616561951115727E-3</v>
      </c>
      <c r="Q75" s="63">
        <f t="shared" si="32"/>
        <v>3.2526041031815112E-3</v>
      </c>
      <c r="R75" s="63">
        <f t="shared" si="32"/>
        <v>-3.1265908619388938E-3</v>
      </c>
      <c r="S75" s="63">
        <f t="shared" si="32"/>
        <v>2.2796114208176732E-3</v>
      </c>
      <c r="T75" s="63">
        <f t="shared" si="32"/>
        <v>-1.5200022608041763E-4</v>
      </c>
      <c r="U75" s="63">
        <f t="shared" si="32"/>
        <v>-1.7377356416545808E-3</v>
      </c>
      <c r="V75" s="63">
        <f t="shared" si="32"/>
        <v>-4.5972571242600679E-3</v>
      </c>
      <c r="W75" s="63">
        <f t="shared" si="32"/>
        <v>-3.9351746672764421E-3</v>
      </c>
      <c r="X75" s="63">
        <f t="shared" si="32"/>
        <v>-2.9532302287407219E-3</v>
      </c>
    </row>
    <row r="76" spans="1:24" ht="15" customHeight="1" x14ac:dyDescent="0.3">
      <c r="A76" s="55"/>
      <c r="B76" s="55"/>
      <c r="C76" s="55"/>
      <c r="D76" s="111"/>
      <c r="E76" s="55"/>
      <c r="F76" s="112"/>
      <c r="G76" s="55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</row>
    <row r="77" spans="1:24" ht="15" customHeight="1" x14ac:dyDescent="0.3">
      <c r="A77" s="55"/>
      <c r="B77" s="55"/>
      <c r="C77" s="55" t="s">
        <v>394</v>
      </c>
      <c r="D77" s="111"/>
      <c r="E77" s="55"/>
      <c r="F77" s="111"/>
      <c r="G77" s="55"/>
      <c r="H77" s="47">
        <f>SUM(J77:X77)</f>
        <v>-40321.69</v>
      </c>
      <c r="I77" s="47"/>
      <c r="J77" s="60">
        <v>0</v>
      </c>
      <c r="K77" s="60">
        <v>0</v>
      </c>
      <c r="L77" s="60">
        <v>0</v>
      </c>
      <c r="M77" s="60">
        <v>0</v>
      </c>
      <c r="N77" s="60">
        <v>-1757.98</v>
      </c>
      <c r="O77" s="60">
        <v>-2403.04</v>
      </c>
      <c r="P77" s="60">
        <v>-3078.78</v>
      </c>
      <c r="Q77" s="60">
        <v>-3786.8</v>
      </c>
      <c r="R77" s="60">
        <v>-3881.47</v>
      </c>
      <c r="S77" s="60">
        <v>-3978.5</v>
      </c>
      <c r="T77" s="60">
        <v>-4077.97</v>
      </c>
      <c r="U77" s="60">
        <v>-4179.91</v>
      </c>
      <c r="V77" s="60">
        <v>-4284.41</v>
      </c>
      <c r="W77" s="60">
        <v>-4391.5200000000004</v>
      </c>
      <c r="X77" s="60">
        <v>-4501.3100000000004</v>
      </c>
    </row>
    <row r="78" spans="1:24" ht="15" customHeight="1" x14ac:dyDescent="0.3">
      <c r="A78" s="55"/>
      <c r="B78" s="55"/>
      <c r="C78" s="55" t="s">
        <v>395</v>
      </c>
      <c r="D78" s="111"/>
      <c r="E78" s="55"/>
      <c r="F78" s="111"/>
      <c r="G78" s="55"/>
      <c r="H78" s="61">
        <f>SUM(J78:X78)</f>
        <v>-40321.259807335264</v>
      </c>
      <c r="I78" s="61"/>
      <c r="J78" s="62">
        <f t="shared" ref="J78:X78" si="33">J53</f>
        <v>0</v>
      </c>
      <c r="K78" s="62">
        <f t="shared" si="33"/>
        <v>0</v>
      </c>
      <c r="L78" s="62">
        <f t="shared" si="33"/>
        <v>0</v>
      </c>
      <c r="M78" s="62">
        <f t="shared" si="33"/>
        <v>0</v>
      </c>
      <c r="N78" s="62">
        <f t="shared" si="33"/>
        <v>-1758.1900505761753</v>
      </c>
      <c r="O78" s="62">
        <f t="shared" si="33"/>
        <v>-2402.8597357874396</v>
      </c>
      <c r="P78" s="62">
        <f t="shared" si="33"/>
        <v>-3078.6640364776563</v>
      </c>
      <c r="Q78" s="62">
        <f t="shared" si="33"/>
        <v>-3786.7567648675185</v>
      </c>
      <c r="R78" s="62">
        <f t="shared" si="33"/>
        <v>-3881.4256839892059</v>
      </c>
      <c r="S78" s="62">
        <f t="shared" si="33"/>
        <v>-3978.4613260889346</v>
      </c>
      <c r="T78" s="62">
        <f t="shared" si="33"/>
        <v>-4077.9228592411591</v>
      </c>
      <c r="U78" s="62">
        <f t="shared" si="33"/>
        <v>-4179.8709307221879</v>
      </c>
      <c r="V78" s="62">
        <f t="shared" si="33"/>
        <v>-4284.3677039902423</v>
      </c>
      <c r="W78" s="62">
        <f t="shared" si="33"/>
        <v>-4391.4768965899966</v>
      </c>
      <c r="X78" s="62">
        <f t="shared" si="33"/>
        <v>-4501.2638190047464</v>
      </c>
    </row>
    <row r="79" spans="1:24" ht="15" customHeight="1" x14ac:dyDescent="0.3">
      <c r="A79" s="55"/>
      <c r="B79" s="126"/>
      <c r="C79" s="126" t="s">
        <v>396</v>
      </c>
      <c r="D79" s="127"/>
      <c r="E79" s="126"/>
      <c r="F79" s="127"/>
      <c r="G79" s="126"/>
      <c r="H79" s="63">
        <f>SUM(J79:X79)</f>
        <v>0.43019266473788775</v>
      </c>
      <c r="I79" s="63"/>
      <c r="J79" s="63">
        <f t="shared" ref="J79:X79" si="34">J78-J77</f>
        <v>0</v>
      </c>
      <c r="K79" s="63">
        <f t="shared" si="34"/>
        <v>0</v>
      </c>
      <c r="L79" s="63">
        <f t="shared" si="34"/>
        <v>0</v>
      </c>
      <c r="M79" s="63">
        <f t="shared" si="34"/>
        <v>0</v>
      </c>
      <c r="N79" s="63">
        <f t="shared" si="34"/>
        <v>-0.2100505761752629</v>
      </c>
      <c r="O79" s="63">
        <f t="shared" si="34"/>
        <v>0.18026421256035974</v>
      </c>
      <c r="P79" s="63">
        <f t="shared" si="34"/>
        <v>0.11596352234391816</v>
      </c>
      <c r="Q79" s="63">
        <f t="shared" si="34"/>
        <v>4.3235132481640903E-2</v>
      </c>
      <c r="R79" s="63">
        <f t="shared" si="34"/>
        <v>4.4316010793863825E-2</v>
      </c>
      <c r="S79" s="63">
        <f t="shared" si="34"/>
        <v>3.8673911065416178E-2</v>
      </c>
      <c r="T79" s="63">
        <f t="shared" si="34"/>
        <v>4.714075884066915E-2</v>
      </c>
      <c r="U79" s="63">
        <f t="shared" si="34"/>
        <v>3.9069277811904612E-2</v>
      </c>
      <c r="V79" s="63">
        <f t="shared" si="34"/>
        <v>4.2296009757592401E-2</v>
      </c>
      <c r="W79" s="63">
        <f t="shared" si="34"/>
        <v>4.3103410003823228E-2</v>
      </c>
      <c r="X79" s="63">
        <f t="shared" si="34"/>
        <v>4.6180995253962465E-2</v>
      </c>
    </row>
    <row r="80" spans="1:24" ht="15" customHeight="1" x14ac:dyDescent="0.3">
      <c r="A80" s="55"/>
      <c r="B80" s="55"/>
      <c r="C80" s="55"/>
      <c r="D80" s="111"/>
      <c r="E80" s="55"/>
      <c r="F80" s="112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</row>
    <row r="81" spans="1:24" ht="15" customHeight="1" x14ac:dyDescent="0.3">
      <c r="A81" s="55"/>
      <c r="B81" s="108" t="s">
        <v>411</v>
      </c>
      <c r="C81" s="108"/>
      <c r="D81" s="109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</row>
    <row r="82" spans="1:24" ht="15" customHeight="1" x14ac:dyDescent="0.3">
      <c r="A82" s="55"/>
      <c r="B82" s="55"/>
      <c r="C82" s="55"/>
      <c r="D82" s="111"/>
      <c r="E82" s="55"/>
      <c r="F82" s="112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</row>
    <row r="83" spans="1:24" ht="15" customHeight="1" x14ac:dyDescent="0.3">
      <c r="C83" s="117" t="s">
        <v>153</v>
      </c>
      <c r="D83" s="396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</row>
    <row r="84" spans="1:24" ht="15" customHeight="1" x14ac:dyDescent="0.3">
      <c r="C84" s="55" t="s">
        <v>412</v>
      </c>
      <c r="H84" s="178">
        <v>30</v>
      </c>
      <c r="I84" s="68"/>
    </row>
    <row r="85" spans="1:24" ht="15" customHeight="1" x14ac:dyDescent="0.3">
      <c r="C85" s="55" t="s">
        <v>156</v>
      </c>
      <c r="H85" s="178">
        <v>365</v>
      </c>
      <c r="I85" s="68"/>
    </row>
    <row r="86" spans="1:24" ht="15" customHeight="1" x14ac:dyDescent="0.3">
      <c r="C86" s="55" t="s">
        <v>420</v>
      </c>
      <c r="H86" s="391"/>
      <c r="I86" s="68"/>
      <c r="J86" s="179">
        <f t="shared" ref="J86:X86" si="35">IF(J4=$H$86,1,0)</f>
        <v>0</v>
      </c>
      <c r="K86" s="179">
        <f t="shared" si="35"/>
        <v>0</v>
      </c>
      <c r="L86" s="179">
        <f t="shared" si="35"/>
        <v>0</v>
      </c>
      <c r="M86" s="179">
        <f t="shared" si="35"/>
        <v>0</v>
      </c>
      <c r="N86" s="179">
        <f t="shared" si="35"/>
        <v>0</v>
      </c>
      <c r="O86" s="179">
        <f t="shared" si="35"/>
        <v>0</v>
      </c>
      <c r="P86" s="179">
        <f t="shared" si="35"/>
        <v>0</v>
      </c>
      <c r="Q86" s="179">
        <f t="shared" si="35"/>
        <v>0</v>
      </c>
      <c r="R86" s="179">
        <f t="shared" si="35"/>
        <v>0</v>
      </c>
      <c r="S86" s="179">
        <f t="shared" si="35"/>
        <v>0</v>
      </c>
      <c r="T86" s="179">
        <f t="shared" si="35"/>
        <v>0</v>
      </c>
      <c r="U86" s="179">
        <f t="shared" si="35"/>
        <v>0</v>
      </c>
      <c r="V86" s="179">
        <f t="shared" si="35"/>
        <v>0</v>
      </c>
      <c r="W86" s="179">
        <f t="shared" si="35"/>
        <v>0</v>
      </c>
      <c r="X86" s="179">
        <f t="shared" si="35"/>
        <v>0</v>
      </c>
    </row>
    <row r="87" spans="1:24" ht="15" customHeight="1" x14ac:dyDescent="0.3">
      <c r="C87" s="117" t="s">
        <v>413</v>
      </c>
      <c r="D87" s="396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</row>
    <row r="88" spans="1:24" ht="15" customHeight="1" x14ac:dyDescent="0.3">
      <c r="B88" s="55"/>
      <c r="C88" s="55" t="s">
        <v>414</v>
      </c>
      <c r="D88" s="111"/>
      <c r="E88" s="55"/>
      <c r="F88" s="111"/>
      <c r="G88" s="55"/>
      <c r="H88" s="61"/>
      <c r="I88" s="61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</row>
    <row r="89" spans="1:24" ht="15" customHeight="1" x14ac:dyDescent="0.3">
      <c r="B89" s="55"/>
      <c r="C89" s="241" t="s">
        <v>667</v>
      </c>
      <c r="D89" s="111"/>
      <c r="E89" s="55"/>
      <c r="F89" s="111"/>
      <c r="G89" s="55"/>
      <c r="H89" s="61"/>
      <c r="I89" s="61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</row>
    <row r="90" spans="1:24" ht="15" customHeight="1" x14ac:dyDescent="0.3">
      <c r="B90" s="55"/>
      <c r="C90" s="390" t="s">
        <v>6</v>
      </c>
      <c r="D90" s="111"/>
      <c r="E90" s="55"/>
      <c r="F90" s="111"/>
      <c r="G90" s="55"/>
      <c r="H90" s="61"/>
      <c r="I90" s="61"/>
      <c r="J90" s="62">
        <f>-IF($H$85=0,0,J56/$H$85*$H$84)</f>
        <v>0</v>
      </c>
      <c r="K90" s="62">
        <f t="shared" ref="K90:X90" si="36">-IF($H$85=0,0,K56/$H$85*$H$84)</f>
        <v>13789.961095890416</v>
      </c>
      <c r="L90" s="62">
        <f t="shared" si="36"/>
        <v>14315.636712328778</v>
      </c>
      <c r="M90" s="62">
        <f t="shared" si="36"/>
        <v>14415.024657534241</v>
      </c>
      <c r="N90" s="62">
        <f t="shared" si="36"/>
        <v>15401.801598849101</v>
      </c>
      <c r="O90" s="62">
        <f t="shared" si="36"/>
        <v>16498.15672213279</v>
      </c>
      <c r="P90" s="62">
        <f t="shared" si="36"/>
        <v>17499.878093849933</v>
      </c>
      <c r="Q90" s="62">
        <f t="shared" si="36"/>
        <v>18024.874436665428</v>
      </c>
      <c r="R90" s="62">
        <f t="shared" si="36"/>
        <v>18565.620669765387</v>
      </c>
      <c r="S90" s="62">
        <f t="shared" si="36"/>
        <v>19122.589289858344</v>
      </c>
      <c r="T90" s="62">
        <f t="shared" si="36"/>
        <v>19696.266968554097</v>
      </c>
      <c r="U90" s="62">
        <f t="shared" si="36"/>
        <v>20287.154977610735</v>
      </c>
      <c r="V90" s="62">
        <f t="shared" si="36"/>
        <v>20895.769626939051</v>
      </c>
      <c r="W90" s="62">
        <f t="shared" si="36"/>
        <v>21522.642715747206</v>
      </c>
      <c r="X90" s="62">
        <f t="shared" si="36"/>
        <v>22168.321997219653</v>
      </c>
    </row>
    <row r="91" spans="1:24" ht="15" customHeight="1" x14ac:dyDescent="0.3">
      <c r="B91" s="55"/>
      <c r="C91" s="390" t="s">
        <v>7</v>
      </c>
      <c r="D91" s="111"/>
      <c r="E91" s="55"/>
      <c r="F91" s="111"/>
      <c r="G91" s="55"/>
      <c r="H91" s="61"/>
      <c r="I91" s="61"/>
      <c r="J91" s="62">
        <f>-IF($H$85=0,0,J57/$H$85*$H$84)</f>
        <v>0</v>
      </c>
      <c r="K91" s="62">
        <f t="shared" ref="K91:X91" si="37">-IF($H$85=0,0,K57/$H$85*$H$84)</f>
        <v>0</v>
      </c>
      <c r="L91" s="62">
        <f t="shared" si="37"/>
        <v>0</v>
      </c>
      <c r="M91" s="62">
        <f t="shared" si="37"/>
        <v>0</v>
      </c>
      <c r="N91" s="62">
        <f t="shared" si="37"/>
        <v>3063.0766204013939</v>
      </c>
      <c r="O91" s="62">
        <f t="shared" si="37"/>
        <v>3638.5772934607512</v>
      </c>
      <c r="P91" s="62">
        <f t="shared" si="37"/>
        <v>4791.4075422623037</v>
      </c>
      <c r="Q91" s="62">
        <f t="shared" si="37"/>
        <v>5585.6283451011222</v>
      </c>
      <c r="R91" s="62">
        <f t="shared" si="37"/>
        <v>5737.4780774337878</v>
      </c>
      <c r="S91" s="62">
        <f t="shared" si="37"/>
        <v>5909.602419756804</v>
      </c>
      <c r="T91" s="62">
        <f t="shared" si="37"/>
        <v>6086.8904923495083</v>
      </c>
      <c r="U91" s="62">
        <f t="shared" si="37"/>
        <v>6286.6739117970328</v>
      </c>
      <c r="V91" s="62">
        <f t="shared" si="37"/>
        <v>6457.582123333591</v>
      </c>
      <c r="W91" s="62">
        <f t="shared" si="37"/>
        <v>6651.3095870336001</v>
      </c>
      <c r="X91" s="62">
        <f t="shared" si="37"/>
        <v>6850.8488746446092</v>
      </c>
    </row>
    <row r="92" spans="1:24" ht="15" customHeight="1" x14ac:dyDescent="0.3">
      <c r="B92" s="55"/>
      <c r="C92" s="390" t="s">
        <v>8</v>
      </c>
      <c r="D92" s="111"/>
      <c r="E92" s="55"/>
      <c r="F92" s="111"/>
      <c r="G92" s="55"/>
      <c r="H92" s="61"/>
      <c r="I92" s="61"/>
      <c r="J92" s="62">
        <f>-IF($H$85=0,0,J58/$H$85*$H$84)</f>
        <v>0</v>
      </c>
      <c r="K92" s="62">
        <f t="shared" ref="K92:X92" si="38">-IF($H$85=0,0,K58/$H$85*$H$84)</f>
        <v>0</v>
      </c>
      <c r="L92" s="62">
        <f t="shared" si="38"/>
        <v>0</v>
      </c>
      <c r="M92" s="62">
        <f t="shared" si="38"/>
        <v>0</v>
      </c>
      <c r="N92" s="62">
        <f t="shared" si="38"/>
        <v>2975.1182149487399</v>
      </c>
      <c r="O92" s="62">
        <f t="shared" si="38"/>
        <v>3356.2166910540782</v>
      </c>
      <c r="P92" s="62">
        <f t="shared" si="38"/>
        <v>3795.0785040256064</v>
      </c>
      <c r="Q92" s="62">
        <f t="shared" si="38"/>
        <v>4230.1068139098206</v>
      </c>
      <c r="R92" s="62">
        <f t="shared" si="38"/>
        <v>4345.1056193699351</v>
      </c>
      <c r="S92" s="62">
        <f t="shared" si="38"/>
        <v>4475.4587879510336</v>
      </c>
      <c r="T92" s="62">
        <f t="shared" si="38"/>
        <v>4609.7225515895643</v>
      </c>
      <c r="U92" s="62">
        <f t="shared" si="38"/>
        <v>4761.0224862965315</v>
      </c>
      <c r="V92" s="62">
        <f t="shared" si="38"/>
        <v>4890.4546549813685</v>
      </c>
      <c r="W92" s="62">
        <f t="shared" si="38"/>
        <v>5037.1682946308083</v>
      </c>
      <c r="X92" s="62">
        <f t="shared" si="38"/>
        <v>5188.2833434697332</v>
      </c>
    </row>
    <row r="93" spans="1:24" ht="15" customHeight="1" x14ac:dyDescent="0.3">
      <c r="B93" s="55"/>
      <c r="C93" s="89" t="s">
        <v>665</v>
      </c>
      <c r="D93" s="111"/>
      <c r="E93" s="55"/>
      <c r="F93" s="111"/>
      <c r="G93" s="55"/>
      <c r="H93" s="61"/>
      <c r="I93" s="61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</row>
    <row r="94" spans="1:24" ht="15" customHeight="1" x14ac:dyDescent="0.3">
      <c r="B94" s="55"/>
      <c r="C94" s="95" t="s">
        <v>12</v>
      </c>
      <c r="D94" s="111"/>
      <c r="E94" s="55"/>
      <c r="F94" s="111"/>
      <c r="G94" s="55"/>
      <c r="H94" s="61"/>
      <c r="I94" s="61"/>
      <c r="J94" s="62">
        <f t="shared" ref="J94:X94" si="39">-IF($H$85=0,0,J60/$H$85*$H$84)</f>
        <v>0</v>
      </c>
      <c r="K94" s="62">
        <f t="shared" si="39"/>
        <v>0</v>
      </c>
      <c r="L94" s="62">
        <f t="shared" si="39"/>
        <v>0</v>
      </c>
      <c r="M94" s="62">
        <f t="shared" si="39"/>
        <v>0</v>
      </c>
      <c r="N94" s="62">
        <f t="shared" si="39"/>
        <v>94.668043821992697</v>
      </c>
      <c r="O94" s="62">
        <f t="shared" si="39"/>
        <v>129.37965989005667</v>
      </c>
      <c r="P94" s="62">
        <f t="shared" si="39"/>
        <v>165.76768923413508</v>
      </c>
      <c r="Q94" s="62">
        <f t="shared" si="39"/>
        <v>203.89425775798622</v>
      </c>
      <c r="R94" s="62">
        <f t="shared" si="39"/>
        <v>208.99161420193585</v>
      </c>
      <c r="S94" s="62">
        <f t="shared" si="39"/>
        <v>214.2164045569842</v>
      </c>
      <c r="T94" s="62">
        <f t="shared" si="39"/>
        <v>219.57181467090882</v>
      </c>
      <c r="U94" s="62">
        <f t="shared" si="39"/>
        <v>225.06111003768154</v>
      </c>
      <c r="V94" s="62">
        <f t="shared" si="39"/>
        <v>230.68763778862356</v>
      </c>
      <c r="W94" s="62">
        <f t="shared" si="39"/>
        <v>236.4548287333391</v>
      </c>
      <c r="X94" s="62">
        <f t="shared" si="39"/>
        <v>242.36619945167257</v>
      </c>
    </row>
    <row r="95" spans="1:24" ht="15" customHeight="1" x14ac:dyDescent="0.3">
      <c r="B95" s="55"/>
      <c r="C95" s="95" t="s">
        <v>13</v>
      </c>
      <c r="D95" s="111"/>
      <c r="E95" s="55"/>
      <c r="F95" s="111"/>
      <c r="G95" s="55"/>
      <c r="H95" s="61"/>
      <c r="I95" s="61"/>
      <c r="J95" s="62">
        <f t="shared" ref="J95:X95" si="40">-IF($H$85=0,0,J61/$H$85*$H$84)</f>
        <v>0</v>
      </c>
      <c r="K95" s="62">
        <f t="shared" si="40"/>
        <v>0</v>
      </c>
      <c r="L95" s="62">
        <f t="shared" si="40"/>
        <v>0</v>
      </c>
      <c r="M95" s="62">
        <f t="shared" si="40"/>
        <v>0</v>
      </c>
      <c r="N95" s="62">
        <f t="shared" si="40"/>
        <v>49.840727458240885</v>
      </c>
      <c r="O95" s="62">
        <f t="shared" si="40"/>
        <v>68.115660859595877</v>
      </c>
      <c r="P95" s="62">
        <f t="shared" si="40"/>
        <v>87.2731904763572</v>
      </c>
      <c r="Q95" s="62">
        <f t="shared" si="40"/>
        <v>107.3460242859194</v>
      </c>
      <c r="R95" s="62">
        <f t="shared" si="40"/>
        <v>110.02967489306737</v>
      </c>
      <c r="S95" s="62">
        <f t="shared" si="40"/>
        <v>112.78041676539401</v>
      </c>
      <c r="T95" s="62">
        <f t="shared" si="40"/>
        <v>115.59992718452888</v>
      </c>
      <c r="U95" s="62">
        <f t="shared" si="40"/>
        <v>118.4899253641421</v>
      </c>
      <c r="V95" s="62">
        <f t="shared" si="40"/>
        <v>121.45217349824564</v>
      </c>
      <c r="W95" s="62">
        <f t="shared" si="40"/>
        <v>124.48847783570176</v>
      </c>
      <c r="X95" s="62">
        <f t="shared" si="40"/>
        <v>127.60068978159428</v>
      </c>
    </row>
    <row r="96" spans="1:24" ht="15" customHeight="1" x14ac:dyDescent="0.3">
      <c r="B96" s="55"/>
      <c r="C96" s="126" t="s">
        <v>714</v>
      </c>
      <c r="D96" s="127"/>
      <c r="E96" s="126"/>
      <c r="F96" s="127"/>
      <c r="G96" s="126"/>
      <c r="H96" s="63">
        <f>X96</f>
        <v>34577.421104567264</v>
      </c>
      <c r="I96" s="63"/>
      <c r="J96" s="63">
        <f>SUM(J90:J95)</f>
        <v>0</v>
      </c>
      <c r="K96" s="63">
        <f t="shared" ref="K96:X96" si="41">SUM(K90:K95)</f>
        <v>13789.961095890416</v>
      </c>
      <c r="L96" s="63">
        <f t="shared" si="41"/>
        <v>14315.636712328778</v>
      </c>
      <c r="M96" s="63">
        <f t="shared" si="41"/>
        <v>14415.024657534241</v>
      </c>
      <c r="N96" s="63">
        <f t="shared" si="41"/>
        <v>21584.505205479469</v>
      </c>
      <c r="O96" s="63">
        <f t="shared" si="41"/>
        <v>23690.446027397273</v>
      </c>
      <c r="P96" s="63">
        <f t="shared" si="41"/>
        <v>26339.405019848331</v>
      </c>
      <c r="Q96" s="63">
        <f t="shared" si="41"/>
        <v>28151.849877720277</v>
      </c>
      <c r="R96" s="63">
        <f t="shared" si="41"/>
        <v>28967.225655664111</v>
      </c>
      <c r="S96" s="63">
        <f t="shared" si="41"/>
        <v>29834.647318888561</v>
      </c>
      <c r="T96" s="63">
        <f t="shared" si="41"/>
        <v>30728.051754348602</v>
      </c>
      <c r="U96" s="63">
        <f t="shared" si="41"/>
        <v>31678.402411106119</v>
      </c>
      <c r="V96" s="63">
        <f t="shared" si="41"/>
        <v>32595.946216540877</v>
      </c>
      <c r="W96" s="63">
        <f t="shared" si="41"/>
        <v>33572.063903980656</v>
      </c>
      <c r="X96" s="63">
        <f t="shared" si="41"/>
        <v>34577.421104567264</v>
      </c>
    </row>
    <row r="97" spans="2:24" ht="15" customHeight="1" x14ac:dyDescent="0.3">
      <c r="B97" s="55"/>
      <c r="C97" s="55"/>
      <c r="D97" s="111"/>
      <c r="E97" s="55"/>
      <c r="F97" s="111"/>
      <c r="G97" s="55"/>
      <c r="H97" s="61"/>
      <c r="I97" s="61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</row>
    <row r="98" spans="2:24" ht="15" customHeight="1" x14ac:dyDescent="0.3">
      <c r="B98" s="55"/>
      <c r="C98" s="117" t="s">
        <v>415</v>
      </c>
      <c r="D98" s="396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</row>
    <row r="99" spans="2:24" ht="15" customHeight="1" x14ac:dyDescent="0.3">
      <c r="B99" s="55"/>
      <c r="C99" s="241" t="s">
        <v>667</v>
      </c>
      <c r="D99" s="111"/>
      <c r="E99" s="55"/>
      <c r="F99" s="111"/>
      <c r="G99" s="55"/>
      <c r="H99" s="61"/>
      <c r="I99" s="61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</row>
    <row r="100" spans="2:24" ht="15" customHeight="1" x14ac:dyDescent="0.3">
      <c r="B100" s="55"/>
      <c r="C100" s="390" t="s">
        <v>6</v>
      </c>
      <c r="D100" s="111"/>
      <c r="E100" s="55"/>
      <c r="F100" s="111"/>
      <c r="G100" s="55"/>
      <c r="H100" s="61"/>
      <c r="I100" s="61"/>
      <c r="J100" s="62">
        <f>J56+J90</f>
        <v>0</v>
      </c>
      <c r="K100" s="62">
        <f>K56+K90-J90</f>
        <v>-153987.89890410966</v>
      </c>
      <c r="L100" s="62">
        <f t="shared" ref="L100:X100" si="42">L56+L90-K90</f>
        <v>-173647.90438356178</v>
      </c>
      <c r="M100" s="62">
        <f t="shared" si="42"/>
        <v>-175283.41205479449</v>
      </c>
      <c r="N100" s="62">
        <f t="shared" si="42"/>
        <v>-186401.80917801586</v>
      </c>
      <c r="O100" s="62">
        <f t="shared" si="42"/>
        <v>-199631.21832933192</v>
      </c>
      <c r="P100" s="62">
        <f t="shared" si="42"/>
        <v>-211913.46210345704</v>
      </c>
      <c r="Q100" s="62">
        <f t="shared" si="42"/>
        <v>-218777.64263661386</v>
      </c>
      <c r="R100" s="62">
        <f t="shared" si="42"/>
        <v>-225340.97191571223</v>
      </c>
      <c r="S100" s="62">
        <f t="shared" si="42"/>
        <v>-232101.20107318359</v>
      </c>
      <c r="T100" s="62">
        <f t="shared" si="42"/>
        <v>-239064.23710537911</v>
      </c>
      <c r="U100" s="62">
        <f t="shared" si="42"/>
        <v>-246236.16421854062</v>
      </c>
      <c r="V100" s="62">
        <f t="shared" si="42"/>
        <v>-253623.24914509681</v>
      </c>
      <c r="W100" s="62">
        <f t="shared" si="42"/>
        <v>-261231.94661944953</v>
      </c>
      <c r="X100" s="62">
        <f t="shared" si="42"/>
        <v>-269068.90501803334</v>
      </c>
    </row>
    <row r="101" spans="2:24" ht="15" customHeight="1" x14ac:dyDescent="0.3">
      <c r="B101" s="55"/>
      <c r="C101" s="390" t="s">
        <v>7</v>
      </c>
      <c r="D101" s="111"/>
      <c r="E101" s="55"/>
      <c r="F101" s="111"/>
      <c r="G101" s="55"/>
      <c r="H101" s="61"/>
      <c r="I101" s="61"/>
      <c r="J101" s="62">
        <f>J57+J91</f>
        <v>0</v>
      </c>
      <c r="K101" s="62">
        <f>K57+K91-J91</f>
        <v>0</v>
      </c>
      <c r="L101" s="62">
        <f t="shared" ref="L101:X101" si="43">L57+L91-K91</f>
        <v>0</v>
      </c>
      <c r="M101" s="62">
        <f t="shared" si="43"/>
        <v>0</v>
      </c>
      <c r="N101" s="62">
        <f t="shared" si="43"/>
        <v>-34204.355594482236</v>
      </c>
      <c r="O101" s="62">
        <f t="shared" si="43"/>
        <v>-43693.856397379779</v>
      </c>
      <c r="P101" s="62">
        <f t="shared" si="43"/>
        <v>-57142.628182056469</v>
      </c>
      <c r="Q101" s="62">
        <f t="shared" si="43"/>
        <v>-67164.257395891487</v>
      </c>
      <c r="R101" s="62">
        <f t="shared" si="43"/>
        <v>-69654.133543111762</v>
      </c>
      <c r="S101" s="62">
        <f t="shared" si="43"/>
        <v>-71728.038431384761</v>
      </c>
      <c r="T101" s="62">
        <f t="shared" si="43"/>
        <v>-73879.879584326307</v>
      </c>
      <c r="U101" s="62">
        <f t="shared" si="43"/>
        <v>-76288.082507416388</v>
      </c>
      <c r="V101" s="62">
        <f t="shared" si="43"/>
        <v>-78396.340955688793</v>
      </c>
      <c r="W101" s="62">
        <f t="shared" si="43"/>
        <v>-80730.539178542123</v>
      </c>
      <c r="X101" s="62">
        <f t="shared" si="43"/>
        <v>-83152.455353898389</v>
      </c>
    </row>
    <row r="102" spans="2:24" ht="15" customHeight="1" x14ac:dyDescent="0.3">
      <c r="B102" s="55"/>
      <c r="C102" s="390" t="s">
        <v>8</v>
      </c>
      <c r="D102" s="111"/>
      <c r="E102" s="55"/>
      <c r="F102" s="111"/>
      <c r="G102" s="55"/>
      <c r="H102" s="61"/>
      <c r="I102" s="61"/>
      <c r="J102" s="62">
        <f>J58+J92</f>
        <v>0</v>
      </c>
      <c r="K102" s="62">
        <f>K58+K92-J92</f>
        <v>0</v>
      </c>
      <c r="L102" s="62">
        <f t="shared" ref="L102:X102" si="44">L58+L92-K92</f>
        <v>0</v>
      </c>
      <c r="M102" s="62">
        <f t="shared" si="44"/>
        <v>0</v>
      </c>
      <c r="N102" s="62">
        <f t="shared" si="44"/>
        <v>-33222.153400260926</v>
      </c>
      <c r="O102" s="62">
        <f t="shared" si="44"/>
        <v>-40452.871265052621</v>
      </c>
      <c r="P102" s="62">
        <f t="shared" si="44"/>
        <v>-45734.593319340012</v>
      </c>
      <c r="Q102" s="62">
        <f t="shared" si="44"/>
        <v>-51031.271259351932</v>
      </c>
      <c r="R102" s="62">
        <f t="shared" si="44"/>
        <v>-52750.4528968741</v>
      </c>
      <c r="S102" s="62">
        <f t="shared" si="44"/>
        <v>-54321.062084823141</v>
      </c>
      <c r="T102" s="62">
        <f t="shared" si="44"/>
        <v>-55950.693947367836</v>
      </c>
      <c r="U102" s="62">
        <f t="shared" si="44"/>
        <v>-57774.473648567495</v>
      </c>
      <c r="V102" s="62">
        <f t="shared" si="44"/>
        <v>-59371.099466921813</v>
      </c>
      <c r="W102" s="62">
        <f t="shared" si="44"/>
        <v>-61138.833945025399</v>
      </c>
      <c r="X102" s="62">
        <f t="shared" si="44"/>
        <v>-62972.998963376158</v>
      </c>
    </row>
    <row r="103" spans="2:24" ht="15" customHeight="1" x14ac:dyDescent="0.3">
      <c r="B103" s="55"/>
      <c r="C103" s="89" t="s">
        <v>665</v>
      </c>
      <c r="D103" s="111"/>
      <c r="E103" s="55"/>
      <c r="F103" s="111"/>
      <c r="G103" s="55"/>
      <c r="H103" s="61"/>
      <c r="I103" s="61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</row>
    <row r="104" spans="2:24" ht="15" customHeight="1" x14ac:dyDescent="0.3">
      <c r="B104" s="55"/>
      <c r="C104" s="390" t="s">
        <v>12</v>
      </c>
      <c r="D104" s="111"/>
      <c r="E104" s="55"/>
      <c r="F104" s="111"/>
      <c r="G104" s="55"/>
      <c r="H104" s="61"/>
      <c r="I104" s="61"/>
      <c r="J104" s="62">
        <f>J60+J94</f>
        <v>0</v>
      </c>
      <c r="K104" s="62">
        <f>K60+K94-J94</f>
        <v>0</v>
      </c>
      <c r="L104" s="62">
        <f t="shared" ref="L104:X104" si="45">L60+L94-K94</f>
        <v>0</v>
      </c>
      <c r="M104" s="62">
        <f t="shared" si="45"/>
        <v>0</v>
      </c>
      <c r="N104" s="62">
        <f t="shared" si="45"/>
        <v>-1057.126489345585</v>
      </c>
      <c r="O104" s="62">
        <f t="shared" si="45"/>
        <v>-1539.407579260959</v>
      </c>
      <c r="P104" s="62">
        <f t="shared" si="45"/>
        <v>-1980.452189671232</v>
      </c>
      <c r="Q104" s="62">
        <f t="shared" si="45"/>
        <v>-2442.5869008649815</v>
      </c>
      <c r="R104" s="62">
        <f t="shared" si="45"/>
        <v>-2537.6339496796027</v>
      </c>
      <c r="S104" s="62">
        <f t="shared" si="45"/>
        <v>-2601.0747984215927</v>
      </c>
      <c r="T104" s="62">
        <f t="shared" si="45"/>
        <v>-2666.1016683821331</v>
      </c>
      <c r="U104" s="62">
        <f t="shared" si="45"/>
        <v>-2732.7542100916862</v>
      </c>
      <c r="V104" s="62">
        <f t="shared" si="45"/>
        <v>-2801.0730653439778</v>
      </c>
      <c r="W104" s="62">
        <f t="shared" si="45"/>
        <v>-2871.099891977577</v>
      </c>
      <c r="X104" s="62">
        <f t="shared" si="45"/>
        <v>-2942.8773892770159</v>
      </c>
    </row>
    <row r="105" spans="2:24" ht="15" customHeight="1" x14ac:dyDescent="0.3">
      <c r="B105" s="55"/>
      <c r="C105" s="390" t="s">
        <v>13</v>
      </c>
      <c r="D105" s="111"/>
      <c r="E105" s="55"/>
      <c r="F105" s="111"/>
      <c r="G105" s="55"/>
      <c r="H105" s="61"/>
      <c r="I105" s="61"/>
      <c r="J105" s="62">
        <f>J61+J95</f>
        <v>0</v>
      </c>
      <c r="K105" s="62">
        <f>K61+K95-J95</f>
        <v>0</v>
      </c>
      <c r="L105" s="62">
        <f t="shared" ref="L105:X105" si="46">L61+L95-K95</f>
        <v>0</v>
      </c>
      <c r="M105" s="62">
        <f t="shared" si="46"/>
        <v>0</v>
      </c>
      <c r="N105" s="62">
        <f t="shared" si="46"/>
        <v>-556.55478995035662</v>
      </c>
      <c r="O105" s="62">
        <f t="shared" si="46"/>
        <v>-810.46560705706145</v>
      </c>
      <c r="P105" s="62">
        <f t="shared" si="46"/>
        <v>-1042.6662878455845</v>
      </c>
      <c r="Q105" s="62">
        <f t="shared" si="46"/>
        <v>-1285.970461669124</v>
      </c>
      <c r="R105" s="62">
        <f t="shared" si="46"/>
        <v>-1336.0107272585051</v>
      </c>
      <c r="S105" s="62">
        <f t="shared" si="46"/>
        <v>-1369.4109954399671</v>
      </c>
      <c r="T105" s="62">
        <f t="shared" si="46"/>
        <v>-1403.6462703259665</v>
      </c>
      <c r="U105" s="62">
        <f t="shared" si="46"/>
        <v>-1438.7374270841156</v>
      </c>
      <c r="V105" s="62">
        <f t="shared" si="46"/>
        <v>-1474.7058627612182</v>
      </c>
      <c r="W105" s="62">
        <f t="shared" si="46"/>
        <v>-1511.5735093302485</v>
      </c>
      <c r="X105" s="62">
        <f t="shared" si="46"/>
        <v>-1549.3628470635047</v>
      </c>
    </row>
    <row r="106" spans="2:24" ht="15" customHeight="1" x14ac:dyDescent="0.3">
      <c r="B106" s="128" t="s">
        <v>715</v>
      </c>
      <c r="C106" s="128"/>
      <c r="D106" s="129"/>
      <c r="E106" s="128"/>
      <c r="F106" s="129"/>
      <c r="G106" s="128"/>
      <c r="H106" s="69">
        <f>SUM(J106:X106)</f>
        <v>-4397016.386924522</v>
      </c>
      <c r="I106" s="69"/>
      <c r="J106" s="69">
        <f>SUM(J100:J105)</f>
        <v>0</v>
      </c>
      <c r="K106" s="69">
        <f>SUM(K100:K105)</f>
        <v>-153987.89890410966</v>
      </c>
      <c r="L106" s="69">
        <f t="shared" ref="L106:X106" si="47">SUM(L100:L105)</f>
        <v>-173647.90438356178</v>
      </c>
      <c r="M106" s="69">
        <f t="shared" si="47"/>
        <v>-175283.41205479449</v>
      </c>
      <c r="N106" s="69">
        <f t="shared" si="47"/>
        <v>-255441.99945205497</v>
      </c>
      <c r="O106" s="69">
        <f t="shared" si="47"/>
        <v>-286127.81917808228</v>
      </c>
      <c r="P106" s="69">
        <f t="shared" si="47"/>
        <v>-317813.80208237033</v>
      </c>
      <c r="Q106" s="69">
        <f t="shared" si="47"/>
        <v>-340701.72865439137</v>
      </c>
      <c r="R106" s="69">
        <f t="shared" si="47"/>
        <v>-351619.2030326362</v>
      </c>
      <c r="S106" s="69">
        <f t="shared" si="47"/>
        <v>-362120.78738325305</v>
      </c>
      <c r="T106" s="69">
        <f t="shared" si="47"/>
        <v>-372964.55857578135</v>
      </c>
      <c r="U106" s="69">
        <f t="shared" si="47"/>
        <v>-384470.21201170032</v>
      </c>
      <c r="V106" s="69">
        <f t="shared" si="47"/>
        <v>-395666.46849581262</v>
      </c>
      <c r="W106" s="69">
        <f t="shared" si="47"/>
        <v>-407483.99314432481</v>
      </c>
      <c r="X106" s="69">
        <f t="shared" si="47"/>
        <v>-419686.59957164846</v>
      </c>
    </row>
    <row r="107" spans="2:24" ht="15" customHeight="1" x14ac:dyDescent="0.3"/>
    <row r="108" spans="2:24" ht="15" customHeight="1" x14ac:dyDescent="0.3">
      <c r="B108" s="117" t="s">
        <v>416</v>
      </c>
      <c r="C108" s="117"/>
      <c r="D108" s="396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</row>
    <row r="109" spans="2:24" ht="15" customHeight="1" x14ac:dyDescent="0.3">
      <c r="B109" s="55"/>
      <c r="C109" s="55" t="s">
        <v>417</v>
      </c>
      <c r="D109" s="111"/>
      <c r="E109" s="55"/>
      <c r="F109" s="112"/>
      <c r="G109" s="55"/>
      <c r="H109" s="61">
        <f>SUM(J109:X109)</f>
        <v>-3977330.19</v>
      </c>
      <c r="I109" s="61"/>
      <c r="J109" s="60">
        <v>0</v>
      </c>
      <c r="K109" s="60">
        <v>-153987.89000000001</v>
      </c>
      <c r="L109" s="60">
        <v>-173647.9</v>
      </c>
      <c r="M109" s="60">
        <v>-175322.79</v>
      </c>
      <c r="N109" s="60">
        <v>-255402.62</v>
      </c>
      <c r="O109" s="60">
        <v>-286127.82</v>
      </c>
      <c r="P109" s="60">
        <v>-317813.90999999997</v>
      </c>
      <c r="Q109" s="60">
        <v>-340778.69</v>
      </c>
      <c r="R109" s="60">
        <v>-351542.33</v>
      </c>
      <c r="S109" s="60">
        <v>-362120.83</v>
      </c>
      <c r="T109" s="60">
        <v>-372964.6</v>
      </c>
      <c r="U109" s="60">
        <v>-384556.81</v>
      </c>
      <c r="V109" s="60">
        <v>-395579.96</v>
      </c>
      <c r="W109" s="60">
        <v>-407484.04</v>
      </c>
      <c r="X109" s="60">
        <v>0</v>
      </c>
    </row>
    <row r="110" spans="2:24" ht="15" customHeight="1" x14ac:dyDescent="0.3">
      <c r="B110" s="55"/>
      <c r="C110" s="55" t="s">
        <v>418</v>
      </c>
      <c r="D110" s="111"/>
      <c r="E110" s="55"/>
      <c r="F110" s="112"/>
      <c r="G110" s="55"/>
      <c r="H110" s="61">
        <f>SUM(J110:X110)</f>
        <v>-4397016.386924522</v>
      </c>
      <c r="I110" s="61"/>
      <c r="J110" s="62">
        <f t="shared" ref="J110:X110" si="48">J106</f>
        <v>0</v>
      </c>
      <c r="K110" s="62">
        <f t="shared" si="48"/>
        <v>-153987.89890410966</v>
      </c>
      <c r="L110" s="62">
        <f t="shared" si="48"/>
        <v>-173647.90438356178</v>
      </c>
      <c r="M110" s="62">
        <f t="shared" si="48"/>
        <v>-175283.41205479449</v>
      </c>
      <c r="N110" s="62">
        <f t="shared" si="48"/>
        <v>-255441.99945205497</v>
      </c>
      <c r="O110" s="62">
        <f t="shared" si="48"/>
        <v>-286127.81917808228</v>
      </c>
      <c r="P110" s="62">
        <f t="shared" si="48"/>
        <v>-317813.80208237033</v>
      </c>
      <c r="Q110" s="62">
        <f t="shared" si="48"/>
        <v>-340701.72865439137</v>
      </c>
      <c r="R110" s="62">
        <f t="shared" si="48"/>
        <v>-351619.2030326362</v>
      </c>
      <c r="S110" s="62">
        <f t="shared" si="48"/>
        <v>-362120.78738325305</v>
      </c>
      <c r="T110" s="62">
        <f t="shared" si="48"/>
        <v>-372964.55857578135</v>
      </c>
      <c r="U110" s="62">
        <f t="shared" si="48"/>
        <v>-384470.21201170032</v>
      </c>
      <c r="V110" s="62">
        <f t="shared" si="48"/>
        <v>-395666.46849581262</v>
      </c>
      <c r="W110" s="62">
        <f t="shared" si="48"/>
        <v>-407483.99314432481</v>
      </c>
      <c r="X110" s="62">
        <f t="shared" si="48"/>
        <v>-419686.59957164846</v>
      </c>
    </row>
    <row r="111" spans="2:24" ht="15" customHeight="1" x14ac:dyDescent="0.3">
      <c r="B111" s="126"/>
      <c r="C111" s="126" t="s">
        <v>419</v>
      </c>
      <c r="D111" s="127"/>
      <c r="E111" s="126"/>
      <c r="F111" s="127"/>
      <c r="G111" s="126"/>
      <c r="H111" s="63">
        <f>SUM(J111:X111)</f>
        <v>-419686.1969245217</v>
      </c>
      <c r="I111" s="63"/>
      <c r="J111" s="63">
        <f t="shared" ref="J111:X111" si="49">J110-J109</f>
        <v>0</v>
      </c>
      <c r="K111" s="63">
        <f t="shared" si="49"/>
        <v>-8.9041096507571638E-3</v>
      </c>
      <c r="L111" s="63">
        <f t="shared" si="49"/>
        <v>-4.3835617834702134E-3</v>
      </c>
      <c r="M111" s="63">
        <f t="shared" si="49"/>
        <v>39.37794520551688</v>
      </c>
      <c r="N111" s="63">
        <f t="shared" si="49"/>
        <v>-39.379452054970898</v>
      </c>
      <c r="O111" s="63">
        <f t="shared" si="49"/>
        <v>8.219177252613008E-4</v>
      </c>
      <c r="P111" s="63">
        <f t="shared" si="49"/>
        <v>0.107917629648</v>
      </c>
      <c r="Q111" s="63">
        <f t="shared" si="49"/>
        <v>76.961345608637203</v>
      </c>
      <c r="R111" s="63">
        <f t="shared" si="49"/>
        <v>-76.87303263618378</v>
      </c>
      <c r="S111" s="63">
        <f t="shared" si="49"/>
        <v>4.2616746970452368E-2</v>
      </c>
      <c r="T111" s="63">
        <f t="shared" si="49"/>
        <v>4.1424218623433262E-2</v>
      </c>
      <c r="U111" s="63">
        <f t="shared" si="49"/>
        <v>86.597988299676217</v>
      </c>
      <c r="V111" s="63">
        <f t="shared" si="49"/>
        <v>-86.508495812595356</v>
      </c>
      <c r="W111" s="63">
        <f t="shared" si="49"/>
        <v>4.6855675172992051E-2</v>
      </c>
      <c r="X111" s="63">
        <f t="shared" si="49"/>
        <v>-419686.59957164846</v>
      </c>
    </row>
    <row r="112" spans="2:24" ht="15" customHeight="1" x14ac:dyDescent="0.3"/>
    <row r="113" spans="2:24" ht="15" customHeight="1" x14ac:dyDescent="0.3">
      <c r="B113" s="108" t="s">
        <v>442</v>
      </c>
      <c r="C113" s="13"/>
      <c r="D113" s="398"/>
      <c r="E113" s="13"/>
      <c r="F113" s="130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 spans="2:24" ht="15" customHeight="1" x14ac:dyDescent="0.3">
      <c r="B114" s="141" t="s">
        <v>432</v>
      </c>
      <c r="F114" s="8"/>
    </row>
    <row r="115" spans="2:24" ht="15" customHeight="1" x14ac:dyDescent="0.3">
      <c r="F115" s="8"/>
    </row>
    <row r="116" spans="2:24" ht="15" customHeight="1" x14ac:dyDescent="0.3">
      <c r="C116" s="117" t="s">
        <v>52</v>
      </c>
      <c r="D116" s="399">
        <v>2</v>
      </c>
      <c r="E116" s="131"/>
      <c r="F116" s="132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</row>
    <row r="117" spans="2:24" ht="15" customHeight="1" x14ac:dyDescent="0.3">
      <c r="C117" s="8" t="s">
        <v>308</v>
      </c>
      <c r="D117" s="133" t="s">
        <v>502</v>
      </c>
      <c r="F117" s="8"/>
      <c r="H117" s="48">
        <f>SUM(J117:X117)</f>
        <v>1876587.7313017715</v>
      </c>
      <c r="I117" s="48"/>
      <c r="J117" s="242">
        <f>IF($D117="Yes",Capex!L215,Capex!L88)</f>
        <v>0</v>
      </c>
      <c r="K117" s="242">
        <f>IF($D117="Yes",Capex!M215,Capex!M88)</f>
        <v>694341.77803343162</v>
      </c>
      <c r="L117" s="242">
        <f>IF($D117="Yes",Capex!N215,Capex!N88)</f>
        <v>328401.65368564997</v>
      </c>
      <c r="M117" s="242">
        <f>IF($D117="Yes",Capex!O215,Capex!O88)</f>
        <v>394081.98442277987</v>
      </c>
      <c r="N117" s="242">
        <f>IF($D117="Yes",Capex!P215,Capex!P88)</f>
        <v>328401.65368564997</v>
      </c>
      <c r="O117" s="242">
        <f>IF($D117="Yes",Capex!Q215,Capex!Q88)</f>
        <v>131360.66147426001</v>
      </c>
      <c r="P117" s="242">
        <f>IF($D117="Yes",Capex!R215,Capex!R88)</f>
        <v>0</v>
      </c>
      <c r="Q117" s="242">
        <f>IF($D117="Yes",Capex!S215,Capex!S88)</f>
        <v>0</v>
      </c>
      <c r="R117" s="242">
        <f>IF($D117="Yes",Capex!T215,Capex!T88)</f>
        <v>0</v>
      </c>
      <c r="S117" s="242">
        <f>IF($D117="Yes",Capex!U215,Capex!U88)</f>
        <v>0</v>
      </c>
      <c r="T117" s="242">
        <f>IF($D117="Yes",Capex!V215,Capex!V88)</f>
        <v>0</v>
      </c>
      <c r="U117" s="242">
        <f>IF($D117="Yes",Capex!W215,Capex!W88)</f>
        <v>0</v>
      </c>
      <c r="V117" s="242">
        <f>IF($D117="Yes",Capex!X215,Capex!X88)</f>
        <v>0</v>
      </c>
      <c r="W117" s="242">
        <f>IF($D117="Yes",Capex!Y215,Capex!Y88)</f>
        <v>0</v>
      </c>
      <c r="X117" s="242">
        <f>IF($D117="Yes",Capex!Z215,Capex!Z88)</f>
        <v>0</v>
      </c>
    </row>
    <row r="118" spans="2:24" ht="15" customHeight="1" x14ac:dyDescent="0.3">
      <c r="C118" s="8" t="s">
        <v>436</v>
      </c>
      <c r="F118" s="8"/>
      <c r="H118" s="243">
        <f>SUM(J118:X118)</f>
        <v>0.89999999999999991</v>
      </c>
      <c r="I118" s="244"/>
      <c r="J118" s="245">
        <f>AVERAGE(Revenue!L28:L29)</f>
        <v>0</v>
      </c>
      <c r="K118" s="245">
        <f>AVERAGE(Revenue!M28:M29)</f>
        <v>0.05</v>
      </c>
      <c r="L118" s="245">
        <f>AVERAGE(Revenue!N28:N29)</f>
        <v>0.3</v>
      </c>
      <c r="M118" s="245">
        <f>AVERAGE(Revenue!O28:O29)</f>
        <v>0.3</v>
      </c>
      <c r="N118" s="245">
        <f>AVERAGE(Revenue!P28:P29)</f>
        <v>0.25</v>
      </c>
      <c r="O118" s="245">
        <f>AVERAGE(Revenue!Q28:Q29)</f>
        <v>0</v>
      </c>
      <c r="P118" s="245">
        <f>AVERAGE(Revenue!R28:R29)</f>
        <v>0</v>
      </c>
      <c r="Q118" s="245">
        <f>AVERAGE(Revenue!S28:S29)</f>
        <v>0</v>
      </c>
      <c r="R118" s="245">
        <f>AVERAGE(Revenue!T28:T29)</f>
        <v>0</v>
      </c>
      <c r="S118" s="245">
        <f>AVERAGE(Revenue!U28:U29)</f>
        <v>0</v>
      </c>
      <c r="T118" s="245">
        <f>AVERAGE(Revenue!V28:V29)</f>
        <v>0</v>
      </c>
      <c r="U118" s="245">
        <f>AVERAGE(Revenue!W28:W29)</f>
        <v>0</v>
      </c>
      <c r="V118" s="245">
        <f>AVERAGE(Revenue!X28:X29)</f>
        <v>0</v>
      </c>
      <c r="W118" s="245">
        <f>AVERAGE(Revenue!Y28:Y29)</f>
        <v>0</v>
      </c>
      <c r="X118" s="245">
        <f>AVERAGE(Revenue!Z28:Z29)</f>
        <v>0</v>
      </c>
    </row>
    <row r="119" spans="2:24" ht="15" customHeight="1" x14ac:dyDescent="0.3">
      <c r="C119" s="8" t="s">
        <v>435</v>
      </c>
      <c r="F119" s="8"/>
      <c r="H119" s="243">
        <f>SUM(J119:X119)</f>
        <v>0.1</v>
      </c>
      <c r="I119" s="244"/>
      <c r="J119" s="245">
        <f>AVERAGE(Revenue!L118:L119)</f>
        <v>0</v>
      </c>
      <c r="K119" s="245">
        <f>AVERAGE(Revenue!M118:M119)</f>
        <v>0</v>
      </c>
      <c r="L119" s="245">
        <f>AVERAGE(Revenue!N118:N119)</f>
        <v>0</v>
      </c>
      <c r="M119" s="245">
        <f>AVERAGE(Revenue!O118:O119)</f>
        <v>0</v>
      </c>
      <c r="N119" s="245">
        <f>AVERAGE(Revenue!P118:P119)</f>
        <v>0</v>
      </c>
      <c r="O119" s="245">
        <f>AVERAGE(Revenue!Q118:Q119)</f>
        <v>0.1</v>
      </c>
      <c r="P119" s="245">
        <f>AVERAGE(Revenue!R118:R119)</f>
        <v>0</v>
      </c>
      <c r="Q119" s="245">
        <f>AVERAGE(Revenue!S118:S119)</f>
        <v>0</v>
      </c>
      <c r="R119" s="245">
        <f>AVERAGE(Revenue!T118:T119)</f>
        <v>0</v>
      </c>
      <c r="S119" s="245">
        <f>AVERAGE(Revenue!U118:U119)</f>
        <v>0</v>
      </c>
      <c r="T119" s="245">
        <f>AVERAGE(Revenue!V118:V119)</f>
        <v>0</v>
      </c>
      <c r="U119" s="245">
        <f>AVERAGE(Revenue!W118:W119)</f>
        <v>0</v>
      </c>
      <c r="V119" s="245">
        <f>AVERAGE(Revenue!X118:X119)</f>
        <v>0</v>
      </c>
      <c r="W119" s="245">
        <f>AVERAGE(Revenue!Y118:Y119)</f>
        <v>0</v>
      </c>
      <c r="X119" s="245">
        <f>AVERAGE(Revenue!Z118:Z119)</f>
        <v>0</v>
      </c>
    </row>
    <row r="120" spans="2:24" ht="15" customHeight="1" x14ac:dyDescent="0.3">
      <c r="C120" s="8" t="s">
        <v>434</v>
      </c>
      <c r="F120" s="8"/>
      <c r="H120" s="48">
        <f>SUM(J120:X120)</f>
        <v>1688928.9581715942</v>
      </c>
      <c r="I120" s="48"/>
      <c r="J120" s="23">
        <f t="shared" ref="J120:X120" si="50">$H$117*J118</f>
        <v>0</v>
      </c>
      <c r="K120" s="23">
        <f t="shared" si="50"/>
        <v>93829.386565088585</v>
      </c>
      <c r="L120" s="23">
        <f t="shared" si="50"/>
        <v>562976.3193905314</v>
      </c>
      <c r="M120" s="23">
        <f t="shared" si="50"/>
        <v>562976.3193905314</v>
      </c>
      <c r="N120" s="23">
        <f t="shared" si="50"/>
        <v>469146.93282544287</v>
      </c>
      <c r="O120" s="23">
        <f t="shared" si="50"/>
        <v>0</v>
      </c>
      <c r="P120" s="23">
        <f t="shared" si="50"/>
        <v>0</v>
      </c>
      <c r="Q120" s="23">
        <f t="shared" si="50"/>
        <v>0</v>
      </c>
      <c r="R120" s="23">
        <f t="shared" si="50"/>
        <v>0</v>
      </c>
      <c r="S120" s="23">
        <f t="shared" si="50"/>
        <v>0</v>
      </c>
      <c r="T120" s="23">
        <f t="shared" si="50"/>
        <v>0</v>
      </c>
      <c r="U120" s="23">
        <f t="shared" si="50"/>
        <v>0</v>
      </c>
      <c r="V120" s="23">
        <f t="shared" si="50"/>
        <v>0</v>
      </c>
      <c r="W120" s="23">
        <f t="shared" si="50"/>
        <v>0</v>
      </c>
      <c r="X120" s="23">
        <f t="shared" si="50"/>
        <v>0</v>
      </c>
    </row>
    <row r="121" spans="2:24" ht="15" customHeight="1" x14ac:dyDescent="0.3">
      <c r="C121" s="8" t="s">
        <v>87</v>
      </c>
      <c r="F121" s="8"/>
      <c r="H121" s="243">
        <f>SUM(J121:X121)</f>
        <v>0.99999999999999989</v>
      </c>
      <c r="I121" s="244"/>
      <c r="J121" s="245">
        <f>Revenue!L176</f>
        <v>0</v>
      </c>
      <c r="K121" s="245">
        <f>Revenue!M176</f>
        <v>0.3</v>
      </c>
      <c r="L121" s="245">
        <f>Revenue!N176</f>
        <v>0.3</v>
      </c>
      <c r="M121" s="245">
        <f>Revenue!O176</f>
        <v>0.3</v>
      </c>
      <c r="N121" s="245">
        <f>Revenue!P176</f>
        <v>0.1</v>
      </c>
      <c r="O121" s="245">
        <f>Revenue!Q176</f>
        <v>0</v>
      </c>
      <c r="P121" s="245">
        <f>Revenue!R176</f>
        <v>0</v>
      </c>
      <c r="Q121" s="245">
        <f>Revenue!S176</f>
        <v>0</v>
      </c>
      <c r="R121" s="245">
        <f>Revenue!T176</f>
        <v>0</v>
      </c>
      <c r="S121" s="245">
        <f>Revenue!U176</f>
        <v>0</v>
      </c>
      <c r="T121" s="245">
        <f>Revenue!V176</f>
        <v>0</v>
      </c>
      <c r="U121" s="245">
        <f>Revenue!W176</f>
        <v>0</v>
      </c>
      <c r="V121" s="245">
        <f>Revenue!X176</f>
        <v>0</v>
      </c>
      <c r="W121" s="245">
        <f>Revenue!Y176</f>
        <v>0</v>
      </c>
      <c r="X121" s="245">
        <f>Revenue!Z176</f>
        <v>0</v>
      </c>
    </row>
    <row r="122" spans="2:24" ht="15" customHeight="1" x14ac:dyDescent="0.3">
      <c r="C122" s="8" t="s">
        <v>88</v>
      </c>
      <c r="F122" s="8"/>
      <c r="H122" s="244"/>
      <c r="I122" s="244"/>
      <c r="J122" s="245">
        <f>Revenue!L177</f>
        <v>0</v>
      </c>
      <c r="K122" s="245">
        <f>Revenue!M177</f>
        <v>0.3</v>
      </c>
      <c r="L122" s="245">
        <f>Revenue!N177</f>
        <v>0.6</v>
      </c>
      <c r="M122" s="245">
        <f>Revenue!O177</f>
        <v>0.89999999999999991</v>
      </c>
      <c r="N122" s="245">
        <f>Revenue!P177</f>
        <v>0.99999999999999989</v>
      </c>
      <c r="O122" s="245">
        <f>Revenue!Q177</f>
        <v>0.99999999999999989</v>
      </c>
      <c r="P122" s="245">
        <f>Revenue!R177</f>
        <v>0.99999999999999989</v>
      </c>
      <c r="Q122" s="245">
        <f>Revenue!S177</f>
        <v>0.99999999999999989</v>
      </c>
      <c r="R122" s="245">
        <f>Revenue!T177</f>
        <v>0.99999999999999989</v>
      </c>
      <c r="S122" s="245">
        <f>Revenue!U177</f>
        <v>0.99999999999999989</v>
      </c>
      <c r="T122" s="245">
        <f>Revenue!V177</f>
        <v>0.99999999999999989</v>
      </c>
      <c r="U122" s="245">
        <f>Revenue!W177</f>
        <v>0.99999999999999989</v>
      </c>
      <c r="V122" s="245">
        <f>Revenue!X177</f>
        <v>0.99999999999999989</v>
      </c>
      <c r="W122" s="245">
        <f>Revenue!Y177</f>
        <v>0.99999999999999989</v>
      </c>
      <c r="X122" s="245">
        <f>Revenue!Z177</f>
        <v>0.99999999999999989</v>
      </c>
    </row>
    <row r="123" spans="2:24" ht="15" customHeight="1" x14ac:dyDescent="0.3">
      <c r="C123" s="91" t="s">
        <v>433</v>
      </c>
      <c r="F123" s="8"/>
      <c r="K123" s="28"/>
      <c r="L123" s="28"/>
    </row>
    <row r="124" spans="2:24" ht="15" customHeight="1" x14ac:dyDescent="0.3">
      <c r="C124" s="392">
        <v>2025</v>
      </c>
      <c r="F124" s="8"/>
      <c r="G124" s="33">
        <f t="shared" ref="G124:G130" si="51">SUMIF($J$4:$X$4,$C124,$J$117:$X$117)</f>
        <v>0</v>
      </c>
      <c r="H124" s="23">
        <f t="shared" ref="H124:H133" ca="1" si="52">SUM(J124:X124)</f>
        <v>0</v>
      </c>
      <c r="I124" s="23"/>
      <c r="J124" s="23">
        <f ca="1">IF(J$4&lt;$C124,0,(SUMIF($J$4:$X$4,$C124,$J$117:$X$117)*J$122)*SUM($J$118:J$118)-SUM(I124:$J124))</f>
        <v>0</v>
      </c>
      <c r="K124" s="23">
        <f ca="1">IF(K$4&lt;$C124,0,(SUMIF($J$4:$X$4,$C124,$J$117:$X$117)*K$122)*SUM($J$118:K$118)-SUM(J124:$J124))</f>
        <v>0</v>
      </c>
      <c r="L124" s="23">
        <f ca="1">IF(L$4&lt;$C124,0,(SUMIF($J$4:$X$4,$C124,$J$117:$X$117)*L$122)*SUM($J$118:L$118)-SUM($J124:K124))</f>
        <v>0</v>
      </c>
      <c r="M124" s="23">
        <f ca="1">IF(M$4&lt;$C124,0,(SUMIF($J$4:$X$4,$C124,$J$117:$X$117)*M$122)*SUM($J$118:M$118)-SUM($J124:L124))</f>
        <v>0</v>
      </c>
      <c r="N124" s="23">
        <f ca="1">IF(N$4&lt;$C124,0,(SUMIF($J$4:$X$4,$C124,$J$117:$X$117)*N$122)*SUM($J$118:N$118)-SUM($J124:M124))</f>
        <v>0</v>
      </c>
      <c r="O124" s="23">
        <f ca="1">IF(O$4&lt;$C124,0,(SUMIF($J$4:$X$4,$C124,$J$117:$X$117)*O$122)*SUM($J$118:O$118)-SUM($J124:N124))</f>
        <v>0</v>
      </c>
      <c r="P124" s="23">
        <f ca="1">IF(P$4&lt;$C124,0,(SUMIF($J$4:$X$4,$C124,$J$117:$X$117)*P$122)*SUM($J$118:P$118)-SUM($J124:O124))</f>
        <v>0</v>
      </c>
      <c r="Q124" s="23">
        <f ca="1">IF(Q$4&lt;$C124,0,(SUMIF($J$4:$X$4,$C124,$J$117:$X$117)*Q$122)*SUM($J$118:Q$118)-SUM($J124:P124))</f>
        <v>0</v>
      </c>
      <c r="R124" s="23">
        <f ca="1">IF(R$4&lt;$C124,0,(SUMIF($J$4:$X$4,$C124,$J$117:$X$117)*R$122)*SUM($J$118:R$118)-SUM($J124:Q124))</f>
        <v>0</v>
      </c>
      <c r="S124" s="23">
        <f ca="1">IF(S$4&lt;$C124,0,(SUMIF($J$4:$X$4,$C124,$J$117:$X$117)*S$122)*SUM($J$118:S$118)-SUM($J124:R124))</f>
        <v>0</v>
      </c>
      <c r="T124" s="23">
        <f ca="1">IF(T$4&lt;$C124,0,(SUMIF($J$4:$X$4,$C124,$J$117:$X$117)*T$122)*SUM($J$118:T$118)-SUM($J124:S124))</f>
        <v>0</v>
      </c>
      <c r="U124" s="23">
        <f ca="1">IF(U$4&lt;$C124,0,(SUMIF($J$4:$X$4,$C124,$J$117:$X$117)*U$122)*SUM($J$118:U$118)-SUM($J124:T124))</f>
        <v>0</v>
      </c>
      <c r="V124" s="23">
        <f ca="1">IF(V$4&lt;$C124,0,(SUMIF($J$4:$X$4,$C124,$J$117:$X$117)*V$122)*SUM($J$118:V$118)-SUM($J124:U124))</f>
        <v>0</v>
      </c>
      <c r="W124" s="23">
        <f ca="1">IF(W$4&lt;$C124,0,(SUMIF($J$4:$X$4,$C124,$J$117:$X$117)*W$122)*SUM($J$118:W$118)-SUM($J124:V124))</f>
        <v>0</v>
      </c>
      <c r="X124" s="23">
        <f ca="1">IF(X$4&lt;$C124,0,(SUMIF($J$4:$X$4,$C124,$J$117:$X$117)*X$122)*SUM($J$118:X$118)-SUM($J124:W124))</f>
        <v>0</v>
      </c>
    </row>
    <row r="125" spans="2:24" ht="15" customHeight="1" x14ac:dyDescent="0.3">
      <c r="C125" s="392">
        <v>2026</v>
      </c>
      <c r="F125" s="8"/>
      <c r="G125" s="33">
        <f t="shared" si="51"/>
        <v>694341.77803343162</v>
      </c>
      <c r="H125" s="23">
        <f t="shared" si="52"/>
        <v>624907.60023008834</v>
      </c>
      <c r="I125" s="23"/>
      <c r="J125" s="23">
        <f>IF(J$4&lt;$C125,0,(SUMIF($J$4:$X$4,$C125,$J$117:$X$117)*J$122)*SUM($J$118:J$118)-SUM(I125:$J125))</f>
        <v>0</v>
      </c>
      <c r="K125" s="23">
        <f>IF(K$4&lt;$C125,0,(SUMIF($J$4:$X$4,$C125,$J$117:$X$117)*K$122)*SUM($J$118:K$118)-SUM(J125:$J125))</f>
        <v>10415.126670501475</v>
      </c>
      <c r="L125" s="23">
        <f>IF(L$4&lt;$C125,0,(SUMIF($J$4:$X$4,$C125,$J$117:$X$117)*L$122)*SUM($J$118:L$118)-SUM($J125:K125))</f>
        <v>135396.64671651914</v>
      </c>
      <c r="M125" s="23">
        <f>IF(M$4&lt;$C125,0,(SUMIF($J$4:$X$4,$C125,$J$117:$X$117)*M$122)*SUM($J$118:M$118)-SUM($J125:L125))</f>
        <v>260378.16676253674</v>
      </c>
      <c r="N125" s="23">
        <f>IF(N$4&lt;$C125,0,(SUMIF($J$4:$X$4,$C125,$J$117:$X$117)*N$122)*SUM($J$118:N$118)-SUM($J125:M125))</f>
        <v>218717.66008053097</v>
      </c>
      <c r="O125" s="23">
        <f>IF(O$4&lt;$C125,0,(SUMIF($J$4:$X$4,$C125,$J$117:$X$117)*O$122)*SUM($J$118:O$118)-SUM($J125:N125))</f>
        <v>0</v>
      </c>
      <c r="P125" s="23">
        <f>IF(P$4&lt;$C125,0,(SUMIF($J$4:$X$4,$C125,$J$117:$X$117)*P$122)*SUM($J$118:P$118)-SUM($J125:O125))</f>
        <v>0</v>
      </c>
      <c r="Q125" s="23">
        <f>IF(Q$4&lt;$C125,0,(SUMIF($J$4:$X$4,$C125,$J$117:$X$117)*Q$122)*SUM($J$118:Q$118)-SUM($J125:P125))</f>
        <v>0</v>
      </c>
      <c r="R125" s="23">
        <f>IF(R$4&lt;$C125,0,(SUMIF($J$4:$X$4,$C125,$J$117:$X$117)*R$122)*SUM($J$118:R$118)-SUM($J125:Q125))</f>
        <v>0</v>
      </c>
      <c r="S125" s="23">
        <f>IF(S$4&lt;$C125,0,(SUMIF($J$4:$X$4,$C125,$J$117:$X$117)*S$122)*SUM($J$118:S$118)-SUM($J125:R125))</f>
        <v>0</v>
      </c>
      <c r="T125" s="23">
        <f>IF(T$4&lt;$C125,0,(SUMIF($J$4:$X$4,$C125,$J$117:$X$117)*T$122)*SUM($J$118:T$118)-SUM($J125:S125))</f>
        <v>0</v>
      </c>
      <c r="U125" s="23">
        <f>IF(U$4&lt;$C125,0,(SUMIF($J$4:$X$4,$C125,$J$117:$X$117)*U$122)*SUM($J$118:U$118)-SUM($J125:T125))</f>
        <v>0</v>
      </c>
      <c r="V125" s="23">
        <f>IF(V$4&lt;$C125,0,(SUMIF($J$4:$X$4,$C125,$J$117:$X$117)*V$122)*SUM($J$118:V$118)-SUM($J125:U125))</f>
        <v>0</v>
      </c>
      <c r="W125" s="23">
        <f>IF(W$4&lt;$C125,0,(SUMIF($J$4:$X$4,$C125,$J$117:$X$117)*W$122)*SUM($J$118:W$118)-SUM($J125:V125))</f>
        <v>0</v>
      </c>
      <c r="X125" s="23">
        <f>IF(X$4&lt;$C125,0,(SUMIF($J$4:$X$4,$C125,$J$117:$X$117)*X$122)*SUM($J$118:X$118)-SUM($J125:W125))</f>
        <v>0</v>
      </c>
    </row>
    <row r="126" spans="2:24" ht="15" customHeight="1" x14ac:dyDescent="0.3">
      <c r="C126" s="392">
        <v>2027</v>
      </c>
      <c r="F126" s="8"/>
      <c r="G126" s="33">
        <f t="shared" si="51"/>
        <v>328401.65368564997</v>
      </c>
      <c r="H126" s="23">
        <f t="shared" si="52"/>
        <v>295561.48831708491</v>
      </c>
      <c r="I126" s="23"/>
      <c r="J126" s="23">
        <f>IF(J$4&lt;$C126,0,(SUMIF($J$4:$X$4,$C126,$J$117:$X$117)*J$122)*SUM($J$118:J$118)-SUM(I126:$J126))</f>
        <v>0</v>
      </c>
      <c r="K126" s="23">
        <f>IF(K$4&lt;$C126,0,(SUMIF($J$4:$X$4,$C126,$J$117:$X$117)*K$122)*SUM($J$118:K$118)-SUM(J126:$J126))</f>
        <v>0</v>
      </c>
      <c r="L126" s="23">
        <f>IF(L$4&lt;$C126,0,(SUMIF($J$4:$X$4,$C126,$J$117:$X$117)*L$122)*SUM($J$118:L$118)-SUM($J126:K126))</f>
        <v>68964.347273986481</v>
      </c>
      <c r="M126" s="23">
        <f>IF(M$4&lt;$C126,0,(SUMIF($J$4:$X$4,$C126,$J$117:$X$117)*M$122)*SUM($J$118:M$118)-SUM($J126:L126))</f>
        <v>123150.62013211871</v>
      </c>
      <c r="N126" s="23">
        <f>IF(N$4&lt;$C126,0,(SUMIF($J$4:$X$4,$C126,$J$117:$X$117)*N$122)*SUM($J$118:N$118)-SUM($J126:M126))</f>
        <v>103446.52091097971</v>
      </c>
      <c r="O126" s="23">
        <f>IF(O$4&lt;$C126,0,(SUMIF($J$4:$X$4,$C126,$J$117:$X$117)*O$122)*SUM($J$118:O$118)-SUM($J126:N126))</f>
        <v>0</v>
      </c>
      <c r="P126" s="23">
        <f>IF(P$4&lt;$C126,0,(SUMIF($J$4:$X$4,$C126,$J$117:$X$117)*P$122)*SUM($J$118:P$118)-SUM($J126:O126))</f>
        <v>0</v>
      </c>
      <c r="Q126" s="23">
        <f>IF(Q$4&lt;$C126,0,(SUMIF($J$4:$X$4,$C126,$J$117:$X$117)*Q$122)*SUM($J$118:Q$118)-SUM($J126:P126))</f>
        <v>0</v>
      </c>
      <c r="R126" s="23">
        <f>IF(R$4&lt;$C126,0,(SUMIF($J$4:$X$4,$C126,$J$117:$X$117)*R$122)*SUM($J$118:R$118)-SUM($J126:Q126))</f>
        <v>0</v>
      </c>
      <c r="S126" s="23">
        <f>IF(S$4&lt;$C126,0,(SUMIF($J$4:$X$4,$C126,$J$117:$X$117)*S$122)*SUM($J$118:S$118)-SUM($J126:R126))</f>
        <v>0</v>
      </c>
      <c r="T126" s="23">
        <f>IF(T$4&lt;$C126,0,(SUMIF($J$4:$X$4,$C126,$J$117:$X$117)*T$122)*SUM($J$118:T$118)-SUM($J126:S126))</f>
        <v>0</v>
      </c>
      <c r="U126" s="23">
        <f>IF(U$4&lt;$C126,0,(SUMIF($J$4:$X$4,$C126,$J$117:$X$117)*U$122)*SUM($J$118:U$118)-SUM($J126:T126))</f>
        <v>0</v>
      </c>
      <c r="V126" s="23">
        <f>IF(V$4&lt;$C126,0,(SUMIF($J$4:$X$4,$C126,$J$117:$X$117)*V$122)*SUM($J$118:V$118)-SUM($J126:U126))</f>
        <v>0</v>
      </c>
      <c r="W126" s="23">
        <f>IF(W$4&lt;$C126,0,(SUMIF($J$4:$X$4,$C126,$J$117:$X$117)*W$122)*SUM($J$118:W$118)-SUM($J126:V126))</f>
        <v>0</v>
      </c>
      <c r="X126" s="23">
        <f>IF(X$4&lt;$C126,0,(SUMIF($J$4:$X$4,$C126,$J$117:$X$117)*X$122)*SUM($J$118:X$118)-SUM($J126:W126))</f>
        <v>0</v>
      </c>
    </row>
    <row r="127" spans="2:24" ht="15" customHeight="1" x14ac:dyDescent="0.3">
      <c r="C127" s="392">
        <v>2028</v>
      </c>
      <c r="F127" s="8"/>
      <c r="G127" s="33">
        <f t="shared" si="51"/>
        <v>394081.98442277987</v>
      </c>
      <c r="H127" s="23">
        <f t="shared" si="52"/>
        <v>354673.78598050179</v>
      </c>
      <c r="I127" s="23"/>
      <c r="J127" s="23">
        <f>IF(J$4&lt;$C127,0,(SUMIF($J$4:$X$4,$C127,$J$117:$X$117)*J$122)*SUM($J$118:J$118)-SUM(I127:$J127))</f>
        <v>0</v>
      </c>
      <c r="K127" s="23">
        <f>IF(K$4&lt;$C127,0,(SUMIF($J$4:$X$4,$C127,$J$117:$X$117)*K$122)*SUM($J$118:K$118)-SUM(J127:$J127))</f>
        <v>0</v>
      </c>
      <c r="L127" s="23">
        <f>IF(L$4&lt;$C127,0,(SUMIF($J$4:$X$4,$C127,$J$117:$X$117)*L$122)*SUM($J$118:L$118)-SUM($J127:K127))</f>
        <v>0</v>
      </c>
      <c r="M127" s="23">
        <f>IF(M$4&lt;$C127,0,(SUMIF($J$4:$X$4,$C127,$J$117:$X$117)*M$122)*SUM($J$118:M$118)-SUM($J127:L127))</f>
        <v>230537.96088732616</v>
      </c>
      <c r="N127" s="23">
        <f>IF(N$4&lt;$C127,0,(SUMIF($J$4:$X$4,$C127,$J$117:$X$117)*N$122)*SUM($J$118:N$118)-SUM($J127:M127))</f>
        <v>124135.82509317563</v>
      </c>
      <c r="O127" s="23">
        <f>IF(O$4&lt;$C127,0,(SUMIF($J$4:$X$4,$C127,$J$117:$X$117)*O$122)*SUM($J$118:O$118)-SUM($J127:N127))</f>
        <v>0</v>
      </c>
      <c r="P127" s="23">
        <f>IF(P$4&lt;$C127,0,(SUMIF($J$4:$X$4,$C127,$J$117:$X$117)*P$122)*SUM($J$118:P$118)-SUM($J127:O127))</f>
        <v>0</v>
      </c>
      <c r="Q127" s="23">
        <f>IF(Q$4&lt;$C127,0,(SUMIF($J$4:$X$4,$C127,$J$117:$X$117)*Q$122)*SUM($J$118:Q$118)-SUM($J127:P127))</f>
        <v>0</v>
      </c>
      <c r="R127" s="23">
        <f>IF(R$4&lt;$C127,0,(SUMIF($J$4:$X$4,$C127,$J$117:$X$117)*R$122)*SUM($J$118:R$118)-SUM($J127:Q127))</f>
        <v>0</v>
      </c>
      <c r="S127" s="23">
        <f>IF(S$4&lt;$C127,0,(SUMIF($J$4:$X$4,$C127,$J$117:$X$117)*S$122)*SUM($J$118:S$118)-SUM($J127:R127))</f>
        <v>0</v>
      </c>
      <c r="T127" s="23">
        <f>IF(T$4&lt;$C127,0,(SUMIF($J$4:$X$4,$C127,$J$117:$X$117)*T$122)*SUM($J$118:T$118)-SUM($J127:S127))</f>
        <v>0</v>
      </c>
      <c r="U127" s="23">
        <f>IF(U$4&lt;$C127,0,(SUMIF($J$4:$X$4,$C127,$J$117:$X$117)*U$122)*SUM($J$118:U$118)-SUM($J127:T127))</f>
        <v>0</v>
      </c>
      <c r="V127" s="23">
        <f>IF(V$4&lt;$C127,0,(SUMIF($J$4:$X$4,$C127,$J$117:$X$117)*V$122)*SUM($J$118:V$118)-SUM($J127:U127))</f>
        <v>0</v>
      </c>
      <c r="W127" s="23">
        <f>IF(W$4&lt;$C127,0,(SUMIF($J$4:$X$4,$C127,$J$117:$X$117)*W$122)*SUM($J$118:W$118)-SUM($J127:V127))</f>
        <v>0</v>
      </c>
      <c r="X127" s="23">
        <f>IF(X$4&lt;$C127,0,(SUMIF($J$4:$X$4,$C127,$J$117:$X$117)*X$122)*SUM($J$118:X$118)-SUM($J127:W127))</f>
        <v>0</v>
      </c>
    </row>
    <row r="128" spans="2:24" ht="15" customHeight="1" x14ac:dyDescent="0.3">
      <c r="C128" s="392">
        <v>2029</v>
      </c>
      <c r="F128" s="8"/>
      <c r="G128" s="33">
        <f t="shared" si="51"/>
        <v>328401.65368564997</v>
      </c>
      <c r="H128" s="23">
        <f t="shared" si="52"/>
        <v>295561.48831708491</v>
      </c>
      <c r="I128" s="23"/>
      <c r="J128" s="23">
        <f>IF(J$4&lt;$C128,0,(SUMIF($J$4:$X$4,$C128,$J$117:$X$117)*J$122)*SUM($J$118:J$118)-SUM(I128:$J128))</f>
        <v>0</v>
      </c>
      <c r="K128" s="23">
        <f>IF(K$4&lt;$C128,0,(SUMIF($J$4:$X$4,$C128,$J$117:$X$117)*K$122)*SUM($J$118:K$118)-SUM(J128:$J128))</f>
        <v>0</v>
      </c>
      <c r="L128" s="23">
        <f>IF(L$4&lt;$C128,0,(SUMIF($J$4:$X$4,$C128,$J$117:$X$117)*L$122)*SUM($J$118:L$118)-SUM($J128:K128))</f>
        <v>0</v>
      </c>
      <c r="M128" s="23">
        <f>IF(M$4&lt;$C128,0,(SUMIF($J$4:$X$4,$C128,$J$117:$X$117)*M$122)*SUM($J$118:M$118)-SUM($J128:L128))</f>
        <v>0</v>
      </c>
      <c r="N128" s="23">
        <f>IF(N$4&lt;$C128,0,(SUMIF($J$4:$X$4,$C128,$J$117:$X$117)*N$122)*SUM($J$118:N$118)-SUM($J128:M128))</f>
        <v>295561.48831708491</v>
      </c>
      <c r="O128" s="23">
        <f>IF(O$4&lt;$C128,0,(SUMIF($J$4:$X$4,$C128,$J$117:$X$117)*O$122)*SUM($J$118:O$118)-SUM($J128:N128))</f>
        <v>0</v>
      </c>
      <c r="P128" s="23">
        <f>IF(P$4&lt;$C128,0,(SUMIF($J$4:$X$4,$C128,$J$117:$X$117)*P$122)*SUM($J$118:P$118)-SUM($J128:O128))</f>
        <v>0</v>
      </c>
      <c r="Q128" s="23">
        <f>IF(Q$4&lt;$C128,0,(SUMIF($J$4:$X$4,$C128,$J$117:$X$117)*Q$122)*SUM($J$118:Q$118)-SUM($J128:P128))</f>
        <v>0</v>
      </c>
      <c r="R128" s="23">
        <f>IF(R$4&lt;$C128,0,(SUMIF($J$4:$X$4,$C128,$J$117:$X$117)*R$122)*SUM($J$118:R$118)-SUM($J128:Q128))</f>
        <v>0</v>
      </c>
      <c r="S128" s="23">
        <f>IF(S$4&lt;$C128,0,(SUMIF($J$4:$X$4,$C128,$J$117:$X$117)*S$122)*SUM($J$118:S$118)-SUM($J128:R128))</f>
        <v>0</v>
      </c>
      <c r="T128" s="23">
        <f>IF(T$4&lt;$C128,0,(SUMIF($J$4:$X$4,$C128,$J$117:$X$117)*T$122)*SUM($J$118:T$118)-SUM($J128:S128))</f>
        <v>0</v>
      </c>
      <c r="U128" s="23">
        <f>IF(U$4&lt;$C128,0,(SUMIF($J$4:$X$4,$C128,$J$117:$X$117)*U$122)*SUM($J$118:U$118)-SUM($J128:T128))</f>
        <v>0</v>
      </c>
      <c r="V128" s="23">
        <f>IF(V$4&lt;$C128,0,(SUMIF($J$4:$X$4,$C128,$J$117:$X$117)*V$122)*SUM($J$118:V$118)-SUM($J128:U128))</f>
        <v>0</v>
      </c>
      <c r="W128" s="23">
        <f>IF(W$4&lt;$C128,0,(SUMIF($J$4:$X$4,$C128,$J$117:$X$117)*W$122)*SUM($J$118:W$118)-SUM($J128:V128))</f>
        <v>0</v>
      </c>
      <c r="X128" s="23">
        <f>IF(X$4&lt;$C128,0,(SUMIF($J$4:$X$4,$C128,$J$117:$X$117)*X$122)*SUM($J$118:X$118)-SUM($J128:W128))</f>
        <v>0</v>
      </c>
    </row>
    <row r="129" spans="2:24" ht="15" customHeight="1" x14ac:dyDescent="0.3">
      <c r="C129" s="392">
        <v>2030</v>
      </c>
      <c r="F129" s="8"/>
      <c r="G129" s="33">
        <f t="shared" si="51"/>
        <v>131360.66147426001</v>
      </c>
      <c r="H129" s="23">
        <f t="shared" si="52"/>
        <v>118224.59532683397</v>
      </c>
      <c r="I129" s="23"/>
      <c r="J129" s="23">
        <f>IF(J$4&lt;$C129,0,(SUMIF($J$4:$X$4,$C129,$J$117:$X$117)*J$122)*SUM($J$118:J$118)-SUM(I129:$J129))</f>
        <v>0</v>
      </c>
      <c r="K129" s="23">
        <f>IF(K$4&lt;$C129,0,(SUMIF($J$4:$X$4,$C129,$J$117:$X$117)*K$122)*SUM($J$118:K$118)-SUM(J129:$J129))</f>
        <v>0</v>
      </c>
      <c r="L129" s="23">
        <f>IF(L$4&lt;$C129,0,(SUMIF($J$4:$X$4,$C129,$J$117:$X$117)*L$122)*SUM($J$118:L$118)-SUM($J129:K129))</f>
        <v>0</v>
      </c>
      <c r="M129" s="23">
        <f>IF(M$4&lt;$C129,0,(SUMIF($J$4:$X$4,$C129,$J$117:$X$117)*M$122)*SUM($J$118:M$118)-SUM($J129:L129))</f>
        <v>0</v>
      </c>
      <c r="N129" s="23">
        <f>IF(N$4&lt;$C129,0,(SUMIF($J$4:$X$4,$C129,$J$117:$X$117)*N$122)*SUM($J$118:N$118)-SUM($J129:M129))</f>
        <v>0</v>
      </c>
      <c r="O129" s="23">
        <f>IF(O$4&lt;$C129,0,(SUMIF($J$4:$X$4,$C129,$J$117:$X$117)*O$122)*SUM($J$118:O$118)-SUM($J129:N129))</f>
        <v>118224.59532683397</v>
      </c>
      <c r="P129" s="23">
        <f>IF(P$4&lt;$C129,0,(SUMIF($J$4:$X$4,$C129,$J$117:$X$117)*P$122)*SUM($J$118:P$118)-SUM($J129:O129))</f>
        <v>0</v>
      </c>
      <c r="Q129" s="23">
        <f>IF(Q$4&lt;$C129,0,(SUMIF($J$4:$X$4,$C129,$J$117:$X$117)*Q$122)*SUM($J$118:Q$118)-SUM($J129:P129))</f>
        <v>0</v>
      </c>
      <c r="R129" s="23">
        <f>IF(R$4&lt;$C129,0,(SUMIF($J$4:$X$4,$C129,$J$117:$X$117)*R$122)*SUM($J$118:R$118)-SUM($J129:Q129))</f>
        <v>0</v>
      </c>
      <c r="S129" s="23">
        <f>IF(S$4&lt;$C129,0,(SUMIF($J$4:$X$4,$C129,$J$117:$X$117)*S$122)*SUM($J$118:S$118)-SUM($J129:R129))</f>
        <v>0</v>
      </c>
      <c r="T129" s="23">
        <f>IF(T$4&lt;$C129,0,(SUMIF($J$4:$X$4,$C129,$J$117:$X$117)*T$122)*SUM($J$118:T$118)-SUM($J129:S129))</f>
        <v>0</v>
      </c>
      <c r="U129" s="23">
        <f>IF(U$4&lt;$C129,0,(SUMIF($J$4:$X$4,$C129,$J$117:$X$117)*U$122)*SUM($J$118:U$118)-SUM($J129:T129))</f>
        <v>0</v>
      </c>
      <c r="V129" s="23">
        <f>IF(V$4&lt;$C129,0,(SUMIF($J$4:$X$4,$C129,$J$117:$X$117)*V$122)*SUM($J$118:V$118)-SUM($J129:U129))</f>
        <v>0</v>
      </c>
      <c r="W129" s="23">
        <f>IF(W$4&lt;$C129,0,(SUMIF($J$4:$X$4,$C129,$J$117:$X$117)*W$122)*SUM($J$118:W$118)-SUM($J129:V129))</f>
        <v>0</v>
      </c>
      <c r="X129" s="23">
        <f>IF(X$4&lt;$C129,0,(SUMIF($J$4:$X$4,$C129,$J$117:$X$117)*X$122)*SUM($J$118:X$118)-SUM($J129:W129))</f>
        <v>0</v>
      </c>
    </row>
    <row r="130" spans="2:24" ht="15" customHeight="1" x14ac:dyDescent="0.3">
      <c r="C130" s="392">
        <v>2031</v>
      </c>
      <c r="F130" s="8"/>
      <c r="G130" s="33">
        <f t="shared" si="51"/>
        <v>0</v>
      </c>
      <c r="H130" s="23">
        <f t="shared" si="52"/>
        <v>0</v>
      </c>
      <c r="I130" s="23"/>
      <c r="J130" s="23">
        <f>IF(J$4&lt;$C130,0,(SUMIF($J$4:$X$4,$C130,$J$117:$X$117)*J$122)*SUM($J$118:J$118)-SUM(I130:$J130))</f>
        <v>0</v>
      </c>
      <c r="K130" s="23">
        <f>IF(K$4&lt;$C130,0,(SUMIF($J$4:$X$4,$C130,$J$117:$X$117)*K$122)*SUM($J$118:K$118)-SUM(J130:$J130))</f>
        <v>0</v>
      </c>
      <c r="L130" s="23">
        <f>IF(L$4&lt;$C130,0,(SUMIF($J$4:$X$4,$C130,$J$117:$X$117)*L$122)*SUM($J$118:L$118)-SUM($J130:K130))</f>
        <v>0</v>
      </c>
      <c r="M130" s="23">
        <f>IF(M$4&lt;$C130,0,(SUMIF($J$4:$X$4,$C130,$J$117:$X$117)*M$122)*SUM($J$118:M$118)-SUM($J130:L130))</f>
        <v>0</v>
      </c>
      <c r="N130" s="23">
        <f>IF(N$4&lt;$C130,0,(SUMIF($J$4:$X$4,$C130,$J$117:$X$117)*N$122)*SUM($J$118:N$118)-SUM($J130:M130))</f>
        <v>0</v>
      </c>
      <c r="O130" s="23">
        <f>IF(O$4&lt;$C130,0,(SUMIF($J$4:$X$4,$C130,$J$117:$X$117)*O$122)*SUM($J$118:O$118)-SUM($J130:N130))</f>
        <v>0</v>
      </c>
      <c r="P130" s="23">
        <f>IF(P$4&lt;$C130,0,(SUMIF($J$4:$X$4,$C130,$J$117:$X$117)*P$122)*SUM($J$118:P$118)-SUM($J130:O130))</f>
        <v>0</v>
      </c>
      <c r="Q130" s="23">
        <f>IF(Q$4&lt;$C130,0,(SUMIF($J$4:$X$4,$C130,$J$117:$X$117)*Q$122)*SUM($J$118:Q$118)-SUM($J130:P130))</f>
        <v>0</v>
      </c>
      <c r="R130" s="23">
        <f>IF(R$4&lt;$C130,0,(SUMIF($J$4:$X$4,$C130,$J$117:$X$117)*R$122)*SUM($J$118:R$118)-SUM($J130:Q130))</f>
        <v>0</v>
      </c>
      <c r="S130" s="23">
        <f>IF(S$4&lt;$C130,0,(SUMIF($J$4:$X$4,$C130,$J$117:$X$117)*S$122)*SUM($J$118:S$118)-SUM($J130:R130))</f>
        <v>0</v>
      </c>
      <c r="T130" s="23">
        <f>IF(T$4&lt;$C130,0,(SUMIF($J$4:$X$4,$C130,$J$117:$X$117)*T$122)*SUM($J$118:T$118)-SUM($J130:S130))</f>
        <v>0</v>
      </c>
      <c r="U130" s="23">
        <f>IF(U$4&lt;$C130,0,(SUMIF($J$4:$X$4,$C130,$J$117:$X$117)*U$122)*SUM($J$118:U$118)-SUM($J130:T130))</f>
        <v>0</v>
      </c>
      <c r="V130" s="23">
        <f>IF(V$4&lt;$C130,0,(SUMIF($J$4:$X$4,$C130,$J$117:$X$117)*V$122)*SUM($J$118:V$118)-SUM($J130:U130))</f>
        <v>0</v>
      </c>
      <c r="W130" s="23">
        <f>IF(W$4&lt;$C130,0,(SUMIF($J$4:$X$4,$C130,$J$117:$X$117)*W$122)*SUM($J$118:W$118)-SUM($J130:V130))</f>
        <v>0</v>
      </c>
      <c r="X130" s="23">
        <f>IF(X$4&lt;$C130,0,(SUMIF($J$4:$X$4,$C130,$J$117:$X$117)*X$122)*SUM($J$118:X$118)-SUM($J130:W130))</f>
        <v>0</v>
      </c>
    </row>
    <row r="131" spans="2:24" ht="15" customHeight="1" x14ac:dyDescent="0.3">
      <c r="C131" s="49" t="s">
        <v>425</v>
      </c>
      <c r="D131" s="400"/>
      <c r="E131" s="134"/>
      <c r="F131" s="135"/>
      <c r="G131" s="134"/>
      <c r="H131" s="65">
        <f t="shared" ca="1" si="52"/>
        <v>1688928.958171594</v>
      </c>
      <c r="I131" s="65"/>
      <c r="J131" s="65">
        <f t="shared" ref="J131:X131" ca="1" si="53">SUM(J124:J130)</f>
        <v>0</v>
      </c>
      <c r="K131" s="65">
        <f t="shared" ca="1" si="53"/>
        <v>10415.126670501475</v>
      </c>
      <c r="L131" s="65">
        <f t="shared" ca="1" si="53"/>
        <v>204360.99399050564</v>
      </c>
      <c r="M131" s="65">
        <f t="shared" ca="1" si="53"/>
        <v>614066.7477819816</v>
      </c>
      <c r="N131" s="65">
        <f t="shared" ca="1" si="53"/>
        <v>741861.49440177123</v>
      </c>
      <c r="O131" s="65">
        <f t="shared" ca="1" si="53"/>
        <v>118224.59532683397</v>
      </c>
      <c r="P131" s="65">
        <f t="shared" ca="1" si="53"/>
        <v>0</v>
      </c>
      <c r="Q131" s="65">
        <f t="shared" ca="1" si="53"/>
        <v>0</v>
      </c>
      <c r="R131" s="65">
        <f t="shared" ca="1" si="53"/>
        <v>0</v>
      </c>
      <c r="S131" s="65">
        <f t="shared" ca="1" si="53"/>
        <v>0</v>
      </c>
      <c r="T131" s="65">
        <f t="shared" ca="1" si="53"/>
        <v>0</v>
      </c>
      <c r="U131" s="65">
        <f t="shared" ca="1" si="53"/>
        <v>0</v>
      </c>
      <c r="V131" s="65">
        <f t="shared" ca="1" si="53"/>
        <v>0</v>
      </c>
      <c r="W131" s="65">
        <f t="shared" ca="1" si="53"/>
        <v>0</v>
      </c>
      <c r="X131" s="65">
        <f t="shared" ca="1" si="53"/>
        <v>0</v>
      </c>
    </row>
    <row r="132" spans="2:24" ht="15" customHeight="1" x14ac:dyDescent="0.3">
      <c r="C132" s="8" t="s">
        <v>426</v>
      </c>
      <c r="F132" s="8"/>
      <c r="H132" s="48">
        <f t="shared" si="52"/>
        <v>187658.77313017717</v>
      </c>
      <c r="I132" s="48"/>
      <c r="J132" s="23">
        <f t="shared" ref="J132:X132" si="54">$H117*J119</f>
        <v>0</v>
      </c>
      <c r="K132" s="23">
        <f t="shared" si="54"/>
        <v>0</v>
      </c>
      <c r="L132" s="23">
        <f t="shared" si="54"/>
        <v>0</v>
      </c>
      <c r="M132" s="23">
        <f t="shared" si="54"/>
        <v>0</v>
      </c>
      <c r="N132" s="23">
        <f t="shared" si="54"/>
        <v>0</v>
      </c>
      <c r="O132" s="23">
        <f t="shared" si="54"/>
        <v>187658.77313017717</v>
      </c>
      <c r="P132" s="23">
        <f t="shared" si="54"/>
        <v>0</v>
      </c>
      <c r="Q132" s="23">
        <f t="shared" si="54"/>
        <v>0</v>
      </c>
      <c r="R132" s="23">
        <f t="shared" si="54"/>
        <v>0</v>
      </c>
      <c r="S132" s="23">
        <f t="shared" si="54"/>
        <v>0</v>
      </c>
      <c r="T132" s="23">
        <f t="shared" si="54"/>
        <v>0</v>
      </c>
      <c r="U132" s="23">
        <f t="shared" si="54"/>
        <v>0</v>
      </c>
      <c r="V132" s="23">
        <f t="shared" si="54"/>
        <v>0</v>
      </c>
      <c r="W132" s="23">
        <f t="shared" si="54"/>
        <v>0</v>
      </c>
      <c r="X132" s="23">
        <f t="shared" si="54"/>
        <v>0</v>
      </c>
    </row>
    <row r="133" spans="2:24" ht="15" customHeight="1" x14ac:dyDescent="0.3">
      <c r="C133" s="49" t="s">
        <v>438</v>
      </c>
      <c r="D133" s="400"/>
      <c r="E133" s="135"/>
      <c r="F133" s="134"/>
      <c r="G133" s="65"/>
      <c r="H133" s="65">
        <f t="shared" ca="1" si="52"/>
        <v>1876587.7313017712</v>
      </c>
      <c r="I133" s="65"/>
      <c r="J133" s="65">
        <f t="shared" ref="J133:X133" ca="1" si="55">J131+J132</f>
        <v>0</v>
      </c>
      <c r="K133" s="65">
        <f t="shared" ca="1" si="55"/>
        <v>10415.126670501475</v>
      </c>
      <c r="L133" s="65">
        <f t="shared" ca="1" si="55"/>
        <v>204360.99399050564</v>
      </c>
      <c r="M133" s="65">
        <f t="shared" ca="1" si="55"/>
        <v>614066.7477819816</v>
      </c>
      <c r="N133" s="65">
        <f t="shared" ca="1" si="55"/>
        <v>741861.49440177123</v>
      </c>
      <c r="O133" s="65">
        <f t="shared" ca="1" si="55"/>
        <v>305883.36845701112</v>
      </c>
      <c r="P133" s="65">
        <f t="shared" ca="1" si="55"/>
        <v>0</v>
      </c>
      <c r="Q133" s="65">
        <f t="shared" ca="1" si="55"/>
        <v>0</v>
      </c>
      <c r="R133" s="65">
        <f t="shared" ca="1" si="55"/>
        <v>0</v>
      </c>
      <c r="S133" s="65">
        <f t="shared" ca="1" si="55"/>
        <v>0</v>
      </c>
      <c r="T133" s="65">
        <f t="shared" ca="1" si="55"/>
        <v>0</v>
      </c>
      <c r="U133" s="65">
        <f t="shared" ca="1" si="55"/>
        <v>0</v>
      </c>
      <c r="V133" s="65">
        <f t="shared" ca="1" si="55"/>
        <v>0</v>
      </c>
      <c r="W133" s="65">
        <f t="shared" ca="1" si="55"/>
        <v>0</v>
      </c>
      <c r="X133" s="65">
        <f t="shared" ca="1" si="55"/>
        <v>0</v>
      </c>
    </row>
    <row r="134" spans="2:24" ht="15" customHeight="1" x14ac:dyDescent="0.3">
      <c r="F134" s="8"/>
    </row>
    <row r="135" spans="2:24" ht="15" customHeight="1" x14ac:dyDescent="0.3">
      <c r="B135" s="193"/>
      <c r="C135" s="117" t="s">
        <v>47</v>
      </c>
      <c r="D135" s="399">
        <v>3</v>
      </c>
      <c r="E135" s="131"/>
      <c r="F135" s="132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</row>
    <row r="136" spans="2:24" ht="15" customHeight="1" x14ac:dyDescent="0.3">
      <c r="C136" s="8" t="s">
        <v>308</v>
      </c>
      <c r="D136" s="401" t="str">
        <f>$D$117</f>
        <v>YES</v>
      </c>
      <c r="F136" s="8"/>
      <c r="H136" s="48">
        <f>SUM(J136:X136)</f>
        <v>1867655.3057151467</v>
      </c>
      <c r="I136" s="48"/>
      <c r="J136" s="242">
        <f>IF($D136="Yes",Capex!L216,Capex!L106)</f>
        <v>0</v>
      </c>
      <c r="K136" s="242">
        <f>IF($D136="Yes",Capex!M216,Capex!M106)</f>
        <v>565268.76182801905</v>
      </c>
      <c r="L136" s="242">
        <f>IF($D136="Yes",Capex!N216,Capex!N106)</f>
        <v>144709.61598745862</v>
      </c>
      <c r="M136" s="242">
        <f>IF($D136="Yes",Capex!O216,Capex!O106)</f>
        <v>361774.03996864648</v>
      </c>
      <c r="N136" s="242">
        <f>IF($D136="Yes",Capex!P216,Capex!P106)</f>
        <v>361774.03996864648</v>
      </c>
      <c r="O136" s="242">
        <f>IF($D136="Yes",Capex!Q216,Capex!Q106)</f>
        <v>361774.03996864648</v>
      </c>
      <c r="P136" s="242">
        <f>IF($D136="Yes",Capex!R216,Capex!R106)</f>
        <v>72354.807993729308</v>
      </c>
      <c r="Q136" s="242">
        <f>IF($D136="Yes",Capex!S216,Capex!S106)</f>
        <v>0</v>
      </c>
      <c r="R136" s="242">
        <f>IF($D136="Yes",Capex!T216,Capex!T106)</f>
        <v>0</v>
      </c>
      <c r="S136" s="242">
        <f>IF($D136="Yes",Capex!U216,Capex!U106)</f>
        <v>0</v>
      </c>
      <c r="T136" s="242">
        <f>IF($D136="Yes",Capex!V216,Capex!V106)</f>
        <v>0</v>
      </c>
      <c r="U136" s="242">
        <f>IF($D136="Yes",Capex!W216,Capex!W106)</f>
        <v>0</v>
      </c>
      <c r="V136" s="242">
        <f>IF($D136="Yes",Capex!X216,Capex!X106)</f>
        <v>0</v>
      </c>
      <c r="W136" s="242">
        <f>IF($D136="Yes",Capex!Y216,Capex!Y106)</f>
        <v>0</v>
      </c>
      <c r="X136" s="242">
        <f>IF($D136="Yes",Capex!Z216,Capex!Z106)</f>
        <v>0</v>
      </c>
    </row>
    <row r="137" spans="2:24" ht="15" customHeight="1" x14ac:dyDescent="0.3">
      <c r="C137" s="8" t="s">
        <v>436</v>
      </c>
      <c r="F137" s="8"/>
      <c r="H137" s="243">
        <f>SUM(J137:X137)</f>
        <v>0.60000000000000009</v>
      </c>
      <c r="I137" s="244"/>
      <c r="J137" s="245">
        <f>AVERAGE(Revenue!L57:'Revenue'!L58)</f>
        <v>0</v>
      </c>
      <c r="K137" s="245">
        <f>AVERAGE(Revenue!M57:'Revenue'!M58)</f>
        <v>0</v>
      </c>
      <c r="L137" s="245">
        <f>AVERAGE(Revenue!N57:'Revenue'!N58)</f>
        <v>0.2</v>
      </c>
      <c r="M137" s="245">
        <f>AVERAGE(Revenue!O57:'Revenue'!O58)</f>
        <v>0.2</v>
      </c>
      <c r="N137" s="245">
        <f>AVERAGE(Revenue!P57:'Revenue'!P58)</f>
        <v>0.2</v>
      </c>
      <c r="O137" s="245">
        <f>AVERAGE(Revenue!Q57:'Revenue'!Q58)</f>
        <v>0</v>
      </c>
      <c r="P137" s="245">
        <f>AVERAGE(Revenue!R57:'Revenue'!R58)</f>
        <v>0</v>
      </c>
      <c r="Q137" s="245">
        <f>AVERAGE(Revenue!S57:'Revenue'!S58)</f>
        <v>0</v>
      </c>
      <c r="R137" s="245">
        <f>AVERAGE(Revenue!T57:'Revenue'!T58)</f>
        <v>0</v>
      </c>
      <c r="S137" s="245">
        <f>AVERAGE(Revenue!U57:'Revenue'!U58)</f>
        <v>0</v>
      </c>
      <c r="T137" s="245">
        <f>AVERAGE(Revenue!V57:'Revenue'!V58)</f>
        <v>0</v>
      </c>
      <c r="U137" s="245">
        <f>AVERAGE(Revenue!W57:'Revenue'!W58)</f>
        <v>0</v>
      </c>
      <c r="V137" s="245">
        <f>AVERAGE(Revenue!X57:'Revenue'!X58)</f>
        <v>0</v>
      </c>
      <c r="W137" s="245">
        <f>AVERAGE(Revenue!Y57:'Revenue'!Y58)</f>
        <v>0</v>
      </c>
      <c r="X137" s="245">
        <f>AVERAGE(Revenue!Z57:'Revenue'!Z58)</f>
        <v>0</v>
      </c>
    </row>
    <row r="138" spans="2:24" ht="15" customHeight="1" x14ac:dyDescent="0.3">
      <c r="C138" s="8" t="s">
        <v>435</v>
      </c>
      <c r="F138" s="8"/>
      <c r="H138" s="243">
        <f>SUM(J138:X138)</f>
        <v>0.4</v>
      </c>
      <c r="I138" s="244"/>
      <c r="J138" s="245">
        <f>AVERAGE(Revenue!L134:'Revenue'!L135)</f>
        <v>0</v>
      </c>
      <c r="K138" s="245">
        <f>AVERAGE(Revenue!M134:'Revenue'!M135)</f>
        <v>0</v>
      </c>
      <c r="L138" s="245">
        <f>AVERAGE(Revenue!N134:'Revenue'!N135)</f>
        <v>0</v>
      </c>
      <c r="M138" s="245">
        <f>AVERAGE(Revenue!O134:'Revenue'!O135)</f>
        <v>0</v>
      </c>
      <c r="N138" s="245">
        <f>AVERAGE(Revenue!P134:'Revenue'!P135)</f>
        <v>0</v>
      </c>
      <c r="O138" s="245">
        <f>AVERAGE(Revenue!Q134:'Revenue'!Q135)</f>
        <v>0.3</v>
      </c>
      <c r="P138" s="245">
        <f>AVERAGE(Revenue!R134:'Revenue'!R135)</f>
        <v>0.1</v>
      </c>
      <c r="Q138" s="245">
        <f>AVERAGE(Revenue!S134:'Revenue'!S135)</f>
        <v>0</v>
      </c>
      <c r="R138" s="245">
        <f>AVERAGE(Revenue!T134:'Revenue'!T135)</f>
        <v>0</v>
      </c>
      <c r="S138" s="245">
        <f>AVERAGE(Revenue!U134:'Revenue'!U135)</f>
        <v>0</v>
      </c>
      <c r="T138" s="245">
        <f>AVERAGE(Revenue!V134:'Revenue'!V135)</f>
        <v>0</v>
      </c>
      <c r="U138" s="245">
        <f>AVERAGE(Revenue!W134:'Revenue'!W135)</f>
        <v>0</v>
      </c>
      <c r="V138" s="245">
        <f>AVERAGE(Revenue!X134:'Revenue'!X135)</f>
        <v>0</v>
      </c>
      <c r="W138" s="245">
        <f>AVERAGE(Revenue!Y134:'Revenue'!Y135)</f>
        <v>0</v>
      </c>
      <c r="X138" s="245">
        <f>AVERAGE(Revenue!Z134:'Revenue'!Z135)</f>
        <v>0</v>
      </c>
    </row>
    <row r="139" spans="2:24" ht="15" customHeight="1" x14ac:dyDescent="0.3">
      <c r="C139" s="8" t="s">
        <v>434</v>
      </c>
      <c r="F139" s="8"/>
      <c r="H139" s="48">
        <f>SUM(J139:X139)</f>
        <v>1120593.183429088</v>
      </c>
      <c r="I139" s="48"/>
      <c r="J139" s="23">
        <f t="shared" ref="J139:X139" si="56">$H$136*J137</f>
        <v>0</v>
      </c>
      <c r="K139" s="23">
        <f t="shared" si="56"/>
        <v>0</v>
      </c>
      <c r="L139" s="23">
        <f t="shared" si="56"/>
        <v>373531.06114302936</v>
      </c>
      <c r="M139" s="23">
        <f t="shared" si="56"/>
        <v>373531.06114302936</v>
      </c>
      <c r="N139" s="23">
        <f t="shared" si="56"/>
        <v>373531.06114302936</v>
      </c>
      <c r="O139" s="23">
        <f t="shared" si="56"/>
        <v>0</v>
      </c>
      <c r="P139" s="23">
        <f t="shared" si="56"/>
        <v>0</v>
      </c>
      <c r="Q139" s="23">
        <f t="shared" si="56"/>
        <v>0</v>
      </c>
      <c r="R139" s="23">
        <f t="shared" si="56"/>
        <v>0</v>
      </c>
      <c r="S139" s="23">
        <f t="shared" si="56"/>
        <v>0</v>
      </c>
      <c r="T139" s="23">
        <f t="shared" si="56"/>
        <v>0</v>
      </c>
      <c r="U139" s="23">
        <f t="shared" si="56"/>
        <v>0</v>
      </c>
      <c r="V139" s="23">
        <f t="shared" si="56"/>
        <v>0</v>
      </c>
      <c r="W139" s="23">
        <f t="shared" si="56"/>
        <v>0</v>
      </c>
      <c r="X139" s="23">
        <f t="shared" si="56"/>
        <v>0</v>
      </c>
    </row>
    <row r="140" spans="2:24" ht="15" customHeight="1" x14ac:dyDescent="0.3">
      <c r="C140" s="8" t="s">
        <v>87</v>
      </c>
      <c r="F140" s="8"/>
      <c r="H140" s="243">
        <f>SUM(J140:X140)</f>
        <v>0.99999999999999989</v>
      </c>
      <c r="I140" s="244"/>
      <c r="J140" s="245">
        <f>Revenue!L192</f>
        <v>0</v>
      </c>
      <c r="K140" s="245">
        <f>Revenue!M192</f>
        <v>0</v>
      </c>
      <c r="L140" s="245">
        <f>Revenue!N192</f>
        <v>0.3</v>
      </c>
      <c r="M140" s="245">
        <f>Revenue!O192</f>
        <v>0.3</v>
      </c>
      <c r="N140" s="245">
        <f>Revenue!P192</f>
        <v>0.3</v>
      </c>
      <c r="O140" s="245">
        <f>Revenue!Q192</f>
        <v>0.1</v>
      </c>
      <c r="P140" s="245">
        <f>Revenue!R192</f>
        <v>0</v>
      </c>
      <c r="Q140" s="245">
        <f>Revenue!S192</f>
        <v>0</v>
      </c>
      <c r="R140" s="245">
        <f>Revenue!T192</f>
        <v>0</v>
      </c>
      <c r="S140" s="245">
        <f>Revenue!U192</f>
        <v>0</v>
      </c>
      <c r="T140" s="245">
        <f>Revenue!V192</f>
        <v>0</v>
      </c>
      <c r="U140" s="245">
        <f>Revenue!W192</f>
        <v>0</v>
      </c>
      <c r="V140" s="245">
        <f>Revenue!X192</f>
        <v>0</v>
      </c>
      <c r="W140" s="245">
        <f>Revenue!Y192</f>
        <v>0</v>
      </c>
      <c r="X140" s="245">
        <f>Revenue!Z192</f>
        <v>0</v>
      </c>
    </row>
    <row r="141" spans="2:24" ht="15" customHeight="1" x14ac:dyDescent="0.3">
      <c r="C141" s="8" t="s">
        <v>88</v>
      </c>
      <c r="F141" s="8"/>
      <c r="H141" s="244"/>
      <c r="I141" s="244"/>
      <c r="J141" s="245">
        <f>Revenue!L193</f>
        <v>0</v>
      </c>
      <c r="K141" s="245">
        <f>Revenue!M193</f>
        <v>0</v>
      </c>
      <c r="L141" s="245">
        <f>Revenue!N193</f>
        <v>0.3</v>
      </c>
      <c r="M141" s="245">
        <f>Revenue!O193</f>
        <v>0.6</v>
      </c>
      <c r="N141" s="245">
        <f>Revenue!P193</f>
        <v>0.89999999999999991</v>
      </c>
      <c r="O141" s="245">
        <f>Revenue!Q193</f>
        <v>0.99999999999999989</v>
      </c>
      <c r="P141" s="245">
        <f>Revenue!R193</f>
        <v>0.99999999999999989</v>
      </c>
      <c r="Q141" s="245">
        <f>Revenue!S193</f>
        <v>0.99999999999999989</v>
      </c>
      <c r="R141" s="245">
        <f>Revenue!T193</f>
        <v>0.99999999999999989</v>
      </c>
      <c r="S141" s="245">
        <f>Revenue!U193</f>
        <v>0.99999999999999989</v>
      </c>
      <c r="T141" s="245">
        <f>Revenue!V193</f>
        <v>0.99999999999999989</v>
      </c>
      <c r="U141" s="245">
        <f>Revenue!W193</f>
        <v>0.99999999999999989</v>
      </c>
      <c r="V141" s="245">
        <f>Revenue!X193</f>
        <v>0.99999999999999989</v>
      </c>
      <c r="W141" s="245">
        <f>Revenue!Y193</f>
        <v>0.99999999999999989</v>
      </c>
      <c r="X141" s="245">
        <f>Revenue!Z193</f>
        <v>0.99999999999999989</v>
      </c>
    </row>
    <row r="142" spans="2:24" ht="15" customHeight="1" x14ac:dyDescent="0.3">
      <c r="C142" s="91" t="s">
        <v>433</v>
      </c>
      <c r="F142" s="8"/>
    </row>
    <row r="143" spans="2:24" ht="15" customHeight="1" x14ac:dyDescent="0.3">
      <c r="C143" s="392">
        <v>2025</v>
      </c>
      <c r="F143" s="8"/>
      <c r="G143" s="33">
        <f t="shared" ref="G143:G149" si="57">SUMIF($J$4:$X$4,$C143,$J$136:$X$136)</f>
        <v>0</v>
      </c>
      <c r="H143" s="23">
        <f t="shared" ref="H143:H152" ca="1" si="58">SUM(J143:X143)</f>
        <v>0</v>
      </c>
      <c r="I143" s="23"/>
      <c r="J143" s="23">
        <f ca="1">IF(J$4&lt;$C143,0,(SUMIF($J$4:$X$4,$C143,$J$136:$X$136)*J$141)*SUM($J$137:J$137)-SUM(I143:$J143))</f>
        <v>0</v>
      </c>
      <c r="K143" s="23">
        <f ca="1">IF(K$4&lt;$C143,0,(SUMIF($J$4:$X$4,$C143,$J$136:$X$136)*K$141)*SUM($J$137:K$137)-SUM(J143:$J143))</f>
        <v>0</v>
      </c>
      <c r="L143" s="23">
        <f ca="1">IF(L$4&lt;$C143,0,(SUMIF($J$4:$X$4,$C143,$J$136:$X$136)*L$141)*SUM($J$137:L$137)-SUM($J143:K143))</f>
        <v>0</v>
      </c>
      <c r="M143" s="23">
        <f ca="1">IF(M$4&lt;$C143,0,(SUMIF($J$4:$X$4,$C143,$J$136:$X$136)*M$141)*SUM($J$137:M$137)-SUM($J143:L143))</f>
        <v>0</v>
      </c>
      <c r="N143" s="23">
        <f ca="1">IF(N$4&lt;$C143,0,(SUMIF($J$4:$X$4,$C143,$J$136:$X$136)*N$141)*SUM($J$137:N$137)-SUM($J143:M143))</f>
        <v>0</v>
      </c>
      <c r="O143" s="23">
        <f ca="1">IF(O$4&lt;$C143,0,(SUMIF($J$4:$X$4,$C143,$J$136:$X$136)*O$141)*SUM($J$137:O$137)-SUM($J143:N143))</f>
        <v>0</v>
      </c>
      <c r="P143" s="23">
        <f ca="1">IF(P$4&lt;$C143,0,(SUMIF($J$4:$X$4,$C143,$J$136:$X$136)*P$141)*SUM($J$137:P$137)-SUM($J143:O143))</f>
        <v>0</v>
      </c>
      <c r="Q143" s="23">
        <f ca="1">IF(Q$4&lt;$C143,0,(SUMIF($J$4:$X$4,$C143,$J$136:$X$136)*Q$141)*SUM($J$137:Q$137)-SUM($J143:P143))</f>
        <v>0</v>
      </c>
      <c r="R143" s="23">
        <f ca="1">IF(R$4&lt;$C143,0,(SUMIF($J$4:$X$4,$C143,$J$136:$X$136)*R$141)*SUM($J$137:R$137)-SUM($J143:Q143))</f>
        <v>0</v>
      </c>
      <c r="S143" s="23">
        <f ca="1">IF(S$4&lt;$C143,0,(SUMIF($J$4:$X$4,$C143,$J$136:$X$136)*S$141)*SUM($J$137:S$137)-SUM($J143:R143))</f>
        <v>0</v>
      </c>
      <c r="T143" s="23">
        <f ca="1">IF(T$4&lt;$C143,0,(SUMIF($J$4:$X$4,$C143,$J$136:$X$136)*T$141)*SUM($J$137:T$137)-SUM($J143:S143))</f>
        <v>0</v>
      </c>
      <c r="U143" s="23">
        <f ca="1">IF(U$4&lt;$C143,0,(SUMIF($J$4:$X$4,$C143,$J$136:$X$136)*U$141)*SUM($J$137:U$137)-SUM($J143:T143))</f>
        <v>0</v>
      </c>
      <c r="V143" s="23">
        <f ca="1">IF(V$4&lt;$C143,0,(SUMIF($J$4:$X$4,$C143,$J$136:$X$136)*V$141)*SUM($J$137:V$137)-SUM($J143:U143))</f>
        <v>0</v>
      </c>
      <c r="W143" s="23">
        <f ca="1">IF(W$4&lt;$C143,0,(SUMIF($J$4:$X$4,$C143,$J$136:$X$136)*W$141)*SUM($J$137:W$137)-SUM($J143:V143))</f>
        <v>0</v>
      </c>
      <c r="X143" s="23">
        <f ca="1">IF(X$4&lt;$C143,0,(SUMIF($J$4:$X$4,$C143,$J$136:$X$136)*X$141)*SUM($J$137:X$137)-SUM($J143:W143))</f>
        <v>0</v>
      </c>
    </row>
    <row r="144" spans="2:24" ht="15" customHeight="1" x14ac:dyDescent="0.3">
      <c r="C144" s="392">
        <v>2026</v>
      </c>
      <c r="F144" s="8"/>
      <c r="G144" s="33">
        <f t="shared" si="57"/>
        <v>565268.76182801905</v>
      </c>
      <c r="H144" s="23">
        <f t="shared" si="58"/>
        <v>339161.25709681143</v>
      </c>
      <c r="I144" s="23"/>
      <c r="J144" s="23">
        <f>IF(J$4&lt;$C144,0,(SUMIF($J$4:$X$4,$C144,$J$136:$X$136)*J$141)*SUM($J$137:J$137)-SUM(I144:$J144))</f>
        <v>0</v>
      </c>
      <c r="K144" s="23">
        <f>IF(K$4&lt;$C144,0,(SUMIF($J$4:$X$4,$C144,$J$136:$X$136)*K$141)*SUM($J$137:K$137)-SUM(J144:$J144))</f>
        <v>0</v>
      </c>
      <c r="L144" s="23">
        <f>IF(L$4&lt;$C144,0,(SUMIF($J$4:$X$4,$C144,$J$136:$X$136)*L$141)*SUM($J$137:L$137)-SUM($J144:K144))</f>
        <v>33916.125709681146</v>
      </c>
      <c r="M144" s="23">
        <f>IF(M$4&lt;$C144,0,(SUMIF($J$4:$X$4,$C144,$J$136:$X$136)*M$141)*SUM($J$137:M$137)-SUM($J144:L144))</f>
        <v>101748.37712904344</v>
      </c>
      <c r="N144" s="23">
        <f>IF(N$4&lt;$C144,0,(SUMIF($J$4:$X$4,$C144,$J$136:$X$136)*N$141)*SUM($J$137:N$137)-SUM($J144:M144))</f>
        <v>169580.62854840572</v>
      </c>
      <c r="O144" s="23">
        <f>IF(O$4&lt;$C144,0,(SUMIF($J$4:$X$4,$C144,$J$136:$X$136)*O$141)*SUM($J$137:O$137)-SUM($J144:N144))</f>
        <v>33916.125709681131</v>
      </c>
      <c r="P144" s="23">
        <f>IF(P$4&lt;$C144,0,(SUMIF($J$4:$X$4,$C144,$J$136:$X$136)*P$141)*SUM($J$137:P$137)-SUM($J144:O144))</f>
        <v>0</v>
      </c>
      <c r="Q144" s="23">
        <f>IF(Q$4&lt;$C144,0,(SUMIF($J$4:$X$4,$C144,$J$136:$X$136)*Q$141)*SUM($J$137:Q$137)-SUM($J144:P144))</f>
        <v>0</v>
      </c>
      <c r="R144" s="23">
        <f>IF(R$4&lt;$C144,0,(SUMIF($J$4:$X$4,$C144,$J$136:$X$136)*R$141)*SUM($J$137:R$137)-SUM($J144:Q144))</f>
        <v>0</v>
      </c>
      <c r="S144" s="23">
        <f>IF(S$4&lt;$C144,0,(SUMIF($J$4:$X$4,$C144,$J$136:$X$136)*S$141)*SUM($J$137:S$137)-SUM($J144:R144))</f>
        <v>0</v>
      </c>
      <c r="T144" s="23">
        <f>IF(T$4&lt;$C144,0,(SUMIF($J$4:$X$4,$C144,$J$136:$X$136)*T$141)*SUM($J$137:T$137)-SUM($J144:S144))</f>
        <v>0</v>
      </c>
      <c r="U144" s="23">
        <f>IF(U$4&lt;$C144,0,(SUMIF($J$4:$X$4,$C144,$J$136:$X$136)*U$141)*SUM($J$137:U$137)-SUM($J144:T144))</f>
        <v>0</v>
      </c>
      <c r="V144" s="23">
        <f>IF(V$4&lt;$C144,0,(SUMIF($J$4:$X$4,$C144,$J$136:$X$136)*V$141)*SUM($J$137:V$137)-SUM($J144:U144))</f>
        <v>0</v>
      </c>
      <c r="W144" s="23">
        <f>IF(W$4&lt;$C144,0,(SUMIF($J$4:$X$4,$C144,$J$136:$X$136)*W$141)*SUM($J$137:W$137)-SUM($J144:V144))</f>
        <v>0</v>
      </c>
      <c r="X144" s="23">
        <f>IF(X$4&lt;$C144,0,(SUMIF($J$4:$X$4,$C144,$J$136:$X$136)*X$141)*SUM($J$137:X$137)-SUM($J144:W144))</f>
        <v>0</v>
      </c>
    </row>
    <row r="145" spans="2:24" ht="15" customHeight="1" x14ac:dyDescent="0.3">
      <c r="C145" s="392">
        <v>2027</v>
      </c>
      <c r="F145" s="8"/>
      <c r="G145" s="33">
        <f t="shared" si="57"/>
        <v>144709.61598745862</v>
      </c>
      <c r="H145" s="23">
        <f t="shared" si="58"/>
        <v>86825.769592475161</v>
      </c>
      <c r="I145" s="23"/>
      <c r="J145" s="23">
        <f>IF(J$4&lt;$C145,0,(SUMIF($J$4:$X$4,$C145,$J$136:$X$136)*J$141)*SUM($J$137:J$137)-SUM(I145:$J145))</f>
        <v>0</v>
      </c>
      <c r="K145" s="23">
        <f>IF(K$4&lt;$C145,0,(SUMIF($J$4:$X$4,$C145,$J$136:$X$136)*K$141)*SUM($J$137:K$137)-SUM(J145:$J145))</f>
        <v>0</v>
      </c>
      <c r="L145" s="23">
        <f>IF(L$4&lt;$C145,0,(SUMIF($J$4:$X$4,$C145,$J$136:$X$136)*L$141)*SUM($J$137:L$137)-SUM($J145:K145))</f>
        <v>8682.5769592475172</v>
      </c>
      <c r="M145" s="23">
        <f>IF(M$4&lt;$C145,0,(SUMIF($J$4:$X$4,$C145,$J$136:$X$136)*M$141)*SUM($J$137:M$137)-SUM($J145:L145))</f>
        <v>26047.73087774255</v>
      </c>
      <c r="N145" s="23">
        <f>IF(N$4&lt;$C145,0,(SUMIF($J$4:$X$4,$C145,$J$136:$X$136)*N$141)*SUM($J$137:N$137)-SUM($J145:M145))</f>
        <v>43412.884796237595</v>
      </c>
      <c r="O145" s="23">
        <f>IF(O$4&lt;$C145,0,(SUMIF($J$4:$X$4,$C145,$J$136:$X$136)*O$141)*SUM($J$137:O$137)-SUM($J145:N145))</f>
        <v>8682.5769592474971</v>
      </c>
      <c r="P145" s="23">
        <f>IF(P$4&lt;$C145,0,(SUMIF($J$4:$X$4,$C145,$J$136:$X$136)*P$141)*SUM($J$137:P$137)-SUM($J145:O145))</f>
        <v>0</v>
      </c>
      <c r="Q145" s="23">
        <f>IF(Q$4&lt;$C145,0,(SUMIF($J$4:$X$4,$C145,$J$136:$X$136)*Q$141)*SUM($J$137:Q$137)-SUM($J145:P145))</f>
        <v>0</v>
      </c>
      <c r="R145" s="23">
        <f>IF(R$4&lt;$C145,0,(SUMIF($J$4:$X$4,$C145,$J$136:$X$136)*R$141)*SUM($J$137:R$137)-SUM($J145:Q145))</f>
        <v>0</v>
      </c>
      <c r="S145" s="23">
        <f>IF(S$4&lt;$C145,0,(SUMIF($J$4:$X$4,$C145,$J$136:$X$136)*S$141)*SUM($J$137:S$137)-SUM($J145:R145))</f>
        <v>0</v>
      </c>
      <c r="T145" s="23">
        <f>IF(T$4&lt;$C145,0,(SUMIF($J$4:$X$4,$C145,$J$136:$X$136)*T$141)*SUM($J$137:T$137)-SUM($J145:S145))</f>
        <v>0</v>
      </c>
      <c r="U145" s="23">
        <f>IF(U$4&lt;$C145,0,(SUMIF($J$4:$X$4,$C145,$J$136:$X$136)*U$141)*SUM($J$137:U$137)-SUM($J145:T145))</f>
        <v>0</v>
      </c>
      <c r="V145" s="23">
        <f>IF(V$4&lt;$C145,0,(SUMIF($J$4:$X$4,$C145,$J$136:$X$136)*V$141)*SUM($J$137:V$137)-SUM($J145:U145))</f>
        <v>0</v>
      </c>
      <c r="W145" s="23">
        <f>IF(W$4&lt;$C145,0,(SUMIF($J$4:$X$4,$C145,$J$136:$X$136)*W$141)*SUM($J$137:W$137)-SUM($J145:V145))</f>
        <v>0</v>
      </c>
      <c r="X145" s="23">
        <f>IF(X$4&lt;$C145,0,(SUMIF($J$4:$X$4,$C145,$J$136:$X$136)*X$141)*SUM($J$137:X$137)-SUM($J145:W145))</f>
        <v>0</v>
      </c>
    </row>
    <row r="146" spans="2:24" ht="15" customHeight="1" x14ac:dyDescent="0.3">
      <c r="C146" s="392">
        <v>2028</v>
      </c>
      <c r="F146" s="8"/>
      <c r="G146" s="33">
        <f t="shared" si="57"/>
        <v>361774.03996864648</v>
      </c>
      <c r="H146" s="23">
        <f t="shared" si="58"/>
        <v>217064.42398118789</v>
      </c>
      <c r="I146" s="23"/>
      <c r="J146" s="23">
        <f>IF(J$4&lt;$C146,0,(SUMIF($J$4:$X$4,$C146,$J$136:$X$136)*J$141)*SUM($J$137:J$137)-SUM(I146:$J146))</f>
        <v>0</v>
      </c>
      <c r="K146" s="23">
        <f>IF(K$4&lt;$C146,0,(SUMIF($J$4:$X$4,$C146,$J$136:$X$136)*K$141)*SUM($J$137:K$137)-SUM(J146:$J146))</f>
        <v>0</v>
      </c>
      <c r="L146" s="23">
        <f>IF(L$4&lt;$C146,0,(SUMIF($J$4:$X$4,$C146,$J$136:$X$136)*L$141)*SUM($J$137:L$137)-SUM($J146:K146))</f>
        <v>0</v>
      </c>
      <c r="M146" s="23">
        <f>IF(M$4&lt;$C146,0,(SUMIF($J$4:$X$4,$C146,$J$136:$X$136)*M$141)*SUM($J$137:M$137)-SUM($J146:L146))</f>
        <v>86825.769592475161</v>
      </c>
      <c r="N146" s="23">
        <f>IF(N$4&lt;$C146,0,(SUMIF($J$4:$X$4,$C146,$J$136:$X$136)*N$141)*SUM($J$137:N$137)-SUM($J146:M146))</f>
        <v>108532.21199059395</v>
      </c>
      <c r="O146" s="23">
        <f>IF(O$4&lt;$C146,0,(SUMIF($J$4:$X$4,$C146,$J$136:$X$136)*O$141)*SUM($J$137:O$137)-SUM($J146:N146))</f>
        <v>21706.442398118787</v>
      </c>
      <c r="P146" s="23">
        <f>IF(P$4&lt;$C146,0,(SUMIF($J$4:$X$4,$C146,$J$136:$X$136)*P$141)*SUM($J$137:P$137)-SUM($J146:O146))</f>
        <v>0</v>
      </c>
      <c r="Q146" s="23">
        <f>IF(Q$4&lt;$C146,0,(SUMIF($J$4:$X$4,$C146,$J$136:$X$136)*Q$141)*SUM($J$137:Q$137)-SUM($J146:P146))</f>
        <v>0</v>
      </c>
      <c r="R146" s="23">
        <f>IF(R$4&lt;$C146,0,(SUMIF($J$4:$X$4,$C146,$J$136:$X$136)*R$141)*SUM($J$137:R$137)-SUM($J146:Q146))</f>
        <v>0</v>
      </c>
      <c r="S146" s="23">
        <f>IF(S$4&lt;$C146,0,(SUMIF($J$4:$X$4,$C146,$J$136:$X$136)*S$141)*SUM($J$137:S$137)-SUM($J146:R146))</f>
        <v>0</v>
      </c>
      <c r="T146" s="23">
        <f>IF(T$4&lt;$C146,0,(SUMIF($J$4:$X$4,$C146,$J$136:$X$136)*T$141)*SUM($J$137:T$137)-SUM($J146:S146))</f>
        <v>0</v>
      </c>
      <c r="U146" s="23">
        <f>IF(U$4&lt;$C146,0,(SUMIF($J$4:$X$4,$C146,$J$136:$X$136)*U$141)*SUM($J$137:U$137)-SUM($J146:T146))</f>
        <v>0</v>
      </c>
      <c r="V146" s="23">
        <f>IF(V$4&lt;$C146,0,(SUMIF($J$4:$X$4,$C146,$J$136:$X$136)*V$141)*SUM($J$137:V$137)-SUM($J146:U146))</f>
        <v>0</v>
      </c>
      <c r="W146" s="23">
        <f>IF(W$4&lt;$C146,0,(SUMIF($J$4:$X$4,$C146,$J$136:$X$136)*W$141)*SUM($J$137:W$137)-SUM($J146:V146))</f>
        <v>0</v>
      </c>
      <c r="X146" s="23">
        <f>IF(X$4&lt;$C146,0,(SUMIF($J$4:$X$4,$C146,$J$136:$X$136)*X$141)*SUM($J$137:X$137)-SUM($J146:W146))</f>
        <v>0</v>
      </c>
    </row>
    <row r="147" spans="2:24" ht="15" customHeight="1" x14ac:dyDescent="0.3">
      <c r="C147" s="392">
        <v>2029</v>
      </c>
      <c r="F147" s="8"/>
      <c r="G147" s="33">
        <f t="shared" si="57"/>
        <v>361774.03996864648</v>
      </c>
      <c r="H147" s="23">
        <f t="shared" si="58"/>
        <v>217064.42398118789</v>
      </c>
      <c r="I147" s="23"/>
      <c r="J147" s="23">
        <f>IF(J$4&lt;$C147,0,(SUMIF($J$4:$X$4,$C147,$J$136:$X$136)*J$141)*SUM($J$137:J$137)-SUM(I147:$J147))</f>
        <v>0</v>
      </c>
      <c r="K147" s="23">
        <f>IF(K$4&lt;$C147,0,(SUMIF($J$4:$X$4,$C147,$J$136:$X$136)*K$141)*SUM($J$137:K$137)-SUM(J147:$J147))</f>
        <v>0</v>
      </c>
      <c r="L147" s="23">
        <f>IF(L$4&lt;$C147,0,(SUMIF($J$4:$X$4,$C147,$J$136:$X$136)*L$141)*SUM($J$137:L$137)-SUM($J147:K147))</f>
        <v>0</v>
      </c>
      <c r="M147" s="23">
        <f>IF(M$4&lt;$C147,0,(SUMIF($J$4:$X$4,$C147,$J$136:$X$136)*M$141)*SUM($J$137:M$137)-SUM($J147:L147))</f>
        <v>0</v>
      </c>
      <c r="N147" s="23">
        <f>IF(N$4&lt;$C147,0,(SUMIF($J$4:$X$4,$C147,$J$136:$X$136)*N$141)*SUM($J$137:N$137)-SUM($J147:M147))</f>
        <v>195357.98158306911</v>
      </c>
      <c r="O147" s="23">
        <f>IF(O$4&lt;$C147,0,(SUMIF($J$4:$X$4,$C147,$J$136:$X$136)*O$141)*SUM($J$137:O$137)-SUM($J147:N147))</f>
        <v>21706.442398118787</v>
      </c>
      <c r="P147" s="23">
        <f>IF(P$4&lt;$C147,0,(SUMIF($J$4:$X$4,$C147,$J$136:$X$136)*P$141)*SUM($J$137:P$137)-SUM($J147:O147))</f>
        <v>0</v>
      </c>
      <c r="Q147" s="23">
        <f>IF(Q$4&lt;$C147,0,(SUMIF($J$4:$X$4,$C147,$J$136:$X$136)*Q$141)*SUM($J$137:Q$137)-SUM($J147:P147))</f>
        <v>0</v>
      </c>
      <c r="R147" s="23">
        <f>IF(R$4&lt;$C147,0,(SUMIF($J$4:$X$4,$C147,$J$136:$X$136)*R$141)*SUM($J$137:R$137)-SUM($J147:Q147))</f>
        <v>0</v>
      </c>
      <c r="S147" s="23">
        <f>IF(S$4&lt;$C147,0,(SUMIF($J$4:$X$4,$C147,$J$136:$X$136)*S$141)*SUM($J$137:S$137)-SUM($J147:R147))</f>
        <v>0</v>
      </c>
      <c r="T147" s="23">
        <f>IF(T$4&lt;$C147,0,(SUMIF($J$4:$X$4,$C147,$J$136:$X$136)*T$141)*SUM($J$137:T$137)-SUM($J147:S147))</f>
        <v>0</v>
      </c>
      <c r="U147" s="23">
        <f>IF(U$4&lt;$C147,0,(SUMIF($J$4:$X$4,$C147,$J$136:$X$136)*U$141)*SUM($J$137:U$137)-SUM($J147:T147))</f>
        <v>0</v>
      </c>
      <c r="V147" s="23">
        <f>IF(V$4&lt;$C147,0,(SUMIF($J$4:$X$4,$C147,$J$136:$X$136)*V$141)*SUM($J$137:V$137)-SUM($J147:U147))</f>
        <v>0</v>
      </c>
      <c r="W147" s="23">
        <f>IF(W$4&lt;$C147,0,(SUMIF($J$4:$X$4,$C147,$J$136:$X$136)*W$141)*SUM($J$137:W$137)-SUM($J147:V147))</f>
        <v>0</v>
      </c>
      <c r="X147" s="23">
        <f>IF(X$4&lt;$C147,0,(SUMIF($J$4:$X$4,$C147,$J$136:$X$136)*X$141)*SUM($J$137:X$137)-SUM($J147:W147))</f>
        <v>0</v>
      </c>
    </row>
    <row r="148" spans="2:24" ht="15" customHeight="1" x14ac:dyDescent="0.3">
      <c r="C148" s="392">
        <v>2030</v>
      </c>
      <c r="F148" s="8"/>
      <c r="G148" s="33">
        <f t="shared" si="57"/>
        <v>361774.03996864648</v>
      </c>
      <c r="H148" s="23">
        <f t="shared" si="58"/>
        <v>217064.42398118789</v>
      </c>
      <c r="I148" s="23"/>
      <c r="J148" s="23">
        <f>IF(J$4&lt;$C148,0,(SUMIF($J$4:$X$4,$C148,$J$136:$X$136)*J$141)*SUM($J$137:J$137)-SUM(I148:$J148))</f>
        <v>0</v>
      </c>
      <c r="K148" s="23">
        <f>IF(K$4&lt;$C148,0,(SUMIF($J$4:$X$4,$C148,$J$136:$X$136)*K$141)*SUM($J$137:K$137)-SUM(J148:$J148))</f>
        <v>0</v>
      </c>
      <c r="L148" s="23">
        <f>IF(L$4&lt;$C148,0,(SUMIF($J$4:$X$4,$C148,$J$136:$X$136)*L$141)*SUM($J$137:L$137)-SUM($J148:K148))</f>
        <v>0</v>
      </c>
      <c r="M148" s="23">
        <f>IF(M$4&lt;$C148,0,(SUMIF($J$4:$X$4,$C148,$J$136:$X$136)*M$141)*SUM($J$137:M$137)-SUM($J148:L148))</f>
        <v>0</v>
      </c>
      <c r="N148" s="23">
        <f>IF(N$4&lt;$C148,0,(SUMIF($J$4:$X$4,$C148,$J$136:$X$136)*N$141)*SUM($J$137:N$137)-SUM($J148:M148))</f>
        <v>0</v>
      </c>
      <c r="O148" s="23">
        <f>IF(O$4&lt;$C148,0,(SUMIF($J$4:$X$4,$C148,$J$136:$X$136)*O$141)*SUM($J$137:O$137)-SUM($J148:N148))</f>
        <v>217064.42398118789</v>
      </c>
      <c r="P148" s="23">
        <f>IF(P$4&lt;$C148,0,(SUMIF($J$4:$X$4,$C148,$J$136:$X$136)*P$141)*SUM($J$137:P$137)-SUM($J148:O148))</f>
        <v>0</v>
      </c>
      <c r="Q148" s="23">
        <f>IF(Q$4&lt;$C148,0,(SUMIF($J$4:$X$4,$C148,$J$136:$X$136)*Q$141)*SUM($J$137:Q$137)-SUM($J148:P148))</f>
        <v>0</v>
      </c>
      <c r="R148" s="23">
        <f>IF(R$4&lt;$C148,0,(SUMIF($J$4:$X$4,$C148,$J$136:$X$136)*R$141)*SUM($J$137:R$137)-SUM($J148:Q148))</f>
        <v>0</v>
      </c>
      <c r="S148" s="23">
        <f>IF(S$4&lt;$C148,0,(SUMIF($J$4:$X$4,$C148,$J$136:$X$136)*S$141)*SUM($J$137:S$137)-SUM($J148:R148))</f>
        <v>0</v>
      </c>
      <c r="T148" s="23">
        <f>IF(T$4&lt;$C148,0,(SUMIF($J$4:$X$4,$C148,$J$136:$X$136)*T$141)*SUM($J$137:T$137)-SUM($J148:S148))</f>
        <v>0</v>
      </c>
      <c r="U148" s="23">
        <f>IF(U$4&lt;$C148,0,(SUMIF($J$4:$X$4,$C148,$J$136:$X$136)*U$141)*SUM($J$137:U$137)-SUM($J148:T148))</f>
        <v>0</v>
      </c>
      <c r="V148" s="23">
        <f>IF(V$4&lt;$C148,0,(SUMIF($J$4:$X$4,$C148,$J$136:$X$136)*V$141)*SUM($J$137:V$137)-SUM($J148:U148))</f>
        <v>0</v>
      </c>
      <c r="W148" s="23">
        <f>IF(W$4&lt;$C148,0,(SUMIF($J$4:$X$4,$C148,$J$136:$X$136)*W$141)*SUM($J$137:W$137)-SUM($J148:V148))</f>
        <v>0</v>
      </c>
      <c r="X148" s="23">
        <f>IF(X$4&lt;$C148,0,(SUMIF($J$4:$X$4,$C148,$J$136:$X$136)*X$141)*SUM($J$137:X$137)-SUM($J148:W148))</f>
        <v>0</v>
      </c>
    </row>
    <row r="149" spans="2:24" ht="15" customHeight="1" x14ac:dyDescent="0.3">
      <c r="C149" s="392">
        <v>2031</v>
      </c>
      <c r="F149" s="8"/>
      <c r="G149" s="33">
        <f t="shared" si="57"/>
        <v>72354.807993729308</v>
      </c>
      <c r="H149" s="23">
        <f t="shared" si="58"/>
        <v>43412.88479623758</v>
      </c>
      <c r="I149" s="23"/>
      <c r="J149" s="23">
        <f>IF(J$4&lt;$C149,0,(SUMIF($J$4:$X$4,$C149,$J$136:$X$136)*J$141)*SUM($J$137:J$137)-SUM(I149:$J149))</f>
        <v>0</v>
      </c>
      <c r="K149" s="23">
        <f>IF(K$4&lt;$C149,0,(SUMIF($J$4:$X$4,$C149,$J$136:$X$136)*K$141)*SUM($J$137:K$137)-SUM(J149:$J149))</f>
        <v>0</v>
      </c>
      <c r="L149" s="23">
        <f>IF(L$4&lt;$C149,0,(SUMIF($J$4:$X$4,$C149,$J$136:$X$136)*L$141)*SUM($J$137:L$137)-SUM($J149:K149))</f>
        <v>0</v>
      </c>
      <c r="M149" s="23">
        <f>IF(M$4&lt;$C149,0,(SUMIF($J$4:$X$4,$C149,$J$136:$X$136)*M$141)*SUM($J$137:M$137)-SUM($J149:L149))</f>
        <v>0</v>
      </c>
      <c r="N149" s="23">
        <f>IF(N$4&lt;$C149,0,(SUMIF($J$4:$X$4,$C149,$J$136:$X$136)*N$141)*SUM($J$137:N$137)-SUM($J149:M149))</f>
        <v>0</v>
      </c>
      <c r="O149" s="23">
        <f>IF(O$4&lt;$C149,0,(SUMIF($J$4:$X$4,$C149,$J$136:$X$136)*O$141)*SUM($J$137:O$137)-SUM($J149:N149))</f>
        <v>0</v>
      </c>
      <c r="P149" s="23">
        <f>IF(P$4&lt;$C149,0,(SUMIF($J$4:$X$4,$C149,$J$136:$X$136)*P$141)*SUM($J$137:P$137)-SUM($J149:O149))</f>
        <v>43412.88479623758</v>
      </c>
      <c r="Q149" s="23">
        <f>IF(Q$4&lt;$C149,0,(SUMIF($J$4:$X$4,$C149,$J$136:$X$136)*Q$141)*SUM($J$137:Q$137)-SUM($J149:P149))</f>
        <v>0</v>
      </c>
      <c r="R149" s="23">
        <f>IF(R$4&lt;$C149,0,(SUMIF($J$4:$X$4,$C149,$J$136:$X$136)*R$141)*SUM($J$137:R$137)-SUM($J149:Q149))</f>
        <v>0</v>
      </c>
      <c r="S149" s="23">
        <f>IF(S$4&lt;$C149,0,(SUMIF($J$4:$X$4,$C149,$J$136:$X$136)*S$141)*SUM($J$137:S$137)-SUM($J149:R149))</f>
        <v>0</v>
      </c>
      <c r="T149" s="23">
        <f>IF(T$4&lt;$C149,0,(SUMIF($J$4:$X$4,$C149,$J$136:$X$136)*T$141)*SUM($J$137:T$137)-SUM($J149:S149))</f>
        <v>0</v>
      </c>
      <c r="U149" s="23">
        <f>IF(U$4&lt;$C149,0,(SUMIF($J$4:$X$4,$C149,$J$136:$X$136)*U$141)*SUM($J$137:U$137)-SUM($J149:T149))</f>
        <v>0</v>
      </c>
      <c r="V149" s="23">
        <f>IF(V$4&lt;$C149,0,(SUMIF($J$4:$X$4,$C149,$J$136:$X$136)*V$141)*SUM($J$137:V$137)-SUM($J149:U149))</f>
        <v>0</v>
      </c>
      <c r="W149" s="23">
        <f>IF(W$4&lt;$C149,0,(SUMIF($J$4:$X$4,$C149,$J$136:$X$136)*W$141)*SUM($J$137:W$137)-SUM($J149:V149))</f>
        <v>0</v>
      </c>
      <c r="X149" s="23">
        <f>IF(X$4&lt;$C149,0,(SUMIF($J$4:$X$4,$C149,$J$136:$X$136)*X$141)*SUM($J$137:X$137)-SUM($J149:W149))</f>
        <v>0</v>
      </c>
    </row>
    <row r="150" spans="2:24" ht="15" customHeight="1" x14ac:dyDescent="0.3">
      <c r="C150" s="49" t="s">
        <v>425</v>
      </c>
      <c r="D150" s="400"/>
      <c r="E150" s="134"/>
      <c r="F150" s="135"/>
      <c r="G150" s="134"/>
      <c r="H150" s="65">
        <f t="shared" ca="1" si="58"/>
        <v>1120593.183429088</v>
      </c>
      <c r="I150" s="65"/>
      <c r="J150" s="65">
        <f t="shared" ref="J150:O150" ca="1" si="59">IF(AND(K141=1,K140=0),SUM(J143:J149,K143:K149),SUM(J143:J149))</f>
        <v>0</v>
      </c>
      <c r="K150" s="65">
        <f t="shared" ca="1" si="59"/>
        <v>0</v>
      </c>
      <c r="L150" s="65">
        <f t="shared" ca="1" si="59"/>
        <v>42598.702668928665</v>
      </c>
      <c r="M150" s="65">
        <f t="shared" ca="1" si="59"/>
        <v>214621.87759926115</v>
      </c>
      <c r="N150" s="65">
        <f t="shared" ca="1" si="59"/>
        <v>516883.70691830642</v>
      </c>
      <c r="O150" s="65">
        <f t="shared" ca="1" si="59"/>
        <v>346488.89624259167</v>
      </c>
      <c r="P150" s="70">
        <f ca="1">IF(AND(Q141=1,Q140=0),SUM(P143:P149,Q143:Q149),SUM(P143:P149))*0</f>
        <v>0</v>
      </c>
      <c r="Q150" s="65">
        <f t="shared" ref="Q150:X150" ca="1" si="60">SUM(Q143:Q149)</f>
        <v>0</v>
      </c>
      <c r="R150" s="65">
        <f t="shared" ca="1" si="60"/>
        <v>0</v>
      </c>
      <c r="S150" s="65">
        <f t="shared" ca="1" si="60"/>
        <v>0</v>
      </c>
      <c r="T150" s="65">
        <f t="shared" ca="1" si="60"/>
        <v>0</v>
      </c>
      <c r="U150" s="65">
        <f t="shared" ca="1" si="60"/>
        <v>0</v>
      </c>
      <c r="V150" s="65">
        <f t="shared" ca="1" si="60"/>
        <v>0</v>
      </c>
      <c r="W150" s="65">
        <f t="shared" ca="1" si="60"/>
        <v>0</v>
      </c>
      <c r="X150" s="65">
        <f t="shared" ca="1" si="60"/>
        <v>0</v>
      </c>
    </row>
    <row r="151" spans="2:24" ht="15" customHeight="1" x14ac:dyDescent="0.3">
      <c r="C151" s="8" t="s">
        <v>426</v>
      </c>
      <c r="F151" s="8"/>
      <c r="H151" s="48">
        <f t="shared" si="58"/>
        <v>747062.12228605873</v>
      </c>
      <c r="I151" s="48"/>
      <c r="J151" s="23">
        <f t="shared" ref="J151:X151" si="61">$H136*J138</f>
        <v>0</v>
      </c>
      <c r="K151" s="23">
        <f t="shared" si="61"/>
        <v>0</v>
      </c>
      <c r="L151" s="23">
        <f t="shared" si="61"/>
        <v>0</v>
      </c>
      <c r="M151" s="23">
        <f t="shared" si="61"/>
        <v>0</v>
      </c>
      <c r="N151" s="23">
        <f t="shared" si="61"/>
        <v>0</v>
      </c>
      <c r="O151" s="23">
        <f t="shared" si="61"/>
        <v>560296.59171454399</v>
      </c>
      <c r="P151" s="23">
        <f t="shared" si="61"/>
        <v>186765.53057151468</v>
      </c>
      <c r="Q151" s="23">
        <f t="shared" si="61"/>
        <v>0</v>
      </c>
      <c r="R151" s="23">
        <f t="shared" si="61"/>
        <v>0</v>
      </c>
      <c r="S151" s="23">
        <f t="shared" si="61"/>
        <v>0</v>
      </c>
      <c r="T151" s="23">
        <f t="shared" si="61"/>
        <v>0</v>
      </c>
      <c r="U151" s="23">
        <f t="shared" si="61"/>
        <v>0</v>
      </c>
      <c r="V151" s="23">
        <f t="shared" si="61"/>
        <v>0</v>
      </c>
      <c r="W151" s="23">
        <f t="shared" si="61"/>
        <v>0</v>
      </c>
      <c r="X151" s="23">
        <f t="shared" si="61"/>
        <v>0</v>
      </c>
    </row>
    <row r="152" spans="2:24" ht="15" customHeight="1" x14ac:dyDescent="0.3">
      <c r="C152" s="49" t="s">
        <v>439</v>
      </c>
      <c r="D152" s="400"/>
      <c r="E152" s="135"/>
      <c r="F152" s="134"/>
      <c r="G152" s="65"/>
      <c r="H152" s="65">
        <f t="shared" ca="1" si="58"/>
        <v>1867655.3057151465</v>
      </c>
      <c r="I152" s="65"/>
      <c r="J152" s="65">
        <f t="shared" ref="J152:X152" ca="1" si="62">J150+J151</f>
        <v>0</v>
      </c>
      <c r="K152" s="65">
        <f t="shared" ca="1" si="62"/>
        <v>0</v>
      </c>
      <c r="L152" s="65">
        <f t="shared" ca="1" si="62"/>
        <v>42598.702668928665</v>
      </c>
      <c r="M152" s="65">
        <f t="shared" ca="1" si="62"/>
        <v>214621.87759926115</v>
      </c>
      <c r="N152" s="65">
        <f t="shared" ca="1" si="62"/>
        <v>516883.70691830642</v>
      </c>
      <c r="O152" s="65">
        <f t="shared" ca="1" si="62"/>
        <v>906785.48795713566</v>
      </c>
      <c r="P152" s="65">
        <f t="shared" ca="1" si="62"/>
        <v>186765.53057151468</v>
      </c>
      <c r="Q152" s="65">
        <f t="shared" ca="1" si="62"/>
        <v>0</v>
      </c>
      <c r="R152" s="65">
        <f t="shared" ca="1" si="62"/>
        <v>0</v>
      </c>
      <c r="S152" s="65">
        <f t="shared" ca="1" si="62"/>
        <v>0</v>
      </c>
      <c r="T152" s="65">
        <f t="shared" ca="1" si="62"/>
        <v>0</v>
      </c>
      <c r="U152" s="65">
        <f t="shared" ca="1" si="62"/>
        <v>0</v>
      </c>
      <c r="V152" s="65">
        <f t="shared" ca="1" si="62"/>
        <v>0</v>
      </c>
      <c r="W152" s="65">
        <f t="shared" ca="1" si="62"/>
        <v>0</v>
      </c>
      <c r="X152" s="65">
        <f t="shared" ca="1" si="62"/>
        <v>0</v>
      </c>
    </row>
    <row r="153" spans="2:24" ht="15" customHeight="1" x14ac:dyDescent="0.3">
      <c r="F153" s="8"/>
    </row>
    <row r="154" spans="2:24" ht="15" customHeight="1" x14ac:dyDescent="0.3">
      <c r="B154" s="117"/>
      <c r="C154" s="117" t="s">
        <v>91</v>
      </c>
      <c r="D154" s="399">
        <v>2</v>
      </c>
      <c r="E154" s="131"/>
      <c r="F154" s="132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</row>
    <row r="155" spans="2:24" ht="15" customHeight="1" x14ac:dyDescent="0.3">
      <c r="C155" s="8" t="s">
        <v>436</v>
      </c>
      <c r="D155" s="401" t="str">
        <f>$D$117</f>
        <v>YES</v>
      </c>
      <c r="F155" s="8"/>
      <c r="H155" s="48">
        <f>SUM(J155:X155)</f>
        <v>649071.72517854755</v>
      </c>
      <c r="I155" s="48"/>
      <c r="J155" s="242">
        <f>IF($D155="Yes",Capex!L217,Capex!L125)</f>
        <v>0</v>
      </c>
      <c r="K155" s="242">
        <f>IF($D136="Yes",Capex!M217,Capex!M125)</f>
        <v>249995.26058396822</v>
      </c>
      <c r="L155" s="242">
        <f>IF($D136="Yes",Capex!N217,Capex!N125)</f>
        <v>110854.57349849424</v>
      </c>
      <c r="M155" s="242">
        <f>IF($D136="Yes",Capex!O217,Capex!O125)</f>
        <v>133025.48819819308</v>
      </c>
      <c r="N155" s="242">
        <f>IF($D136="Yes",Capex!P217,Capex!P125)</f>
        <v>110854.57349849424</v>
      </c>
      <c r="O155" s="242">
        <f>IF($D136="Yes",Capex!Q217,Capex!Q125)</f>
        <v>44341.829399397691</v>
      </c>
      <c r="P155" s="242">
        <f>IF($D136="Yes",Capex!R217,Capex!R125)</f>
        <v>0</v>
      </c>
      <c r="Q155" s="242">
        <f>IF($D136="Yes",Capex!S217,Capex!S125)</f>
        <v>0</v>
      </c>
      <c r="R155" s="242">
        <f>IF($D136="Yes",Capex!T217,Capex!T125)</f>
        <v>0</v>
      </c>
      <c r="S155" s="242">
        <f>IF($D136="Yes",Capex!U217,Capex!U125)</f>
        <v>0</v>
      </c>
      <c r="T155" s="242">
        <f>IF($D136="Yes",Capex!V217,Capex!V125)</f>
        <v>0</v>
      </c>
      <c r="U155" s="242">
        <f>IF($D136="Yes",Capex!W217,Capex!W125)</f>
        <v>0</v>
      </c>
      <c r="V155" s="242">
        <f>IF($D136="Yes",Capex!X217,Capex!X125)</f>
        <v>0</v>
      </c>
      <c r="W155" s="242">
        <f>IF($D136="Yes",Capex!Y217,Capex!Y125)</f>
        <v>0</v>
      </c>
      <c r="X155" s="242">
        <f>IF($D136="Yes",Capex!Z217,Capex!Z125)</f>
        <v>0</v>
      </c>
    </row>
    <row r="156" spans="2:24" ht="15" customHeight="1" x14ac:dyDescent="0.3">
      <c r="C156" s="8" t="s">
        <v>435</v>
      </c>
      <c r="F156" s="8"/>
      <c r="H156" s="246">
        <f>SUM(J156:X156)</f>
        <v>0</v>
      </c>
      <c r="I156" s="247"/>
      <c r="J156" s="248">
        <f>Revenue!L208</f>
        <v>0</v>
      </c>
      <c r="K156" s="248">
        <f>Revenue!M208</f>
        <v>0</v>
      </c>
      <c r="L156" s="248">
        <f>Revenue!N208</f>
        <v>0</v>
      </c>
      <c r="M156" s="248">
        <f>Revenue!O208</f>
        <v>0</v>
      </c>
      <c r="N156" s="248">
        <f>Revenue!P208</f>
        <v>0</v>
      </c>
      <c r="O156" s="248">
        <v>0</v>
      </c>
      <c r="P156" s="248">
        <f>Revenue!R208</f>
        <v>0</v>
      </c>
      <c r="Q156" s="248">
        <f>Revenue!S208</f>
        <v>0</v>
      </c>
      <c r="R156" s="248">
        <f>Revenue!T208</f>
        <v>0</v>
      </c>
      <c r="S156" s="248">
        <f>Revenue!U208</f>
        <v>0</v>
      </c>
      <c r="T156" s="248">
        <f>Revenue!V208</f>
        <v>0</v>
      </c>
      <c r="U156" s="248">
        <f>Revenue!W208</f>
        <v>0</v>
      </c>
      <c r="V156" s="248">
        <f>Revenue!X208</f>
        <v>0</v>
      </c>
      <c r="W156" s="248">
        <f>Revenue!Y208</f>
        <v>0</v>
      </c>
      <c r="X156" s="248">
        <f>Revenue!Z208</f>
        <v>0</v>
      </c>
    </row>
    <row r="157" spans="2:24" ht="15" customHeight="1" x14ac:dyDescent="0.3">
      <c r="C157" s="8" t="s">
        <v>434</v>
      </c>
      <c r="F157" s="8"/>
      <c r="H157" s="246">
        <f>SUM(J157:X157)</f>
        <v>1</v>
      </c>
      <c r="I157" s="247"/>
      <c r="J157" s="248">
        <v>0</v>
      </c>
      <c r="K157" s="248">
        <v>0</v>
      </c>
      <c r="L157" s="248">
        <v>0</v>
      </c>
      <c r="M157" s="248">
        <v>0</v>
      </c>
      <c r="N157" s="248">
        <v>0</v>
      </c>
      <c r="O157" s="248">
        <v>1</v>
      </c>
      <c r="P157" s="248">
        <v>0</v>
      </c>
      <c r="Q157" s="248">
        <v>0</v>
      </c>
      <c r="R157" s="248">
        <v>0</v>
      </c>
      <c r="S157" s="248">
        <v>0</v>
      </c>
      <c r="T157" s="248">
        <v>0</v>
      </c>
      <c r="U157" s="248">
        <v>0</v>
      </c>
      <c r="V157" s="248">
        <v>0</v>
      </c>
      <c r="W157" s="248">
        <v>0</v>
      </c>
      <c r="X157" s="248">
        <v>0</v>
      </c>
    </row>
    <row r="158" spans="2:24" ht="15" customHeight="1" x14ac:dyDescent="0.3">
      <c r="C158" s="8" t="s">
        <v>437</v>
      </c>
      <c r="F158" s="8"/>
      <c r="H158" s="23">
        <f>SUM(J158:X158)</f>
        <v>0</v>
      </c>
      <c r="I158" s="23"/>
      <c r="J158" s="23">
        <f t="shared" ref="J158:X158" si="63">$H$155*J156</f>
        <v>0</v>
      </c>
      <c r="K158" s="23">
        <f t="shared" si="63"/>
        <v>0</v>
      </c>
      <c r="L158" s="23">
        <f t="shared" si="63"/>
        <v>0</v>
      </c>
      <c r="M158" s="23">
        <f t="shared" si="63"/>
        <v>0</v>
      </c>
      <c r="N158" s="23">
        <f t="shared" si="63"/>
        <v>0</v>
      </c>
      <c r="O158" s="23">
        <f t="shared" si="63"/>
        <v>0</v>
      </c>
      <c r="P158" s="23">
        <f t="shared" si="63"/>
        <v>0</v>
      </c>
      <c r="Q158" s="23">
        <f t="shared" si="63"/>
        <v>0</v>
      </c>
      <c r="R158" s="23">
        <f t="shared" si="63"/>
        <v>0</v>
      </c>
      <c r="S158" s="23">
        <f t="shared" si="63"/>
        <v>0</v>
      </c>
      <c r="T158" s="23">
        <f t="shared" si="63"/>
        <v>0</v>
      </c>
      <c r="U158" s="23">
        <f t="shared" si="63"/>
        <v>0</v>
      </c>
      <c r="V158" s="23">
        <f t="shared" si="63"/>
        <v>0</v>
      </c>
      <c r="W158" s="23">
        <f t="shared" si="63"/>
        <v>0</v>
      </c>
      <c r="X158" s="23">
        <f t="shared" si="63"/>
        <v>0</v>
      </c>
    </row>
    <row r="159" spans="2:24" ht="15" customHeight="1" x14ac:dyDescent="0.3">
      <c r="C159" s="8" t="s">
        <v>87</v>
      </c>
      <c r="F159" s="8"/>
      <c r="H159" s="23"/>
      <c r="I159" s="23"/>
      <c r="J159" s="249">
        <f>Revenue!L208</f>
        <v>0</v>
      </c>
      <c r="K159" s="249">
        <f>Revenue!M208</f>
        <v>0</v>
      </c>
      <c r="L159" s="249">
        <f>Revenue!N208</f>
        <v>0</v>
      </c>
      <c r="M159" s="249">
        <f>Revenue!O208</f>
        <v>0</v>
      </c>
      <c r="N159" s="249">
        <f>Revenue!P208</f>
        <v>0</v>
      </c>
      <c r="O159" s="249">
        <f>Revenue!Q208</f>
        <v>1</v>
      </c>
      <c r="P159" s="249">
        <f>Revenue!R208</f>
        <v>0</v>
      </c>
      <c r="Q159" s="249">
        <f>Revenue!S208</f>
        <v>0</v>
      </c>
      <c r="R159" s="249">
        <f>Revenue!T208</f>
        <v>0</v>
      </c>
      <c r="S159" s="249">
        <f>Revenue!U208</f>
        <v>0</v>
      </c>
      <c r="T159" s="249">
        <f>Revenue!V208</f>
        <v>0</v>
      </c>
      <c r="U159" s="249">
        <f>Revenue!W208</f>
        <v>0</v>
      </c>
      <c r="V159" s="249">
        <f>Revenue!X208</f>
        <v>0</v>
      </c>
      <c r="W159" s="249">
        <f>Revenue!Y208</f>
        <v>0</v>
      </c>
      <c r="X159" s="249">
        <f>Revenue!Z208</f>
        <v>0</v>
      </c>
    </row>
    <row r="160" spans="2:24" ht="15" customHeight="1" x14ac:dyDescent="0.3">
      <c r="C160" s="8" t="s">
        <v>88</v>
      </c>
      <c r="F160" s="8"/>
      <c r="H160" s="23"/>
      <c r="I160" s="23"/>
      <c r="J160" s="249">
        <f>Revenue!L209</f>
        <v>0</v>
      </c>
      <c r="K160" s="249">
        <f>Revenue!M209</f>
        <v>0</v>
      </c>
      <c r="L160" s="249">
        <f>Revenue!N209</f>
        <v>0</v>
      </c>
      <c r="M160" s="249">
        <f>Revenue!O209</f>
        <v>0</v>
      </c>
      <c r="N160" s="249">
        <f>Revenue!P209</f>
        <v>0</v>
      </c>
      <c r="O160" s="249">
        <f>Revenue!Q209</f>
        <v>1</v>
      </c>
      <c r="P160" s="249">
        <f>Revenue!R209</f>
        <v>1</v>
      </c>
      <c r="Q160" s="249">
        <f>Revenue!S209</f>
        <v>1</v>
      </c>
      <c r="R160" s="249">
        <f>Revenue!T209</f>
        <v>1</v>
      </c>
      <c r="S160" s="249">
        <f>Revenue!U209</f>
        <v>1</v>
      </c>
      <c r="T160" s="249">
        <f>Revenue!V209</f>
        <v>1</v>
      </c>
      <c r="U160" s="249">
        <f>Revenue!W209</f>
        <v>1</v>
      </c>
      <c r="V160" s="249">
        <f>Revenue!X209</f>
        <v>1</v>
      </c>
      <c r="W160" s="249">
        <f>Revenue!Y209</f>
        <v>1</v>
      </c>
      <c r="X160" s="249">
        <f>Revenue!Z209</f>
        <v>1</v>
      </c>
    </row>
    <row r="161" spans="2:24" ht="15" customHeight="1" x14ac:dyDescent="0.3">
      <c r="C161" s="91" t="s">
        <v>433</v>
      </c>
      <c r="F161" s="8"/>
    </row>
    <row r="162" spans="2:24" ht="15" customHeight="1" x14ac:dyDescent="0.3">
      <c r="C162" s="392">
        <v>2025</v>
      </c>
      <c r="F162" s="8"/>
      <c r="G162" s="33">
        <f t="shared" ref="G162:G168" si="64">SUMIF($J$4:$X$4,$C162,$J$155:$X$155)</f>
        <v>0</v>
      </c>
      <c r="H162" s="23">
        <f t="shared" ref="H162:H171" ca="1" si="65">SUM(J162:X162)</f>
        <v>0</v>
      </c>
      <c r="I162" s="23"/>
      <c r="J162" s="23">
        <f ca="1">IF(J$4&lt;$C162,0,(SUMIF($J$4:$X$4,$C162,$J$155:$X$155)*J$160)*SUM($J$156:J$156)-SUM(I162:$J162))</f>
        <v>0</v>
      </c>
      <c r="K162" s="23">
        <f ca="1">IF(K$4&lt;$C162,0,(SUMIF($J$4:$X$4,$C162,$J$155:$X$155)*K$160)*SUM($J$156:K$156)-SUM(J162:$J162))</f>
        <v>0</v>
      </c>
      <c r="L162" s="23">
        <f ca="1">IF(L$4&lt;$C162,0,(SUMIF($J$4:$X$4,$C162,$J$155:$X$155)*L$160)*SUM($J$156:L$156)-SUM($J162:K162))</f>
        <v>0</v>
      </c>
      <c r="M162" s="23">
        <f ca="1">IF(M$4&lt;$C162,0,(SUMIF($J$4:$X$4,$C162,$J$155:$X$155)*M$160)*SUM($J$156:M$156)-SUM($J162:L162))</f>
        <v>0</v>
      </c>
      <c r="N162" s="23">
        <f ca="1">IF(N$4&lt;$C162,0,(SUMIF($J$4:$X$4,$C162,$J$155:$X$155)*N$160)*SUM($J$156:N$156)-SUM($J162:M162))</f>
        <v>0</v>
      </c>
      <c r="O162" s="23">
        <f ca="1">IF(O$4&lt;$C162,0,(SUMIF($J$4:$X$4,$C162,$J$155:$X$155)*O$160)*SUM($J$156:O$156)-SUM($J162:N162))</f>
        <v>0</v>
      </c>
      <c r="P162" s="23">
        <f ca="1">IF(P$4&lt;$C162,0,(SUMIF($J$4:$X$4,$C162,$J$155:$X$155)*P$160)*SUM($J$156:P$156)-SUM($J162:O162))</f>
        <v>0</v>
      </c>
      <c r="Q162" s="23">
        <f ca="1">IF(Q$4&lt;$C162,0,(SUMIF($J$4:$X$4,$C162,$J$155:$X$155)*Q$160)*SUM($J$156:Q$156)-SUM($J162:P162))</f>
        <v>0</v>
      </c>
      <c r="R162" s="23">
        <f ca="1">IF(R$4&lt;$C162,0,(SUMIF($J$4:$X$4,$C162,$J$155:$X$155)*R$160)*SUM($J$156:R$156)-SUM($J162:Q162))</f>
        <v>0</v>
      </c>
      <c r="S162" s="23">
        <f ca="1">IF(S$4&lt;$C162,0,(SUMIF($J$4:$X$4,$C162,$J$155:$X$155)*S$160)*SUM($J$156:S$156)-SUM($J162:R162))</f>
        <v>0</v>
      </c>
      <c r="T162" s="23">
        <f ca="1">IF(T$4&lt;$C162,0,(SUMIF($J$4:$X$4,$C162,$J$155:$X$155)*T$160)*SUM($J$156:T$156)-SUM($J162:S162))</f>
        <v>0</v>
      </c>
      <c r="U162" s="23">
        <f ca="1">IF(U$4&lt;$C162,0,(SUMIF($J$4:$X$4,$C162,$J$155:$X$155)*U$160)*SUM($J$156:U$156)-SUM($J162:T162))</f>
        <v>0</v>
      </c>
      <c r="V162" s="23">
        <f ca="1">IF(V$4&lt;$C162,0,(SUMIF($J$4:$X$4,$C162,$J$155:$X$155)*V$160)*SUM($J$156:V$156)-SUM($J162:U162))</f>
        <v>0</v>
      </c>
      <c r="W162" s="23">
        <f ca="1">IF(W$4&lt;$C162,0,(SUMIF($J$4:$X$4,$C162,$J$155:$X$155)*W$160)*SUM($J$156:W$156)-SUM($J162:V162))</f>
        <v>0</v>
      </c>
      <c r="X162" s="23">
        <f ca="1">IF(X$4&lt;$C162,0,(SUMIF($J$4:$X$4,$C162,$J$155:$X$155)*X$160)*SUM($J$156:X$156)-SUM($J162:W162))</f>
        <v>0</v>
      </c>
    </row>
    <row r="163" spans="2:24" ht="15" customHeight="1" x14ac:dyDescent="0.3">
      <c r="C163" s="392">
        <v>2026</v>
      </c>
      <c r="F163" s="8"/>
      <c r="G163" s="33">
        <f t="shared" si="64"/>
        <v>249995.26058396822</v>
      </c>
      <c r="H163" s="23">
        <f t="shared" si="65"/>
        <v>0</v>
      </c>
      <c r="I163" s="23"/>
      <c r="J163" s="23">
        <f>IF(J$4&lt;$C163,0,(SUMIF($J$4:$X$4,$C163,$J$155:$X$155)*J$160)*SUM($J$156:J$156)-SUM(I163:$J163))</f>
        <v>0</v>
      </c>
      <c r="K163" s="23">
        <f>IF(K$4&lt;$C163,0,(SUMIF($J$4:$X$4,$C163,$J$155:$X$155)*K$160)*SUM($J$156:K$156)-SUM(J163:$J163))</f>
        <v>0</v>
      </c>
      <c r="L163" s="23">
        <f>IF(L$4&lt;$C163,0,(SUMIF($J$4:$X$4,$C163,$J$155:$X$155)*L$160)*SUM($J$156:L$156)-SUM($J163:K163))</f>
        <v>0</v>
      </c>
      <c r="M163" s="23">
        <f>IF(M$4&lt;$C163,0,(SUMIF($J$4:$X$4,$C163,$J$155:$X$155)*M$160)*SUM($J$156:M$156)-SUM($J163:L163))</f>
        <v>0</v>
      </c>
      <c r="N163" s="23">
        <f>IF(N$4&lt;$C163,0,(SUMIF($J$4:$X$4,$C163,$J$155:$X$155)*N$160)*SUM($J$156:N$156)-SUM($J163:M163))</f>
        <v>0</v>
      </c>
      <c r="O163" s="23">
        <f>IF(O$4&lt;$C163,0,(SUMIF($J$4:$X$4,$C163,$J$155:$X$155)*O$160)*SUM($J$156:O$156)-SUM($J163:N163))</f>
        <v>0</v>
      </c>
      <c r="P163" s="23">
        <f>IF(P$4&lt;$C163,0,(SUMIF($J$4:$X$4,$C163,$J$155:$X$155)*P$160)*SUM($J$156:P$156)-SUM($J163:O163))</f>
        <v>0</v>
      </c>
      <c r="Q163" s="23">
        <f>IF(Q$4&lt;$C163,0,(SUMIF($J$4:$X$4,$C163,$J$155:$X$155)*Q$160)*SUM($J$156:Q$156)-SUM($J163:P163))</f>
        <v>0</v>
      </c>
      <c r="R163" s="23">
        <f>IF(R$4&lt;$C163,0,(SUMIF($J$4:$X$4,$C163,$J$155:$X$155)*R$160)*SUM($J$156:R$156)-SUM($J163:Q163))</f>
        <v>0</v>
      </c>
      <c r="S163" s="23">
        <f>IF(S$4&lt;$C163,0,(SUMIF($J$4:$X$4,$C163,$J$155:$X$155)*S$160)*SUM($J$156:S$156)-SUM($J163:R163))</f>
        <v>0</v>
      </c>
      <c r="T163" s="23">
        <f>IF(T$4&lt;$C163,0,(SUMIF($J$4:$X$4,$C163,$J$155:$X$155)*T$160)*SUM($J$156:T$156)-SUM($J163:S163))</f>
        <v>0</v>
      </c>
      <c r="U163" s="23">
        <f>IF(U$4&lt;$C163,0,(SUMIF($J$4:$X$4,$C163,$J$155:$X$155)*U$160)*SUM($J$156:U$156)-SUM($J163:T163))</f>
        <v>0</v>
      </c>
      <c r="V163" s="23">
        <f>IF(V$4&lt;$C163,0,(SUMIF($J$4:$X$4,$C163,$J$155:$X$155)*V$160)*SUM($J$156:V$156)-SUM($J163:U163))</f>
        <v>0</v>
      </c>
      <c r="W163" s="23">
        <f>IF(W$4&lt;$C163,0,(SUMIF($J$4:$X$4,$C163,$J$155:$X$155)*W$160)*SUM($J$156:W$156)-SUM($J163:V163))</f>
        <v>0</v>
      </c>
      <c r="X163" s="23">
        <f>IF(X$4&lt;$C163,0,(SUMIF($J$4:$X$4,$C163,$J$155:$X$155)*X$160)*SUM($J$156:X$156)-SUM($J163:W163))</f>
        <v>0</v>
      </c>
    </row>
    <row r="164" spans="2:24" ht="15" customHeight="1" x14ac:dyDescent="0.3">
      <c r="C164" s="392">
        <v>2027</v>
      </c>
      <c r="F164" s="8"/>
      <c r="G164" s="33">
        <f t="shared" si="64"/>
        <v>110854.57349849424</v>
      </c>
      <c r="H164" s="23">
        <f t="shared" si="65"/>
        <v>0</v>
      </c>
      <c r="I164" s="23"/>
      <c r="J164" s="23">
        <f>IF(J$4&lt;$C164,0,(SUMIF($J$4:$X$4,$C164,$J$155:$X$155)*J$160)*SUM($J$156:J$156)-SUM(I164:$J164))</f>
        <v>0</v>
      </c>
      <c r="K164" s="23">
        <f>IF(K$4&lt;$C164,0,(SUMIF($J$4:$X$4,$C164,$J$155:$X$155)*K$160)*SUM($J$156:K$156)-SUM(J164:$J164))</f>
        <v>0</v>
      </c>
      <c r="L164" s="23">
        <f>IF(L$4&lt;$C164,0,(SUMIF($J$4:$X$4,$C164,$J$155:$X$155)*L$160)*SUM($J$156:L$156)-SUM($J164:K164))</f>
        <v>0</v>
      </c>
      <c r="M164" s="23">
        <f>IF(M$4&lt;$C164,0,(SUMIF($J$4:$X$4,$C164,$J$155:$X$155)*M$160)*SUM($J$156:M$156)-SUM($J164:L164))</f>
        <v>0</v>
      </c>
      <c r="N164" s="23">
        <f>IF(N$4&lt;$C164,0,(SUMIF($J$4:$X$4,$C164,$J$155:$X$155)*N$160)*SUM($J$156:N$156)-SUM($J164:M164))</f>
        <v>0</v>
      </c>
      <c r="O164" s="23">
        <f>IF(O$4&lt;$C164,0,(SUMIF($J$4:$X$4,$C164,$J$155:$X$155)*O$160)*SUM($J$156:O$156)-SUM($J164:N164))</f>
        <v>0</v>
      </c>
      <c r="P164" s="23">
        <f>IF(P$4&lt;$C164,0,(SUMIF($J$4:$X$4,$C164,$J$155:$X$155)*P$160)*SUM($J$156:P$156)-SUM($J164:O164))</f>
        <v>0</v>
      </c>
      <c r="Q164" s="23">
        <f>IF(Q$4&lt;$C164,0,(SUMIF($J$4:$X$4,$C164,$J$155:$X$155)*Q$160)*SUM($J$156:Q$156)-SUM($J164:P164))</f>
        <v>0</v>
      </c>
      <c r="R164" s="23">
        <f>IF(R$4&lt;$C164,0,(SUMIF($J$4:$X$4,$C164,$J$155:$X$155)*R$160)*SUM($J$156:R$156)-SUM($J164:Q164))</f>
        <v>0</v>
      </c>
      <c r="S164" s="23">
        <f>IF(S$4&lt;$C164,0,(SUMIF($J$4:$X$4,$C164,$J$155:$X$155)*S$160)*SUM($J$156:S$156)-SUM($J164:R164))</f>
        <v>0</v>
      </c>
      <c r="T164" s="23">
        <f>IF(T$4&lt;$C164,0,(SUMIF($J$4:$X$4,$C164,$J$155:$X$155)*T$160)*SUM($J$156:T$156)-SUM($J164:S164))</f>
        <v>0</v>
      </c>
      <c r="U164" s="23">
        <f>IF(U$4&lt;$C164,0,(SUMIF($J$4:$X$4,$C164,$J$155:$X$155)*U$160)*SUM($J$156:U$156)-SUM($J164:T164))</f>
        <v>0</v>
      </c>
      <c r="V164" s="23">
        <f>IF(V$4&lt;$C164,0,(SUMIF($J$4:$X$4,$C164,$J$155:$X$155)*V$160)*SUM($J$156:V$156)-SUM($J164:U164))</f>
        <v>0</v>
      </c>
      <c r="W164" s="23">
        <f>IF(W$4&lt;$C164,0,(SUMIF($J$4:$X$4,$C164,$J$155:$X$155)*W$160)*SUM($J$156:W$156)-SUM($J164:V164))</f>
        <v>0</v>
      </c>
      <c r="X164" s="23">
        <f>IF(X$4&lt;$C164,0,(SUMIF($J$4:$X$4,$C164,$J$155:$X$155)*X$160)*SUM($J$156:X$156)-SUM($J164:W164))</f>
        <v>0</v>
      </c>
    </row>
    <row r="165" spans="2:24" ht="15" customHeight="1" x14ac:dyDescent="0.3">
      <c r="C165" s="392">
        <v>2028</v>
      </c>
      <c r="F165" s="8"/>
      <c r="G165" s="33">
        <f t="shared" si="64"/>
        <v>133025.48819819308</v>
      </c>
      <c r="H165" s="23">
        <f t="shared" si="65"/>
        <v>0</v>
      </c>
      <c r="I165" s="23"/>
      <c r="J165" s="23">
        <f>IF(J$4&lt;$C165,0,(SUMIF($J$4:$X$4,$C165,$J$155:$X$155)*J$160)*SUM($J$156:J$156)-SUM(I165:$J165))</f>
        <v>0</v>
      </c>
      <c r="K165" s="23">
        <f>IF(K$4&lt;$C165,0,(SUMIF($J$4:$X$4,$C165,$J$155:$X$155)*K$160)*SUM($J$156:K$156)-SUM(J165:$J165))</f>
        <v>0</v>
      </c>
      <c r="L165" s="23">
        <f>IF(L$4&lt;$C165,0,(SUMIF($J$4:$X$4,$C165,$J$155:$X$155)*L$160)*SUM($J$156:L$156)-SUM($J165:K165))</f>
        <v>0</v>
      </c>
      <c r="M165" s="23">
        <f>IF(M$4&lt;$C165,0,(SUMIF($J$4:$X$4,$C165,$J$155:$X$155)*M$160)*SUM($J$156:M$156)-SUM($J165:L165))</f>
        <v>0</v>
      </c>
      <c r="N165" s="23">
        <f>IF(N$4&lt;$C165,0,(SUMIF($J$4:$X$4,$C165,$J$155:$X$155)*N$160)*SUM($J$156:N$156)-SUM($J165:M165))</f>
        <v>0</v>
      </c>
      <c r="O165" s="23">
        <f>IF(O$4&lt;$C165,0,(SUMIF($J$4:$X$4,$C165,$J$155:$X$155)*O$160)*SUM($J$156:O$156)-SUM($J165:N165))</f>
        <v>0</v>
      </c>
      <c r="P165" s="23">
        <f>IF(P$4&lt;$C165,0,(SUMIF($J$4:$X$4,$C165,$J$155:$X$155)*P$160)*SUM($J$156:P$156)-SUM($J165:O165))</f>
        <v>0</v>
      </c>
      <c r="Q165" s="23">
        <f>IF(Q$4&lt;$C165,0,(SUMIF($J$4:$X$4,$C165,$J$155:$X$155)*Q$160)*SUM($J$156:Q$156)-SUM($J165:P165))</f>
        <v>0</v>
      </c>
      <c r="R165" s="23">
        <f>IF(R$4&lt;$C165,0,(SUMIF($J$4:$X$4,$C165,$J$155:$X$155)*R$160)*SUM($J$156:R$156)-SUM($J165:Q165))</f>
        <v>0</v>
      </c>
      <c r="S165" s="23">
        <f>IF(S$4&lt;$C165,0,(SUMIF($J$4:$X$4,$C165,$J$155:$X$155)*S$160)*SUM($J$156:S$156)-SUM($J165:R165))</f>
        <v>0</v>
      </c>
      <c r="T165" s="23">
        <f>IF(T$4&lt;$C165,0,(SUMIF($J$4:$X$4,$C165,$J$155:$X$155)*T$160)*SUM($J$156:T$156)-SUM($J165:S165))</f>
        <v>0</v>
      </c>
      <c r="U165" s="23">
        <f>IF(U$4&lt;$C165,0,(SUMIF($J$4:$X$4,$C165,$J$155:$X$155)*U$160)*SUM($J$156:U$156)-SUM($J165:T165))</f>
        <v>0</v>
      </c>
      <c r="V165" s="23">
        <f>IF(V$4&lt;$C165,0,(SUMIF($J$4:$X$4,$C165,$J$155:$X$155)*V$160)*SUM($J$156:V$156)-SUM($J165:U165))</f>
        <v>0</v>
      </c>
      <c r="W165" s="23">
        <f>IF(W$4&lt;$C165,0,(SUMIF($J$4:$X$4,$C165,$J$155:$X$155)*W$160)*SUM($J$156:W$156)-SUM($J165:V165))</f>
        <v>0</v>
      </c>
      <c r="X165" s="23">
        <f>IF(X$4&lt;$C165,0,(SUMIF($J$4:$X$4,$C165,$J$155:$X$155)*X$160)*SUM($J$156:X$156)-SUM($J165:W165))</f>
        <v>0</v>
      </c>
    </row>
    <row r="166" spans="2:24" ht="15" customHeight="1" x14ac:dyDescent="0.3">
      <c r="C166" s="392">
        <v>2029</v>
      </c>
      <c r="F166" s="8"/>
      <c r="G166" s="33">
        <f t="shared" si="64"/>
        <v>110854.57349849424</v>
      </c>
      <c r="H166" s="23">
        <f t="shared" si="65"/>
        <v>0</v>
      </c>
      <c r="I166" s="23"/>
      <c r="J166" s="23">
        <f>IF(J$4&lt;$C166,0,(SUMIF($J$4:$X$4,$C166,$J$155:$X$155)*J$160)*SUM($J$156:J$156)-SUM(I166:$J166))</f>
        <v>0</v>
      </c>
      <c r="K166" s="23">
        <f>IF(K$4&lt;$C166,0,(SUMIF($J$4:$X$4,$C166,$J$155:$X$155)*K$160)*SUM($J$156:K$156)-SUM(J166:$J166))</f>
        <v>0</v>
      </c>
      <c r="L166" s="23">
        <f>IF(L$4&lt;$C166,0,(SUMIF($J$4:$X$4,$C166,$J$155:$X$155)*L$160)*SUM($J$156:L$156)-SUM($J166:K166))</f>
        <v>0</v>
      </c>
      <c r="M166" s="23">
        <f>IF(M$4&lt;$C166,0,(SUMIF($J$4:$X$4,$C166,$J$155:$X$155)*M$160)*SUM($J$156:M$156)-SUM($J166:L166))</f>
        <v>0</v>
      </c>
      <c r="N166" s="23">
        <f>IF(N$4&lt;$C166,0,(SUMIF($J$4:$X$4,$C166,$J$155:$X$155)*N$160)*SUM($J$156:N$156)-SUM($J166:M166))</f>
        <v>0</v>
      </c>
      <c r="O166" s="23">
        <f>IF(O$4&lt;$C166,0,(SUMIF($J$4:$X$4,$C166,$J$155:$X$155)*O$160)*SUM($J$156:O$156)-SUM($J166:N166))</f>
        <v>0</v>
      </c>
      <c r="P166" s="23">
        <f>IF(P$4&lt;$C166,0,(SUMIF($J$4:$X$4,$C166,$J$155:$X$155)*P$160)*SUM($J$156:P$156)-SUM($J166:O166))</f>
        <v>0</v>
      </c>
      <c r="Q166" s="23">
        <f>IF(Q$4&lt;$C166,0,(SUMIF($J$4:$X$4,$C166,$J$155:$X$155)*Q$160)*SUM($J$156:Q$156)-SUM($J166:P166))</f>
        <v>0</v>
      </c>
      <c r="R166" s="23">
        <f>IF(R$4&lt;$C166,0,(SUMIF($J$4:$X$4,$C166,$J$155:$X$155)*R$160)*SUM($J$156:R$156)-SUM($J166:Q166))</f>
        <v>0</v>
      </c>
      <c r="S166" s="23">
        <f>IF(S$4&lt;$C166,0,(SUMIF($J$4:$X$4,$C166,$J$155:$X$155)*S$160)*SUM($J$156:S$156)-SUM($J166:R166))</f>
        <v>0</v>
      </c>
      <c r="T166" s="23">
        <f>IF(T$4&lt;$C166,0,(SUMIF($J$4:$X$4,$C166,$J$155:$X$155)*T$160)*SUM($J$156:T$156)-SUM($J166:S166))</f>
        <v>0</v>
      </c>
      <c r="U166" s="23">
        <f>IF(U$4&lt;$C166,0,(SUMIF($J$4:$X$4,$C166,$J$155:$X$155)*U$160)*SUM($J$156:U$156)-SUM($J166:T166))</f>
        <v>0</v>
      </c>
      <c r="V166" s="23">
        <f>IF(V$4&lt;$C166,0,(SUMIF($J$4:$X$4,$C166,$J$155:$X$155)*V$160)*SUM($J$156:V$156)-SUM($J166:U166))</f>
        <v>0</v>
      </c>
      <c r="W166" s="23">
        <f>IF(W$4&lt;$C166,0,(SUMIF($J$4:$X$4,$C166,$J$155:$X$155)*W$160)*SUM($J$156:W$156)-SUM($J166:V166))</f>
        <v>0</v>
      </c>
      <c r="X166" s="23">
        <f>IF(X$4&lt;$C166,0,(SUMIF($J$4:$X$4,$C166,$J$155:$X$155)*X$160)*SUM($J$156:X$156)-SUM($J166:W166))</f>
        <v>0</v>
      </c>
    </row>
    <row r="167" spans="2:24" ht="15" customHeight="1" x14ac:dyDescent="0.3">
      <c r="C167" s="392">
        <v>2030</v>
      </c>
      <c r="F167" s="8"/>
      <c r="G167" s="33">
        <f t="shared" si="64"/>
        <v>44341.829399397691</v>
      </c>
      <c r="H167" s="23">
        <f t="shared" si="65"/>
        <v>0</v>
      </c>
      <c r="I167" s="23"/>
      <c r="J167" s="23">
        <f>IF(J$4&lt;$C167,0,(SUMIF($J$4:$X$4,$C167,$J$155:$X$155)*J$160)*SUM($J$156:J$156)-SUM(I167:$J167))</f>
        <v>0</v>
      </c>
      <c r="K167" s="23">
        <f>IF(K$4&lt;$C167,0,(SUMIF($J$4:$X$4,$C167,$J$155:$X$155)*K$160)*SUM($J$156:K$156)-SUM(J167:$J167))</f>
        <v>0</v>
      </c>
      <c r="L167" s="23">
        <f>IF(L$4&lt;$C167,0,(SUMIF($J$4:$X$4,$C167,$J$155:$X$155)*L$160)*SUM($J$156:L$156)-SUM($J167:K167))</f>
        <v>0</v>
      </c>
      <c r="M167" s="23">
        <f>IF(M$4&lt;$C167,0,(SUMIF($J$4:$X$4,$C167,$J$155:$X$155)*M$160)*SUM($J$156:M$156)-SUM($J167:L167))</f>
        <v>0</v>
      </c>
      <c r="N167" s="23">
        <f>IF(N$4&lt;$C167,0,(SUMIF($J$4:$X$4,$C167,$J$155:$X$155)*N$160)*SUM($J$156:N$156)-SUM($J167:M167))</f>
        <v>0</v>
      </c>
      <c r="O167" s="23">
        <f>IF(O$4&lt;$C167,0,(SUMIF($J$4:$X$4,$C167,$J$155:$X$155)*O$160)*SUM($J$156:O$156)-SUM($J167:N167))</f>
        <v>0</v>
      </c>
      <c r="P167" s="23">
        <f>IF(P$4&lt;$C167,0,(SUMIF($J$4:$X$4,$C167,$J$155:$X$155)*P$160)*SUM($J$156:P$156)-SUM($J167:O167))</f>
        <v>0</v>
      </c>
      <c r="Q167" s="23">
        <f>IF(Q$4&lt;$C167,0,(SUMIF($J$4:$X$4,$C167,$J$155:$X$155)*Q$160)*SUM($J$156:Q$156)-SUM($J167:P167))</f>
        <v>0</v>
      </c>
      <c r="R167" s="23">
        <f>IF(R$4&lt;$C167,0,(SUMIF($J$4:$X$4,$C167,$J$155:$X$155)*R$160)*SUM($J$156:R$156)-SUM($J167:Q167))</f>
        <v>0</v>
      </c>
      <c r="S167" s="23">
        <f>IF(S$4&lt;$C167,0,(SUMIF($J$4:$X$4,$C167,$J$155:$X$155)*S$160)*SUM($J$156:S$156)-SUM($J167:R167))</f>
        <v>0</v>
      </c>
      <c r="T167" s="23">
        <f>IF(T$4&lt;$C167,0,(SUMIF($J$4:$X$4,$C167,$J$155:$X$155)*T$160)*SUM($J$156:T$156)-SUM($J167:S167))</f>
        <v>0</v>
      </c>
      <c r="U167" s="23">
        <f>IF(U$4&lt;$C167,0,(SUMIF($J$4:$X$4,$C167,$J$155:$X$155)*U$160)*SUM($J$156:U$156)-SUM($J167:T167))</f>
        <v>0</v>
      </c>
      <c r="V167" s="23">
        <f>IF(V$4&lt;$C167,0,(SUMIF($J$4:$X$4,$C167,$J$155:$X$155)*V$160)*SUM($J$156:V$156)-SUM($J167:U167))</f>
        <v>0</v>
      </c>
      <c r="W167" s="23">
        <f>IF(W$4&lt;$C167,0,(SUMIF($J$4:$X$4,$C167,$J$155:$X$155)*W$160)*SUM($J$156:W$156)-SUM($J167:V167))</f>
        <v>0</v>
      </c>
      <c r="X167" s="23">
        <f>IF(X$4&lt;$C167,0,(SUMIF($J$4:$X$4,$C167,$J$155:$X$155)*X$160)*SUM($J$156:X$156)-SUM($J167:W167))</f>
        <v>0</v>
      </c>
    </row>
    <row r="168" spans="2:24" ht="15" customHeight="1" x14ac:dyDescent="0.3">
      <c r="C168" s="392">
        <v>2031</v>
      </c>
      <c r="F168" s="8"/>
      <c r="G168" s="33">
        <f t="shared" si="64"/>
        <v>0</v>
      </c>
      <c r="H168" s="23">
        <f t="shared" si="65"/>
        <v>0</v>
      </c>
      <c r="I168" s="23"/>
      <c r="J168" s="23">
        <f>IF(J$4&lt;$C168,0,(SUMIF($J$4:$X$4,$C168,$J$155:$X$155)*J$160)*SUM($J$156:J$156)-SUM(I168:$J168))</f>
        <v>0</v>
      </c>
      <c r="K168" s="23">
        <f>IF(K$4&lt;$C168,0,(SUMIF($J$4:$X$4,$C168,$J$155:$X$155)*K$160)*SUM($J$156:K$156)-SUM(J168:$J168))</f>
        <v>0</v>
      </c>
      <c r="L168" s="23">
        <f>IF(L$4&lt;$C168,0,(SUMIF($J$4:$X$4,$C168,$J$155:$X$155)*L$160)*SUM($J$156:L$156)-SUM($J168:K168))</f>
        <v>0</v>
      </c>
      <c r="M168" s="23">
        <f>IF(M$4&lt;$C168,0,(SUMIF($J$4:$X$4,$C168,$J$155:$X$155)*M$160)*SUM($J$156:M$156)-SUM($J168:L168))</f>
        <v>0</v>
      </c>
      <c r="N168" s="23">
        <f>IF(N$4&lt;$C168,0,(SUMIF($J$4:$X$4,$C168,$J$155:$X$155)*N$160)*SUM($J$156:N$156)-SUM($J168:M168))</f>
        <v>0</v>
      </c>
      <c r="O168" s="23">
        <f>IF(O$4&lt;$C168,0,(SUMIF($J$4:$X$4,$C168,$J$155:$X$155)*O$160)*SUM($J$156:O$156)-SUM($J168:N168))</f>
        <v>0</v>
      </c>
      <c r="P168" s="23">
        <f>IF(P$4&lt;$C168,0,(SUMIF($J$4:$X$4,$C168,$J$155:$X$155)*P$160)*SUM($J$156:P$156)-SUM($J168:O168))</f>
        <v>0</v>
      </c>
      <c r="Q168" s="23">
        <f>IF(Q$4&lt;$C168,0,(SUMIF($J$4:$X$4,$C168,$J$155:$X$155)*Q$160)*SUM($J$156:Q$156)-SUM($J168:P168))</f>
        <v>0</v>
      </c>
      <c r="R168" s="23">
        <f>IF(R$4&lt;$C168,0,(SUMIF($J$4:$X$4,$C168,$J$155:$X$155)*R$160)*SUM($J$156:R$156)-SUM($J168:Q168))</f>
        <v>0</v>
      </c>
      <c r="S168" s="23">
        <f>IF(S$4&lt;$C168,0,(SUMIF($J$4:$X$4,$C168,$J$155:$X$155)*S$160)*SUM($J$156:S$156)-SUM($J168:R168))</f>
        <v>0</v>
      </c>
      <c r="T168" s="23">
        <f>IF(T$4&lt;$C168,0,(SUMIF($J$4:$X$4,$C168,$J$155:$X$155)*T$160)*SUM($J$156:T$156)-SUM($J168:S168))</f>
        <v>0</v>
      </c>
      <c r="U168" s="23">
        <f>IF(U$4&lt;$C168,0,(SUMIF($J$4:$X$4,$C168,$J$155:$X$155)*U$160)*SUM($J$156:U$156)-SUM($J168:T168))</f>
        <v>0</v>
      </c>
      <c r="V168" s="23">
        <f>IF(V$4&lt;$C168,0,(SUMIF($J$4:$X$4,$C168,$J$155:$X$155)*V$160)*SUM($J$156:V$156)-SUM($J168:U168))</f>
        <v>0</v>
      </c>
      <c r="W168" s="23">
        <f>IF(W$4&lt;$C168,0,(SUMIF($J$4:$X$4,$C168,$J$155:$X$155)*W$160)*SUM($J$156:W$156)-SUM($J168:V168))</f>
        <v>0</v>
      </c>
      <c r="X168" s="23">
        <f>IF(X$4&lt;$C168,0,(SUMIF($J$4:$X$4,$C168,$J$155:$X$155)*X$160)*SUM($J$156:X$156)-SUM($J168:W168))</f>
        <v>0</v>
      </c>
    </row>
    <row r="169" spans="2:24" ht="15" customHeight="1" x14ac:dyDescent="0.3">
      <c r="C169" s="49" t="s">
        <v>425</v>
      </c>
      <c r="D169" s="400"/>
      <c r="E169" s="134"/>
      <c r="F169" s="135"/>
      <c r="G169" s="134"/>
      <c r="H169" s="65">
        <f t="shared" ca="1" si="65"/>
        <v>0</v>
      </c>
      <c r="I169" s="65"/>
      <c r="J169" s="65">
        <f t="shared" ref="J169:X169" ca="1" si="66">SUM(J162:J168)</f>
        <v>0</v>
      </c>
      <c r="K169" s="65">
        <f t="shared" ca="1" si="66"/>
        <v>0</v>
      </c>
      <c r="L169" s="65">
        <f t="shared" ca="1" si="66"/>
        <v>0</v>
      </c>
      <c r="M169" s="65">
        <f t="shared" ca="1" si="66"/>
        <v>0</v>
      </c>
      <c r="N169" s="65">
        <f t="shared" ca="1" si="66"/>
        <v>0</v>
      </c>
      <c r="O169" s="65">
        <f t="shared" ca="1" si="66"/>
        <v>0</v>
      </c>
      <c r="P169" s="65">
        <f t="shared" ca="1" si="66"/>
        <v>0</v>
      </c>
      <c r="Q169" s="65">
        <f t="shared" ca="1" si="66"/>
        <v>0</v>
      </c>
      <c r="R169" s="65">
        <f t="shared" ca="1" si="66"/>
        <v>0</v>
      </c>
      <c r="S169" s="65">
        <f t="shared" ca="1" si="66"/>
        <v>0</v>
      </c>
      <c r="T169" s="65">
        <f t="shared" ca="1" si="66"/>
        <v>0</v>
      </c>
      <c r="U169" s="65">
        <f t="shared" ca="1" si="66"/>
        <v>0</v>
      </c>
      <c r="V169" s="65">
        <f t="shared" ca="1" si="66"/>
        <v>0</v>
      </c>
      <c r="W169" s="65">
        <f t="shared" ca="1" si="66"/>
        <v>0</v>
      </c>
      <c r="X169" s="65">
        <f t="shared" ca="1" si="66"/>
        <v>0</v>
      </c>
    </row>
    <row r="170" spans="2:24" ht="15" customHeight="1" x14ac:dyDescent="0.3">
      <c r="C170" s="8" t="s">
        <v>426</v>
      </c>
      <c r="F170" s="8"/>
      <c r="H170" s="48">
        <f t="shared" si="65"/>
        <v>649071.72517854755</v>
      </c>
      <c r="I170" s="48"/>
      <c r="J170" s="23">
        <f t="shared" ref="J170:X170" si="67">$H155*J157</f>
        <v>0</v>
      </c>
      <c r="K170" s="23">
        <f t="shared" si="67"/>
        <v>0</v>
      </c>
      <c r="L170" s="23">
        <f t="shared" si="67"/>
        <v>0</v>
      </c>
      <c r="M170" s="23">
        <f t="shared" si="67"/>
        <v>0</v>
      </c>
      <c r="N170" s="23">
        <f t="shared" si="67"/>
        <v>0</v>
      </c>
      <c r="O170" s="23">
        <f t="shared" si="67"/>
        <v>649071.72517854755</v>
      </c>
      <c r="P170" s="23">
        <f t="shared" si="67"/>
        <v>0</v>
      </c>
      <c r="Q170" s="23">
        <f t="shared" si="67"/>
        <v>0</v>
      </c>
      <c r="R170" s="23">
        <f t="shared" si="67"/>
        <v>0</v>
      </c>
      <c r="S170" s="23">
        <f t="shared" si="67"/>
        <v>0</v>
      </c>
      <c r="T170" s="23">
        <f t="shared" si="67"/>
        <v>0</v>
      </c>
      <c r="U170" s="23">
        <f t="shared" si="67"/>
        <v>0</v>
      </c>
      <c r="V170" s="23">
        <f t="shared" si="67"/>
        <v>0</v>
      </c>
      <c r="W170" s="23">
        <f t="shared" si="67"/>
        <v>0</v>
      </c>
      <c r="X170" s="23">
        <f t="shared" si="67"/>
        <v>0</v>
      </c>
    </row>
    <row r="171" spans="2:24" ht="15" customHeight="1" x14ac:dyDescent="0.3">
      <c r="C171" s="49" t="s">
        <v>438</v>
      </c>
      <c r="D171" s="400"/>
      <c r="E171" s="135"/>
      <c r="F171" s="134"/>
      <c r="G171" s="65"/>
      <c r="H171" s="65">
        <f t="shared" ca="1" si="65"/>
        <v>649071.72517854755</v>
      </c>
      <c r="I171" s="65"/>
      <c r="J171" s="65">
        <f t="shared" ref="J171:X171" ca="1" si="68">J169+J170</f>
        <v>0</v>
      </c>
      <c r="K171" s="65">
        <f t="shared" ca="1" si="68"/>
        <v>0</v>
      </c>
      <c r="L171" s="65">
        <f t="shared" ca="1" si="68"/>
        <v>0</v>
      </c>
      <c r="M171" s="65">
        <f t="shared" ca="1" si="68"/>
        <v>0</v>
      </c>
      <c r="N171" s="65">
        <f t="shared" ca="1" si="68"/>
        <v>0</v>
      </c>
      <c r="O171" s="65">
        <f t="shared" ca="1" si="68"/>
        <v>649071.72517854755</v>
      </c>
      <c r="P171" s="65">
        <f t="shared" ca="1" si="68"/>
        <v>0</v>
      </c>
      <c r="Q171" s="65">
        <f t="shared" ca="1" si="68"/>
        <v>0</v>
      </c>
      <c r="R171" s="65">
        <f t="shared" ca="1" si="68"/>
        <v>0</v>
      </c>
      <c r="S171" s="65">
        <f t="shared" ca="1" si="68"/>
        <v>0</v>
      </c>
      <c r="T171" s="65">
        <f t="shared" ca="1" si="68"/>
        <v>0</v>
      </c>
      <c r="U171" s="65">
        <f t="shared" ca="1" si="68"/>
        <v>0</v>
      </c>
      <c r="V171" s="65">
        <f t="shared" ca="1" si="68"/>
        <v>0</v>
      </c>
      <c r="W171" s="65">
        <f t="shared" ca="1" si="68"/>
        <v>0</v>
      </c>
      <c r="X171" s="65">
        <f t="shared" ca="1" si="68"/>
        <v>0</v>
      </c>
    </row>
    <row r="172" spans="2:24" ht="15" customHeight="1" x14ac:dyDescent="0.3">
      <c r="C172" s="91"/>
      <c r="F172" s="8"/>
    </row>
    <row r="173" spans="2:24" ht="15" customHeight="1" x14ac:dyDescent="0.3">
      <c r="B173" s="117" t="s">
        <v>440</v>
      </c>
      <c r="C173" s="131"/>
      <c r="D173" s="402"/>
      <c r="E173" s="131"/>
      <c r="F173" s="132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</row>
    <row r="174" spans="2:24" ht="15" customHeight="1" x14ac:dyDescent="0.3">
      <c r="C174" s="8" t="s">
        <v>1</v>
      </c>
      <c r="D174" s="394">
        <v>2</v>
      </c>
      <c r="H174" s="62">
        <f ca="1">SUM(J174:X174)</f>
        <v>1876587.7313017712</v>
      </c>
      <c r="I174" s="62"/>
      <c r="J174" s="46">
        <f t="shared" ref="J174:X174" ca="1" si="69">J133</f>
        <v>0</v>
      </c>
      <c r="K174" s="46">
        <f t="shared" ca="1" si="69"/>
        <v>10415.126670501475</v>
      </c>
      <c r="L174" s="46">
        <f t="shared" ca="1" si="69"/>
        <v>204360.99399050564</v>
      </c>
      <c r="M174" s="46">
        <f t="shared" ca="1" si="69"/>
        <v>614066.7477819816</v>
      </c>
      <c r="N174" s="46">
        <f t="shared" ca="1" si="69"/>
        <v>741861.49440177123</v>
      </c>
      <c r="O174" s="46">
        <f t="shared" ca="1" si="69"/>
        <v>305883.36845701112</v>
      </c>
      <c r="P174" s="46">
        <f t="shared" ca="1" si="69"/>
        <v>0</v>
      </c>
      <c r="Q174" s="46">
        <f t="shared" ca="1" si="69"/>
        <v>0</v>
      </c>
      <c r="R174" s="46">
        <f t="shared" ca="1" si="69"/>
        <v>0</v>
      </c>
      <c r="S174" s="46">
        <f t="shared" ca="1" si="69"/>
        <v>0</v>
      </c>
      <c r="T174" s="46">
        <f t="shared" ca="1" si="69"/>
        <v>0</v>
      </c>
      <c r="U174" s="46">
        <f t="shared" ca="1" si="69"/>
        <v>0</v>
      </c>
      <c r="V174" s="46">
        <f t="shared" ca="1" si="69"/>
        <v>0</v>
      </c>
      <c r="W174" s="46">
        <f t="shared" ca="1" si="69"/>
        <v>0</v>
      </c>
      <c r="X174" s="46">
        <f t="shared" ca="1" si="69"/>
        <v>0</v>
      </c>
    </row>
    <row r="175" spans="2:24" ht="15" customHeight="1" x14ac:dyDescent="0.3">
      <c r="C175" s="8" t="s">
        <v>2</v>
      </c>
      <c r="D175" s="394">
        <v>3</v>
      </c>
      <c r="H175" s="62">
        <f ca="1">SUM(J175:X175)</f>
        <v>1867655.3057151465</v>
      </c>
      <c r="I175" s="62"/>
      <c r="J175" s="46">
        <f t="shared" ref="J175:X175" ca="1" si="70">J152</f>
        <v>0</v>
      </c>
      <c r="K175" s="46">
        <f t="shared" ca="1" si="70"/>
        <v>0</v>
      </c>
      <c r="L175" s="46">
        <f t="shared" ca="1" si="70"/>
        <v>42598.702668928665</v>
      </c>
      <c r="M175" s="46">
        <f t="shared" ca="1" si="70"/>
        <v>214621.87759926115</v>
      </c>
      <c r="N175" s="46">
        <f t="shared" ca="1" si="70"/>
        <v>516883.70691830642</v>
      </c>
      <c r="O175" s="46">
        <f t="shared" ca="1" si="70"/>
        <v>906785.48795713566</v>
      </c>
      <c r="P175" s="46">
        <f t="shared" ca="1" si="70"/>
        <v>186765.53057151468</v>
      </c>
      <c r="Q175" s="46">
        <f t="shared" ca="1" si="70"/>
        <v>0</v>
      </c>
      <c r="R175" s="46">
        <f t="shared" ca="1" si="70"/>
        <v>0</v>
      </c>
      <c r="S175" s="46">
        <f t="shared" ca="1" si="70"/>
        <v>0</v>
      </c>
      <c r="T175" s="46">
        <f t="shared" ca="1" si="70"/>
        <v>0</v>
      </c>
      <c r="U175" s="46">
        <f t="shared" ca="1" si="70"/>
        <v>0</v>
      </c>
      <c r="V175" s="46">
        <f t="shared" ca="1" si="70"/>
        <v>0</v>
      </c>
      <c r="W175" s="46">
        <f t="shared" ca="1" si="70"/>
        <v>0</v>
      </c>
      <c r="X175" s="46">
        <f t="shared" ca="1" si="70"/>
        <v>0</v>
      </c>
    </row>
    <row r="176" spans="2:24" ht="15" customHeight="1" x14ac:dyDescent="0.3">
      <c r="C176" s="136" t="s">
        <v>429</v>
      </c>
      <c r="D176" s="394">
        <v>2</v>
      </c>
      <c r="H176" s="62">
        <f ca="1">SUM(J176:X176)</f>
        <v>649071.72517854755</v>
      </c>
      <c r="I176" s="62"/>
      <c r="J176" s="46">
        <f t="shared" ref="J176:X176" ca="1" si="71">J171</f>
        <v>0</v>
      </c>
      <c r="K176" s="46">
        <f t="shared" ca="1" si="71"/>
        <v>0</v>
      </c>
      <c r="L176" s="46">
        <f t="shared" ca="1" si="71"/>
        <v>0</v>
      </c>
      <c r="M176" s="46">
        <f t="shared" ca="1" si="71"/>
        <v>0</v>
      </c>
      <c r="N176" s="46">
        <f t="shared" ca="1" si="71"/>
        <v>0</v>
      </c>
      <c r="O176" s="46">
        <f t="shared" ca="1" si="71"/>
        <v>649071.72517854755</v>
      </c>
      <c r="P176" s="46">
        <f t="shared" ca="1" si="71"/>
        <v>0</v>
      </c>
      <c r="Q176" s="46">
        <f t="shared" ca="1" si="71"/>
        <v>0</v>
      </c>
      <c r="R176" s="46">
        <f t="shared" ca="1" si="71"/>
        <v>0</v>
      </c>
      <c r="S176" s="46">
        <f t="shared" ca="1" si="71"/>
        <v>0</v>
      </c>
      <c r="T176" s="46">
        <f t="shared" ca="1" si="71"/>
        <v>0</v>
      </c>
      <c r="U176" s="46">
        <f t="shared" ca="1" si="71"/>
        <v>0</v>
      </c>
      <c r="V176" s="46">
        <f t="shared" ca="1" si="71"/>
        <v>0</v>
      </c>
      <c r="W176" s="46">
        <f t="shared" ca="1" si="71"/>
        <v>0</v>
      </c>
      <c r="X176" s="46">
        <f t="shared" ca="1" si="71"/>
        <v>0</v>
      </c>
    </row>
    <row r="177" spans="2:24" ht="15" customHeight="1" x14ac:dyDescent="0.3">
      <c r="B177" s="49" t="s">
        <v>441</v>
      </c>
      <c r="C177" s="134"/>
      <c r="D177" s="400"/>
      <c r="E177" s="134"/>
      <c r="F177" s="135"/>
      <c r="G177" s="134"/>
      <c r="H177" s="65">
        <f ca="1">SUM(J177:X177)</f>
        <v>4393314.7621954661</v>
      </c>
      <c r="I177" s="65"/>
      <c r="J177" s="65">
        <f t="shared" ref="J177:X177" ca="1" si="72">J174+J175+J176</f>
        <v>0</v>
      </c>
      <c r="K177" s="65">
        <f t="shared" ca="1" si="72"/>
        <v>10415.126670501475</v>
      </c>
      <c r="L177" s="65">
        <f t="shared" ca="1" si="72"/>
        <v>246959.6966594343</v>
      </c>
      <c r="M177" s="65">
        <f t="shared" ca="1" si="72"/>
        <v>828688.62538124272</v>
      </c>
      <c r="N177" s="65">
        <f t="shared" ca="1" si="72"/>
        <v>1258745.2013200778</v>
      </c>
      <c r="O177" s="65">
        <f t="shared" ca="1" si="72"/>
        <v>1861740.5815926944</v>
      </c>
      <c r="P177" s="65">
        <f t="shared" ca="1" si="72"/>
        <v>186765.53057151468</v>
      </c>
      <c r="Q177" s="65">
        <f t="shared" ca="1" si="72"/>
        <v>0</v>
      </c>
      <c r="R177" s="65">
        <f t="shared" ca="1" si="72"/>
        <v>0</v>
      </c>
      <c r="S177" s="65">
        <f t="shared" ca="1" si="72"/>
        <v>0</v>
      </c>
      <c r="T177" s="65">
        <f t="shared" ca="1" si="72"/>
        <v>0</v>
      </c>
      <c r="U177" s="65">
        <f t="shared" ca="1" si="72"/>
        <v>0</v>
      </c>
      <c r="V177" s="65">
        <f t="shared" ca="1" si="72"/>
        <v>0</v>
      </c>
      <c r="W177" s="65">
        <f t="shared" ca="1" si="72"/>
        <v>0</v>
      </c>
      <c r="X177" s="65">
        <f t="shared" ca="1" si="72"/>
        <v>0</v>
      </c>
    </row>
    <row r="178" spans="2:24" ht="15" customHeight="1" x14ac:dyDescent="0.3">
      <c r="C178" s="91"/>
      <c r="F178" s="8"/>
    </row>
    <row r="179" spans="2:24" ht="15" customHeight="1" x14ac:dyDescent="0.3">
      <c r="B179" s="108" t="s">
        <v>428</v>
      </c>
      <c r="C179" s="13"/>
      <c r="D179" s="398"/>
      <c r="E179" s="13"/>
      <c r="F179" s="130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 spans="2:24" ht="15" customHeight="1" x14ac:dyDescent="0.3">
      <c r="F180" s="8"/>
    </row>
    <row r="181" spans="2:24" ht="15" customHeight="1" x14ac:dyDescent="0.3">
      <c r="C181" s="117" t="s">
        <v>430</v>
      </c>
      <c r="D181" s="402"/>
      <c r="E181" s="131"/>
      <c r="F181" s="132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</row>
    <row r="182" spans="2:24" ht="15" customHeight="1" x14ac:dyDescent="0.3">
      <c r="C182" s="8" t="s">
        <v>1</v>
      </c>
      <c r="H182" s="62">
        <f>SUM(J182:X182)</f>
        <v>1325525.2209209299</v>
      </c>
      <c r="I182" s="62"/>
      <c r="J182" s="66">
        <v>0</v>
      </c>
      <c r="K182" s="66">
        <v>5659.4154504338703</v>
      </c>
      <c r="L182" s="66">
        <v>155549.787886815</v>
      </c>
      <c r="M182" s="66">
        <v>516772.50312139402</v>
      </c>
      <c r="N182" s="66">
        <v>503208.704094833</v>
      </c>
      <c r="O182" s="66">
        <v>144334.81036745399</v>
      </c>
      <c r="P182" s="66">
        <v>0</v>
      </c>
      <c r="Q182" s="66">
        <v>0</v>
      </c>
      <c r="R182" s="66">
        <v>0</v>
      </c>
      <c r="S182" s="66">
        <v>0</v>
      </c>
      <c r="T182" s="66">
        <v>0</v>
      </c>
      <c r="U182" s="66">
        <v>0</v>
      </c>
      <c r="V182" s="66">
        <v>0</v>
      </c>
      <c r="W182" s="66">
        <v>0</v>
      </c>
      <c r="X182" s="66">
        <v>0</v>
      </c>
    </row>
    <row r="183" spans="2:24" ht="15" customHeight="1" x14ac:dyDescent="0.3">
      <c r="C183" s="8" t="s">
        <v>2</v>
      </c>
      <c r="H183" s="62">
        <f>SUM(J183:X183)</f>
        <v>1460828.701853316</v>
      </c>
      <c r="I183" s="62"/>
      <c r="J183" s="66">
        <v>0</v>
      </c>
      <c r="K183" s="66">
        <v>0</v>
      </c>
      <c r="L183" s="66">
        <v>49987.147714541999</v>
      </c>
      <c r="M183" s="66">
        <v>250331.26704708199</v>
      </c>
      <c r="N183" s="66">
        <v>461729.37305123499</v>
      </c>
      <c r="O183" s="66">
        <v>552698.04385512602</v>
      </c>
      <c r="P183" s="66">
        <v>146082.870185331</v>
      </c>
      <c r="Q183" s="66">
        <v>0</v>
      </c>
      <c r="R183" s="66">
        <v>0</v>
      </c>
      <c r="S183" s="66">
        <v>0</v>
      </c>
      <c r="T183" s="66">
        <v>0</v>
      </c>
      <c r="U183" s="66">
        <v>0</v>
      </c>
      <c r="V183" s="66">
        <v>0</v>
      </c>
      <c r="W183" s="66">
        <v>0</v>
      </c>
      <c r="X183" s="66">
        <v>0</v>
      </c>
    </row>
    <row r="184" spans="2:24" ht="15" customHeight="1" x14ac:dyDescent="0.3">
      <c r="C184" s="136" t="s">
        <v>429</v>
      </c>
      <c r="H184" s="62">
        <f>SUM(J184:X184)</f>
        <v>448155.93083455198</v>
      </c>
      <c r="I184" s="62"/>
      <c r="J184" s="66">
        <v>0</v>
      </c>
      <c r="K184" s="66">
        <v>0</v>
      </c>
      <c r="L184" s="66">
        <v>0</v>
      </c>
      <c r="M184" s="66">
        <v>0</v>
      </c>
      <c r="N184" s="66">
        <v>0</v>
      </c>
      <c r="O184" s="66">
        <v>448155.93083455198</v>
      </c>
      <c r="P184" s="66">
        <v>0</v>
      </c>
      <c r="Q184" s="66">
        <v>0</v>
      </c>
      <c r="R184" s="66">
        <v>0</v>
      </c>
      <c r="S184" s="66">
        <v>0</v>
      </c>
      <c r="T184" s="66">
        <v>0</v>
      </c>
      <c r="U184" s="66">
        <v>0</v>
      </c>
      <c r="V184" s="66">
        <v>0</v>
      </c>
      <c r="W184" s="66">
        <v>0</v>
      </c>
      <c r="X184" s="66">
        <v>0</v>
      </c>
    </row>
    <row r="185" spans="2:24" ht="15" customHeight="1" x14ac:dyDescent="0.3">
      <c r="C185" s="49" t="s">
        <v>427</v>
      </c>
      <c r="D185" s="400"/>
      <c r="E185" s="134"/>
      <c r="F185" s="135"/>
      <c r="G185" s="134"/>
      <c r="H185" s="65">
        <f>SUM(J185:X185)</f>
        <v>3234509.8536087978</v>
      </c>
      <c r="I185" s="65"/>
      <c r="J185" s="65">
        <f t="shared" ref="J185:X185" si="73">SUM(J182:J184)</f>
        <v>0</v>
      </c>
      <c r="K185" s="65">
        <f t="shared" si="73"/>
        <v>5659.4154504338703</v>
      </c>
      <c r="L185" s="65">
        <f t="shared" si="73"/>
        <v>205536.93560135699</v>
      </c>
      <c r="M185" s="65">
        <f t="shared" si="73"/>
        <v>767103.77016847604</v>
      </c>
      <c r="N185" s="65">
        <f t="shared" si="73"/>
        <v>964938.07714606798</v>
      </c>
      <c r="O185" s="65">
        <f t="shared" si="73"/>
        <v>1145188.7850571319</v>
      </c>
      <c r="P185" s="65">
        <f t="shared" si="73"/>
        <v>146082.870185331</v>
      </c>
      <c r="Q185" s="65">
        <f t="shared" si="73"/>
        <v>0</v>
      </c>
      <c r="R185" s="65">
        <f t="shared" si="73"/>
        <v>0</v>
      </c>
      <c r="S185" s="65">
        <f t="shared" si="73"/>
        <v>0</v>
      </c>
      <c r="T185" s="65">
        <f t="shared" si="73"/>
        <v>0</v>
      </c>
      <c r="U185" s="65">
        <f t="shared" si="73"/>
        <v>0</v>
      </c>
      <c r="V185" s="65">
        <f t="shared" si="73"/>
        <v>0</v>
      </c>
      <c r="W185" s="65">
        <f t="shared" si="73"/>
        <v>0</v>
      </c>
      <c r="X185" s="65">
        <f t="shared" si="73"/>
        <v>0</v>
      </c>
    </row>
    <row r="186" spans="2:24" ht="15" customHeight="1" x14ac:dyDescent="0.3">
      <c r="B186" s="137"/>
      <c r="H186" s="67"/>
      <c r="I186" s="67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</row>
    <row r="187" spans="2:24" ht="15" customHeight="1" x14ac:dyDescent="0.3">
      <c r="C187" s="117" t="s">
        <v>329</v>
      </c>
      <c r="D187" s="402"/>
      <c r="E187" s="131"/>
      <c r="F187" s="132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</row>
    <row r="188" spans="2:24" ht="15" customHeight="1" x14ac:dyDescent="0.3">
      <c r="C188" s="8" t="s">
        <v>1</v>
      </c>
      <c r="H188" s="62">
        <f ca="1">SUM(J188:X188)</f>
        <v>551062.51038084121</v>
      </c>
      <c r="I188" s="62"/>
      <c r="J188" s="46">
        <f t="shared" ref="J188:X188" ca="1" si="74">J174-J182</f>
        <v>0</v>
      </c>
      <c r="K188" s="46">
        <f t="shared" ca="1" si="74"/>
        <v>4755.7112200676047</v>
      </c>
      <c r="L188" s="46">
        <f t="shared" ca="1" si="74"/>
        <v>48811.206103690638</v>
      </c>
      <c r="M188" s="46">
        <f t="shared" ca="1" si="74"/>
        <v>97294.244660587574</v>
      </c>
      <c r="N188" s="46">
        <f t="shared" ca="1" si="74"/>
        <v>238652.79030693823</v>
      </c>
      <c r="O188" s="46">
        <f t="shared" ca="1" si="74"/>
        <v>161548.55808955713</v>
      </c>
      <c r="P188" s="46">
        <f t="shared" ca="1" si="74"/>
        <v>0</v>
      </c>
      <c r="Q188" s="46">
        <f t="shared" ca="1" si="74"/>
        <v>0</v>
      </c>
      <c r="R188" s="46">
        <f t="shared" ca="1" si="74"/>
        <v>0</v>
      </c>
      <c r="S188" s="46">
        <f t="shared" ca="1" si="74"/>
        <v>0</v>
      </c>
      <c r="T188" s="46">
        <f t="shared" ca="1" si="74"/>
        <v>0</v>
      </c>
      <c r="U188" s="46">
        <f t="shared" ca="1" si="74"/>
        <v>0</v>
      </c>
      <c r="V188" s="46">
        <f t="shared" ca="1" si="74"/>
        <v>0</v>
      </c>
      <c r="W188" s="46">
        <f t="shared" ca="1" si="74"/>
        <v>0</v>
      </c>
      <c r="X188" s="46">
        <f t="shared" ca="1" si="74"/>
        <v>0</v>
      </c>
    </row>
    <row r="189" spans="2:24" ht="15" customHeight="1" x14ac:dyDescent="0.3">
      <c r="C189" s="8" t="s">
        <v>2</v>
      </c>
      <c r="H189" s="62">
        <f ca="1">SUM(J189:X189)</f>
        <v>406826.60386183055</v>
      </c>
      <c r="I189" s="62"/>
      <c r="J189" s="46">
        <f t="shared" ref="J189:X189" ca="1" si="75">J175-J183</f>
        <v>0</v>
      </c>
      <c r="K189" s="46">
        <f t="shared" ca="1" si="75"/>
        <v>0</v>
      </c>
      <c r="L189" s="46">
        <f t="shared" ca="1" si="75"/>
        <v>-7388.4450456133345</v>
      </c>
      <c r="M189" s="46">
        <f t="shared" ca="1" si="75"/>
        <v>-35709.389447820839</v>
      </c>
      <c r="N189" s="46">
        <f t="shared" ca="1" si="75"/>
        <v>55154.333867071429</v>
      </c>
      <c r="O189" s="46">
        <f t="shared" ca="1" si="75"/>
        <v>354087.44410200964</v>
      </c>
      <c r="P189" s="46">
        <f t="shared" ca="1" si="75"/>
        <v>40682.660386183677</v>
      </c>
      <c r="Q189" s="46">
        <f t="shared" ca="1" si="75"/>
        <v>0</v>
      </c>
      <c r="R189" s="46">
        <f t="shared" ca="1" si="75"/>
        <v>0</v>
      </c>
      <c r="S189" s="46">
        <f t="shared" ca="1" si="75"/>
        <v>0</v>
      </c>
      <c r="T189" s="46">
        <f t="shared" ca="1" si="75"/>
        <v>0</v>
      </c>
      <c r="U189" s="46">
        <f t="shared" ca="1" si="75"/>
        <v>0</v>
      </c>
      <c r="V189" s="46">
        <f t="shared" ca="1" si="75"/>
        <v>0</v>
      </c>
      <c r="W189" s="46">
        <f t="shared" ca="1" si="75"/>
        <v>0</v>
      </c>
      <c r="X189" s="46">
        <f t="shared" ca="1" si="75"/>
        <v>0</v>
      </c>
    </row>
    <row r="190" spans="2:24" ht="15" customHeight="1" x14ac:dyDescent="0.3">
      <c r="C190" s="136" t="s">
        <v>429</v>
      </c>
      <c r="H190" s="62">
        <f ca="1">SUM(J190:X190)</f>
        <v>200915.79434399557</v>
      </c>
      <c r="I190" s="62"/>
      <c r="J190" s="46">
        <f t="shared" ref="J190:X190" ca="1" si="76">J176-J184</f>
        <v>0</v>
      </c>
      <c r="K190" s="46">
        <f t="shared" ca="1" si="76"/>
        <v>0</v>
      </c>
      <c r="L190" s="46">
        <f t="shared" ca="1" si="76"/>
        <v>0</v>
      </c>
      <c r="M190" s="46">
        <f t="shared" ca="1" si="76"/>
        <v>0</v>
      </c>
      <c r="N190" s="46">
        <f t="shared" ca="1" si="76"/>
        <v>0</v>
      </c>
      <c r="O190" s="46">
        <f t="shared" ca="1" si="76"/>
        <v>200915.79434399557</v>
      </c>
      <c r="P190" s="46">
        <f t="shared" ca="1" si="76"/>
        <v>0</v>
      </c>
      <c r="Q190" s="46">
        <f t="shared" ca="1" si="76"/>
        <v>0</v>
      </c>
      <c r="R190" s="46">
        <f t="shared" ca="1" si="76"/>
        <v>0</v>
      </c>
      <c r="S190" s="46">
        <f t="shared" ca="1" si="76"/>
        <v>0</v>
      </c>
      <c r="T190" s="46">
        <f t="shared" ca="1" si="76"/>
        <v>0</v>
      </c>
      <c r="U190" s="46">
        <f t="shared" ca="1" si="76"/>
        <v>0</v>
      </c>
      <c r="V190" s="46">
        <f t="shared" ca="1" si="76"/>
        <v>0</v>
      </c>
      <c r="W190" s="46">
        <f t="shared" ca="1" si="76"/>
        <v>0</v>
      </c>
      <c r="X190" s="46">
        <f t="shared" ca="1" si="76"/>
        <v>0</v>
      </c>
    </row>
    <row r="191" spans="2:24" ht="15" customHeight="1" x14ac:dyDescent="0.3">
      <c r="C191" s="49" t="s">
        <v>431</v>
      </c>
      <c r="D191" s="400"/>
      <c r="E191" s="134"/>
      <c r="F191" s="135"/>
      <c r="G191" s="134"/>
      <c r="H191" s="65">
        <f ca="1">SUM(J191:X191)</f>
        <v>1158804.9085866674</v>
      </c>
      <c r="I191" s="65"/>
      <c r="J191" s="65">
        <f t="shared" ref="J191:X191" ca="1" si="77">SUM(J188:J190)</f>
        <v>0</v>
      </c>
      <c r="K191" s="65">
        <f t="shared" ca="1" si="77"/>
        <v>4755.7112200676047</v>
      </c>
      <c r="L191" s="65">
        <f t="shared" ca="1" si="77"/>
        <v>41422.761058077303</v>
      </c>
      <c r="M191" s="65">
        <f t="shared" ca="1" si="77"/>
        <v>61584.855212766735</v>
      </c>
      <c r="N191" s="65">
        <f t="shared" ca="1" si="77"/>
        <v>293807.12417400966</v>
      </c>
      <c r="O191" s="65">
        <f t="shared" ca="1" si="77"/>
        <v>716551.79653556226</v>
      </c>
      <c r="P191" s="65">
        <f t="shared" ca="1" si="77"/>
        <v>40682.660386183677</v>
      </c>
      <c r="Q191" s="65">
        <f t="shared" ca="1" si="77"/>
        <v>0</v>
      </c>
      <c r="R191" s="65">
        <f t="shared" ca="1" si="77"/>
        <v>0</v>
      </c>
      <c r="S191" s="65">
        <f t="shared" ca="1" si="77"/>
        <v>0</v>
      </c>
      <c r="T191" s="65">
        <f t="shared" ca="1" si="77"/>
        <v>0</v>
      </c>
      <c r="U191" s="65">
        <f t="shared" ca="1" si="77"/>
        <v>0</v>
      </c>
      <c r="V191" s="65">
        <f t="shared" ca="1" si="77"/>
        <v>0</v>
      </c>
      <c r="W191" s="65">
        <f t="shared" ca="1" si="77"/>
        <v>0</v>
      </c>
      <c r="X191" s="65">
        <f t="shared" ca="1" si="77"/>
        <v>0</v>
      </c>
    </row>
    <row r="192" spans="2:24" ht="15" customHeight="1" x14ac:dyDescent="0.3">
      <c r="F192" s="8"/>
    </row>
    <row r="193" spans="2:24" ht="15" customHeight="1" x14ac:dyDescent="0.3">
      <c r="B193" s="21" t="s">
        <v>193</v>
      </c>
      <c r="C193" s="21"/>
      <c r="D193" s="31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</row>
    <row r="194" spans="2:24" ht="15" customHeight="1" x14ac:dyDescent="0.3">
      <c r="F194" s="8"/>
    </row>
    <row r="195" spans="2:24" ht="15" customHeight="1" x14ac:dyDescent="0.3">
      <c r="F195" s="8"/>
      <c r="K195" s="23"/>
      <c r="L195" s="23"/>
      <c r="M195" s="23"/>
      <c r="N195" s="23"/>
      <c r="O195" s="23"/>
      <c r="P195" s="23"/>
    </row>
    <row r="196" spans="2:24" ht="15" customHeight="1" x14ac:dyDescent="0.3">
      <c r="F196" s="8"/>
      <c r="K196" s="23"/>
      <c r="L196" s="23"/>
      <c r="M196" s="23"/>
      <c r="N196" s="23"/>
      <c r="O196" s="23"/>
      <c r="P196" s="23"/>
    </row>
    <row r="197" spans="2:24" ht="15" customHeight="1" x14ac:dyDescent="0.3">
      <c r="F197" s="8"/>
    </row>
    <row r="198" spans="2:24" ht="15" customHeight="1" x14ac:dyDescent="0.3">
      <c r="F198" s="8"/>
    </row>
    <row r="199" spans="2:24" x14ac:dyDescent="0.3">
      <c r="F199" s="8"/>
    </row>
    <row r="200" spans="2:24" x14ac:dyDescent="0.3">
      <c r="F200" s="8"/>
    </row>
    <row r="201" spans="2:24" x14ac:dyDescent="0.3">
      <c r="F201" s="8"/>
    </row>
    <row r="202" spans="2:24" x14ac:dyDescent="0.3">
      <c r="F202" s="8"/>
    </row>
    <row r="203" spans="2:24" x14ac:dyDescent="0.3">
      <c r="F203" s="8"/>
    </row>
    <row r="204" spans="2:24" x14ac:dyDescent="0.3">
      <c r="F204" s="8"/>
    </row>
    <row r="205" spans="2:24" x14ac:dyDescent="0.3">
      <c r="F205" s="8"/>
    </row>
  </sheetData>
  <dataValidations disablePrompts="1" count="1">
    <dataValidation type="list" allowBlank="1" showInputMessage="1" showErrorMessage="1" sqref="D117 D155 D136" xr:uid="{282B0D28-D0C3-4F69-8576-2DF6A337E9F8}">
      <formula1>"YES,NO"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3F8C2-0A66-4CFE-BC9D-2589906E7826}">
  <sheetPr codeName="Sheet4"/>
  <dimension ref="B1:AC338"/>
  <sheetViews>
    <sheetView showGridLines="0" zoomScale="80" zoomScaleNormal="80" workbookViewId="0">
      <pane xSplit="4" ySplit="4" topLeftCell="F195" activePane="bottomRight" state="frozen"/>
      <selection pane="topRight" activeCell="E1" sqref="E1"/>
      <selection pane="bottomLeft" activeCell="A5" sqref="A5"/>
      <selection pane="bottomRight" activeCell="L212" sqref="L212"/>
    </sheetView>
  </sheetViews>
  <sheetFormatPr defaultRowHeight="12.6" x14ac:dyDescent="0.3"/>
  <cols>
    <col min="1" max="2" width="3.33203125" style="8" customWidth="1"/>
    <col min="3" max="3" width="51.88671875" style="8" customWidth="1"/>
    <col min="4" max="5" width="11.88671875" style="8" customWidth="1"/>
    <col min="6" max="6" width="40.77734375" style="8" customWidth="1"/>
    <col min="7" max="8" width="14.77734375" style="8" customWidth="1"/>
    <col min="9" max="9" width="9.21875" style="8" customWidth="1"/>
    <col min="10" max="10" width="1.44140625" style="8" customWidth="1"/>
    <col min="11" max="11" width="13.88671875" style="8" customWidth="1"/>
    <col min="12" max="26" width="13" style="8" customWidth="1"/>
    <col min="27" max="16384" width="8.88671875" style="8"/>
  </cols>
  <sheetData>
    <row r="1" spans="2:26" ht="15" customHeight="1" x14ac:dyDescent="0.3">
      <c r="B1" s="15" t="s">
        <v>422</v>
      </c>
      <c r="G1" s="24"/>
    </row>
    <row r="2" spans="2:26" ht="15" customHeight="1" x14ac:dyDescent="0.3">
      <c r="B2" s="73" t="s">
        <v>564</v>
      </c>
      <c r="K2" s="23"/>
    </row>
    <row r="3" spans="2:26" ht="15" customHeight="1" x14ac:dyDescent="0.3">
      <c r="B3" s="106" t="s">
        <v>567</v>
      </c>
    </row>
    <row r="4" spans="2:26" ht="15" customHeight="1" x14ac:dyDescent="0.3">
      <c r="B4" s="52" t="s">
        <v>135</v>
      </c>
      <c r="C4" s="52"/>
      <c r="D4" s="52" t="s">
        <v>43</v>
      </c>
      <c r="E4" s="52"/>
      <c r="F4" s="52"/>
      <c r="G4" s="109" t="s">
        <v>100</v>
      </c>
      <c r="H4" s="109" t="s">
        <v>101</v>
      </c>
      <c r="I4" s="109" t="s">
        <v>93</v>
      </c>
      <c r="J4" s="109"/>
      <c r="K4" s="109"/>
      <c r="L4" s="109" t="s">
        <v>23</v>
      </c>
      <c r="M4" s="109">
        <v>2026</v>
      </c>
      <c r="N4" s="109">
        <v>2027</v>
      </c>
      <c r="O4" s="109">
        <v>2028</v>
      </c>
      <c r="P4" s="109">
        <v>2029</v>
      </c>
      <c r="Q4" s="109">
        <v>2030</v>
      </c>
      <c r="R4" s="109">
        <v>2031</v>
      </c>
      <c r="S4" s="52">
        <f t="shared" ref="S4:Z4" si="0">R4+1</f>
        <v>2032</v>
      </c>
      <c r="T4" s="52">
        <f t="shared" si="0"/>
        <v>2033</v>
      </c>
      <c r="U4" s="52">
        <f t="shared" si="0"/>
        <v>2034</v>
      </c>
      <c r="V4" s="52">
        <f t="shared" si="0"/>
        <v>2035</v>
      </c>
      <c r="W4" s="52">
        <f t="shared" si="0"/>
        <v>2036</v>
      </c>
      <c r="X4" s="52">
        <f t="shared" si="0"/>
        <v>2037</v>
      </c>
      <c r="Y4" s="52">
        <f t="shared" si="0"/>
        <v>2038</v>
      </c>
      <c r="Z4" s="52">
        <f t="shared" si="0"/>
        <v>2039</v>
      </c>
    </row>
    <row r="5" spans="2:26" ht="15" customHeight="1" x14ac:dyDescent="0.3">
      <c r="B5" s="141"/>
    </row>
    <row r="6" spans="2:26" ht="15" customHeight="1" x14ac:dyDescent="0.3">
      <c r="B6" s="52" t="s">
        <v>136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2:26" ht="15" customHeight="1" x14ac:dyDescent="0.3"/>
    <row r="8" spans="2:26" ht="15" customHeight="1" x14ac:dyDescent="0.3">
      <c r="C8" s="52" t="s">
        <v>137</v>
      </c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2:26" ht="15" customHeight="1" x14ac:dyDescent="0.3">
      <c r="C9" s="8" t="s">
        <v>132</v>
      </c>
      <c r="K9" s="204">
        <f t="shared" ref="K9:K16" si="1">SUM(L9:R9)</f>
        <v>1</v>
      </c>
      <c r="M9" s="411">
        <f>CHOOSE(CF!$G$1,'Capex Allocation'!H9,'Capex Allocation'!H71)</f>
        <v>1</v>
      </c>
      <c r="N9" s="411">
        <f>CHOOSE(CF!$G$1,'Capex Allocation'!I9,'Capex Allocation'!I71)</f>
        <v>0</v>
      </c>
      <c r="O9" s="411">
        <f>CHOOSE(CF!$G$1,'Capex Allocation'!J9,'Capex Allocation'!J71)</f>
        <v>0</v>
      </c>
      <c r="P9" s="411">
        <f>CHOOSE(CF!$G$1,'Capex Allocation'!K9,'Capex Allocation'!K71)</f>
        <v>0</v>
      </c>
      <c r="Q9" s="411">
        <f>CHOOSE(CF!$G$1,'Capex Allocation'!L9,'Capex Allocation'!L71)</f>
        <v>0</v>
      </c>
      <c r="R9" s="411">
        <f>CHOOSE(CF!$G$1,'Capex Allocation'!M9,'Capex Allocation'!M71)</f>
        <v>0</v>
      </c>
      <c r="S9" s="411">
        <f>CHOOSE(CF!$G$1,'Capex Allocation'!N9,'Capex Allocation'!N71)</f>
        <v>0</v>
      </c>
      <c r="T9" s="411">
        <f>CHOOSE(CF!$G$1,'Capex Allocation'!O9,'Capex Allocation'!O71)</f>
        <v>0</v>
      </c>
      <c r="U9" s="411">
        <f>CHOOSE(CF!$G$1,'Capex Allocation'!P9,'Capex Allocation'!P71)</f>
        <v>0</v>
      </c>
      <c r="V9" s="411">
        <f>CHOOSE(CF!$G$1,'Capex Allocation'!Q9,'Capex Allocation'!Q71)</f>
        <v>0</v>
      </c>
      <c r="W9" s="411">
        <f>CHOOSE(CF!$G$1,'Capex Allocation'!R9,'Capex Allocation'!R71)</f>
        <v>0</v>
      </c>
      <c r="X9" s="411">
        <f>CHOOSE(CF!$G$1,'Capex Allocation'!S9,'Capex Allocation'!S71)</f>
        <v>0</v>
      </c>
      <c r="Y9" s="411">
        <f>CHOOSE(CF!$G$1,'Capex Allocation'!T9,'Capex Allocation'!T71)</f>
        <v>0</v>
      </c>
      <c r="Z9" s="411">
        <f>CHOOSE(CF!$G$1,'Capex Allocation'!U9,'Capex Allocation'!U71)</f>
        <v>0</v>
      </c>
    </row>
    <row r="10" spans="2:26" ht="15" customHeight="1" x14ac:dyDescent="0.3">
      <c r="C10" s="8" t="s">
        <v>125</v>
      </c>
      <c r="K10" s="204">
        <f t="shared" si="1"/>
        <v>0.99999999999999989</v>
      </c>
      <c r="M10" s="411">
        <f>CHOOSE(CF!$G$1,'Capex Allocation'!H10,'Capex Allocation'!H72)</f>
        <v>0.1</v>
      </c>
      <c r="N10" s="411">
        <f>CHOOSE(CF!$G$1,'Capex Allocation'!I10,'Capex Allocation'!I72)</f>
        <v>0.25</v>
      </c>
      <c r="O10" s="411">
        <f>CHOOSE(CF!$G$1,'Capex Allocation'!J10,'Capex Allocation'!J72)</f>
        <v>0.3</v>
      </c>
      <c r="P10" s="411">
        <f>CHOOSE(CF!$G$1,'Capex Allocation'!K10,'Capex Allocation'!K72)</f>
        <v>0.25</v>
      </c>
      <c r="Q10" s="411">
        <f>CHOOSE(CF!$G$1,'Capex Allocation'!L10,'Capex Allocation'!L72)</f>
        <v>0.1</v>
      </c>
      <c r="R10" s="411">
        <f>CHOOSE(CF!$G$1,'Capex Allocation'!M10,'Capex Allocation'!M72)</f>
        <v>0</v>
      </c>
      <c r="S10" s="411">
        <f>CHOOSE(CF!$G$1,'Capex Allocation'!N10,'Capex Allocation'!N72)</f>
        <v>0</v>
      </c>
      <c r="T10" s="411">
        <f>CHOOSE(CF!$G$1,'Capex Allocation'!O10,'Capex Allocation'!O72)</f>
        <v>0</v>
      </c>
      <c r="U10" s="411">
        <f>CHOOSE(CF!$G$1,'Capex Allocation'!P10,'Capex Allocation'!P72)</f>
        <v>0</v>
      </c>
      <c r="V10" s="411">
        <f>CHOOSE(CF!$G$1,'Capex Allocation'!Q10,'Capex Allocation'!Q72)</f>
        <v>0</v>
      </c>
      <c r="W10" s="411">
        <f>CHOOSE(CF!$G$1,'Capex Allocation'!R10,'Capex Allocation'!R72)</f>
        <v>0</v>
      </c>
      <c r="X10" s="411">
        <f>CHOOSE(CF!$G$1,'Capex Allocation'!S10,'Capex Allocation'!S72)</f>
        <v>0</v>
      </c>
      <c r="Y10" s="411">
        <f>CHOOSE(CF!$G$1,'Capex Allocation'!T10,'Capex Allocation'!T72)</f>
        <v>0</v>
      </c>
      <c r="Z10" s="411">
        <f>CHOOSE(CF!$G$1,'Capex Allocation'!U10,'Capex Allocation'!U72)</f>
        <v>0</v>
      </c>
    </row>
    <row r="11" spans="2:26" ht="15" customHeight="1" x14ac:dyDescent="0.3">
      <c r="C11" s="8" t="s">
        <v>126</v>
      </c>
      <c r="K11" s="204">
        <f t="shared" si="1"/>
        <v>0.99999999999999989</v>
      </c>
      <c r="M11" s="411">
        <f>CHOOSE(CF!$G$1,'Capex Allocation'!H11,'Capex Allocation'!H73)</f>
        <v>0.1</v>
      </c>
      <c r="N11" s="411">
        <f>CHOOSE(CF!$G$1,'Capex Allocation'!I11,'Capex Allocation'!I73)</f>
        <v>0.25</v>
      </c>
      <c r="O11" s="411">
        <f>CHOOSE(CF!$G$1,'Capex Allocation'!J11,'Capex Allocation'!J73)</f>
        <v>0.3</v>
      </c>
      <c r="P11" s="411">
        <f>CHOOSE(CF!$G$1,'Capex Allocation'!K11,'Capex Allocation'!K73)</f>
        <v>0.25</v>
      </c>
      <c r="Q11" s="411">
        <f>CHOOSE(CF!$G$1,'Capex Allocation'!L11,'Capex Allocation'!L73)</f>
        <v>0.1</v>
      </c>
      <c r="R11" s="411">
        <f>CHOOSE(CF!$G$1,'Capex Allocation'!M11,'Capex Allocation'!M73)</f>
        <v>0</v>
      </c>
      <c r="S11" s="411">
        <f>CHOOSE(CF!$G$1,'Capex Allocation'!N11,'Capex Allocation'!N73)</f>
        <v>0</v>
      </c>
      <c r="T11" s="411">
        <f>CHOOSE(CF!$G$1,'Capex Allocation'!O11,'Capex Allocation'!O73)</f>
        <v>0</v>
      </c>
      <c r="U11" s="411">
        <f>CHOOSE(CF!$G$1,'Capex Allocation'!P11,'Capex Allocation'!P73)</f>
        <v>0</v>
      </c>
      <c r="V11" s="411">
        <f>CHOOSE(CF!$G$1,'Capex Allocation'!Q11,'Capex Allocation'!Q73)</f>
        <v>0</v>
      </c>
      <c r="W11" s="411">
        <f>CHOOSE(CF!$G$1,'Capex Allocation'!R11,'Capex Allocation'!R73)</f>
        <v>0</v>
      </c>
      <c r="X11" s="411">
        <f>CHOOSE(CF!$G$1,'Capex Allocation'!S11,'Capex Allocation'!S73)</f>
        <v>0</v>
      </c>
      <c r="Y11" s="411">
        <f>CHOOSE(CF!$G$1,'Capex Allocation'!T11,'Capex Allocation'!T73)</f>
        <v>0</v>
      </c>
      <c r="Z11" s="411">
        <f>CHOOSE(CF!$G$1,'Capex Allocation'!U11,'Capex Allocation'!U73)</f>
        <v>0</v>
      </c>
    </row>
    <row r="12" spans="2:26" ht="15" customHeight="1" x14ac:dyDescent="0.3">
      <c r="C12" s="8" t="s">
        <v>127</v>
      </c>
      <c r="K12" s="204">
        <f t="shared" si="1"/>
        <v>0.99999999999999989</v>
      </c>
      <c r="M12" s="411">
        <f>CHOOSE(CF!$G$1,'Capex Allocation'!H12,'Capex Allocation'!H74)</f>
        <v>0.1</v>
      </c>
      <c r="N12" s="411">
        <f>CHOOSE(CF!$G$1,'Capex Allocation'!I12,'Capex Allocation'!I74)</f>
        <v>0.25</v>
      </c>
      <c r="O12" s="411">
        <f>CHOOSE(CF!$G$1,'Capex Allocation'!J12,'Capex Allocation'!J74)</f>
        <v>0.3</v>
      </c>
      <c r="P12" s="411">
        <f>CHOOSE(CF!$G$1,'Capex Allocation'!K12,'Capex Allocation'!K74)</f>
        <v>0.25</v>
      </c>
      <c r="Q12" s="411">
        <f>CHOOSE(CF!$G$1,'Capex Allocation'!L12,'Capex Allocation'!L74)</f>
        <v>0.1</v>
      </c>
      <c r="R12" s="411">
        <f>CHOOSE(CF!$G$1,'Capex Allocation'!M12,'Capex Allocation'!M74)</f>
        <v>0</v>
      </c>
      <c r="S12" s="411">
        <f>CHOOSE(CF!$G$1,'Capex Allocation'!N12,'Capex Allocation'!N74)</f>
        <v>0</v>
      </c>
      <c r="T12" s="411">
        <f>CHOOSE(CF!$G$1,'Capex Allocation'!O12,'Capex Allocation'!O74)</f>
        <v>0</v>
      </c>
      <c r="U12" s="411">
        <f>CHOOSE(CF!$G$1,'Capex Allocation'!P12,'Capex Allocation'!P74)</f>
        <v>0</v>
      </c>
      <c r="V12" s="411">
        <f>CHOOSE(CF!$G$1,'Capex Allocation'!Q12,'Capex Allocation'!Q74)</f>
        <v>0</v>
      </c>
      <c r="W12" s="411">
        <f>CHOOSE(CF!$G$1,'Capex Allocation'!R12,'Capex Allocation'!R74)</f>
        <v>0</v>
      </c>
      <c r="X12" s="411">
        <f>CHOOSE(CF!$G$1,'Capex Allocation'!S12,'Capex Allocation'!S74)</f>
        <v>0</v>
      </c>
      <c r="Y12" s="411">
        <f>CHOOSE(CF!$G$1,'Capex Allocation'!T12,'Capex Allocation'!T74)</f>
        <v>0</v>
      </c>
      <c r="Z12" s="411">
        <f>CHOOSE(CF!$G$1,'Capex Allocation'!U12,'Capex Allocation'!U74)</f>
        <v>0</v>
      </c>
    </row>
    <row r="13" spans="2:26" ht="15" customHeight="1" x14ac:dyDescent="0.3">
      <c r="C13" s="8" t="s">
        <v>128</v>
      </c>
      <c r="K13" s="204">
        <f t="shared" si="1"/>
        <v>0.99999999999999989</v>
      </c>
      <c r="M13" s="411">
        <f>CHOOSE(CF!$G$1,'Capex Allocation'!H13,'Capex Allocation'!H75)</f>
        <v>0.1</v>
      </c>
      <c r="N13" s="411">
        <f>CHOOSE(CF!$G$1,'Capex Allocation'!I13,'Capex Allocation'!I75)</f>
        <v>0.25</v>
      </c>
      <c r="O13" s="411">
        <f>CHOOSE(CF!$G$1,'Capex Allocation'!J13,'Capex Allocation'!J75)</f>
        <v>0.3</v>
      </c>
      <c r="P13" s="411">
        <f>CHOOSE(CF!$G$1,'Capex Allocation'!K13,'Capex Allocation'!K75)</f>
        <v>0.25</v>
      </c>
      <c r="Q13" s="411">
        <f>CHOOSE(CF!$G$1,'Capex Allocation'!L13,'Capex Allocation'!L75)</f>
        <v>0.1</v>
      </c>
      <c r="R13" s="411">
        <f>CHOOSE(CF!$G$1,'Capex Allocation'!M13,'Capex Allocation'!M75)</f>
        <v>0</v>
      </c>
      <c r="S13" s="411">
        <f>CHOOSE(CF!$G$1,'Capex Allocation'!N13,'Capex Allocation'!N75)</f>
        <v>0</v>
      </c>
      <c r="T13" s="411">
        <f>CHOOSE(CF!$G$1,'Capex Allocation'!O13,'Capex Allocation'!O75)</f>
        <v>0</v>
      </c>
      <c r="U13" s="411">
        <f>CHOOSE(CF!$G$1,'Capex Allocation'!P13,'Capex Allocation'!P75)</f>
        <v>0</v>
      </c>
      <c r="V13" s="411">
        <f>CHOOSE(CF!$G$1,'Capex Allocation'!Q13,'Capex Allocation'!Q75)</f>
        <v>0</v>
      </c>
      <c r="W13" s="411">
        <f>CHOOSE(CF!$G$1,'Capex Allocation'!R13,'Capex Allocation'!R75)</f>
        <v>0</v>
      </c>
      <c r="X13" s="411">
        <f>CHOOSE(CF!$G$1,'Capex Allocation'!S13,'Capex Allocation'!S75)</f>
        <v>0</v>
      </c>
      <c r="Y13" s="411">
        <f>CHOOSE(CF!$G$1,'Capex Allocation'!T13,'Capex Allocation'!T75)</f>
        <v>0</v>
      </c>
      <c r="Z13" s="411">
        <f>CHOOSE(CF!$G$1,'Capex Allocation'!U13,'Capex Allocation'!U75)</f>
        <v>0</v>
      </c>
    </row>
    <row r="14" spans="2:26" ht="15" customHeight="1" x14ac:dyDescent="0.3">
      <c r="C14" s="8" t="s">
        <v>133</v>
      </c>
      <c r="K14" s="204">
        <f t="shared" si="1"/>
        <v>0.99999999999999989</v>
      </c>
      <c r="M14" s="411">
        <f>CHOOSE(CF!$G$1,'Capex Allocation'!H14,'Capex Allocation'!H76)</f>
        <v>0.1</v>
      </c>
      <c r="N14" s="411">
        <f>CHOOSE(CF!$G$1,'Capex Allocation'!I14,'Capex Allocation'!I76)</f>
        <v>0.25</v>
      </c>
      <c r="O14" s="411">
        <f>CHOOSE(CF!$G$1,'Capex Allocation'!J14,'Capex Allocation'!J76)</f>
        <v>0.3</v>
      </c>
      <c r="P14" s="411">
        <f>CHOOSE(CF!$G$1,'Capex Allocation'!K14,'Capex Allocation'!K76)</f>
        <v>0.25</v>
      </c>
      <c r="Q14" s="411">
        <f>CHOOSE(CF!$G$1,'Capex Allocation'!L14,'Capex Allocation'!L76)</f>
        <v>0.1</v>
      </c>
      <c r="R14" s="411">
        <f>CHOOSE(CF!$G$1,'Capex Allocation'!M14,'Capex Allocation'!M76)</f>
        <v>0</v>
      </c>
      <c r="S14" s="411">
        <f>CHOOSE(CF!$G$1,'Capex Allocation'!N14,'Capex Allocation'!N76)</f>
        <v>0</v>
      </c>
      <c r="T14" s="411">
        <f>CHOOSE(CF!$G$1,'Capex Allocation'!O14,'Capex Allocation'!O76)</f>
        <v>0</v>
      </c>
      <c r="U14" s="411">
        <f>CHOOSE(CF!$G$1,'Capex Allocation'!P14,'Capex Allocation'!P76)</f>
        <v>0</v>
      </c>
      <c r="V14" s="411">
        <f>CHOOSE(CF!$G$1,'Capex Allocation'!Q14,'Capex Allocation'!Q76)</f>
        <v>0</v>
      </c>
      <c r="W14" s="411">
        <f>CHOOSE(CF!$G$1,'Capex Allocation'!R14,'Capex Allocation'!R76)</f>
        <v>0</v>
      </c>
      <c r="X14" s="411">
        <f>CHOOSE(CF!$G$1,'Capex Allocation'!S14,'Capex Allocation'!S76)</f>
        <v>0</v>
      </c>
      <c r="Y14" s="411">
        <f>CHOOSE(CF!$G$1,'Capex Allocation'!T14,'Capex Allocation'!T76)</f>
        <v>0</v>
      </c>
      <c r="Z14" s="411">
        <f>CHOOSE(CF!$G$1,'Capex Allocation'!U14,'Capex Allocation'!U76)</f>
        <v>0</v>
      </c>
    </row>
    <row r="15" spans="2:26" ht="15" customHeight="1" x14ac:dyDescent="0.3">
      <c r="B15" s="141"/>
      <c r="C15" s="8" t="s">
        <v>129</v>
      </c>
      <c r="K15" s="204">
        <f t="shared" si="1"/>
        <v>0.99999999999999989</v>
      </c>
      <c r="M15" s="411">
        <f>CHOOSE(CF!$G$1,'Capex Allocation'!H15,'Capex Allocation'!H77)</f>
        <v>0.1</v>
      </c>
      <c r="N15" s="411">
        <f>CHOOSE(CF!$G$1,'Capex Allocation'!I15,'Capex Allocation'!I77)</f>
        <v>0.25</v>
      </c>
      <c r="O15" s="411">
        <f>CHOOSE(CF!$G$1,'Capex Allocation'!J15,'Capex Allocation'!J77)</f>
        <v>0.3</v>
      </c>
      <c r="P15" s="411">
        <f>CHOOSE(CF!$G$1,'Capex Allocation'!K15,'Capex Allocation'!K77)</f>
        <v>0.25</v>
      </c>
      <c r="Q15" s="411">
        <f>CHOOSE(CF!$G$1,'Capex Allocation'!L15,'Capex Allocation'!L77)</f>
        <v>0.1</v>
      </c>
      <c r="R15" s="411">
        <f>CHOOSE(CF!$G$1,'Capex Allocation'!M15,'Capex Allocation'!M77)</f>
        <v>0</v>
      </c>
      <c r="S15" s="411">
        <f>CHOOSE(CF!$G$1,'Capex Allocation'!N15,'Capex Allocation'!N77)</f>
        <v>0</v>
      </c>
      <c r="T15" s="411">
        <f>CHOOSE(CF!$G$1,'Capex Allocation'!O15,'Capex Allocation'!O77)</f>
        <v>0</v>
      </c>
      <c r="U15" s="411">
        <f>CHOOSE(CF!$G$1,'Capex Allocation'!P15,'Capex Allocation'!P77)</f>
        <v>0</v>
      </c>
      <c r="V15" s="411">
        <f>CHOOSE(CF!$G$1,'Capex Allocation'!Q15,'Capex Allocation'!Q77)</f>
        <v>0</v>
      </c>
      <c r="W15" s="411">
        <f>CHOOSE(CF!$G$1,'Capex Allocation'!R15,'Capex Allocation'!R77)</f>
        <v>0</v>
      </c>
      <c r="X15" s="411">
        <f>CHOOSE(CF!$G$1,'Capex Allocation'!S15,'Capex Allocation'!S77)</f>
        <v>0</v>
      </c>
      <c r="Y15" s="411">
        <f>CHOOSE(CF!$G$1,'Capex Allocation'!T15,'Capex Allocation'!T77)</f>
        <v>0</v>
      </c>
      <c r="Z15" s="411">
        <f>CHOOSE(CF!$G$1,'Capex Allocation'!U15,'Capex Allocation'!U77)</f>
        <v>0</v>
      </c>
    </row>
    <row r="16" spans="2:26" ht="15" customHeight="1" x14ac:dyDescent="0.3">
      <c r="B16" s="141"/>
      <c r="C16" s="8" t="s">
        <v>130</v>
      </c>
      <c r="K16" s="204">
        <f t="shared" si="1"/>
        <v>0.99999999999999989</v>
      </c>
      <c r="M16" s="411">
        <f>CHOOSE(CF!$G$1,'Capex Allocation'!H16,'Capex Allocation'!H78)</f>
        <v>0.1</v>
      </c>
      <c r="N16" s="411">
        <f>CHOOSE(CF!$G$1,'Capex Allocation'!I16,'Capex Allocation'!I78)</f>
        <v>0.25</v>
      </c>
      <c r="O16" s="411">
        <f>CHOOSE(CF!$G$1,'Capex Allocation'!J16,'Capex Allocation'!J78)</f>
        <v>0.3</v>
      </c>
      <c r="P16" s="411">
        <f>CHOOSE(CF!$G$1,'Capex Allocation'!K16,'Capex Allocation'!K78)</f>
        <v>0.25</v>
      </c>
      <c r="Q16" s="411">
        <f>CHOOSE(CF!$G$1,'Capex Allocation'!L16,'Capex Allocation'!L78)</f>
        <v>0.1</v>
      </c>
      <c r="R16" s="411">
        <f>CHOOSE(CF!$G$1,'Capex Allocation'!M16,'Capex Allocation'!M78)</f>
        <v>0</v>
      </c>
      <c r="S16" s="411">
        <f>CHOOSE(CF!$G$1,'Capex Allocation'!N16,'Capex Allocation'!N78)</f>
        <v>0</v>
      </c>
      <c r="T16" s="411">
        <f>CHOOSE(CF!$G$1,'Capex Allocation'!O16,'Capex Allocation'!O78)</f>
        <v>0</v>
      </c>
      <c r="U16" s="411">
        <f>CHOOSE(CF!$G$1,'Capex Allocation'!P16,'Capex Allocation'!P78)</f>
        <v>0</v>
      </c>
      <c r="V16" s="411">
        <f>CHOOSE(CF!$G$1,'Capex Allocation'!Q16,'Capex Allocation'!Q78)</f>
        <v>0</v>
      </c>
      <c r="W16" s="411">
        <f>CHOOSE(CF!$G$1,'Capex Allocation'!R16,'Capex Allocation'!R78)</f>
        <v>0</v>
      </c>
      <c r="X16" s="411">
        <f>CHOOSE(CF!$G$1,'Capex Allocation'!S16,'Capex Allocation'!S78)</f>
        <v>0</v>
      </c>
      <c r="Y16" s="411">
        <f>CHOOSE(CF!$G$1,'Capex Allocation'!T16,'Capex Allocation'!T78)</f>
        <v>0</v>
      </c>
      <c r="Z16" s="411">
        <f>CHOOSE(CF!$G$1,'Capex Allocation'!U16,'Capex Allocation'!U78)</f>
        <v>0</v>
      </c>
    </row>
    <row r="17" spans="2:26" ht="15" customHeight="1" x14ac:dyDescent="0.3">
      <c r="B17" s="141"/>
      <c r="C17" s="141" t="s">
        <v>134</v>
      </c>
    </row>
    <row r="18" spans="2:26" ht="15" customHeight="1" x14ac:dyDescent="0.3"/>
    <row r="19" spans="2:26" ht="15" customHeight="1" x14ac:dyDescent="0.3">
      <c r="C19" s="52" t="s">
        <v>138</v>
      </c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2:26" ht="15" customHeight="1" x14ac:dyDescent="0.3">
      <c r="C20" s="8" t="s">
        <v>132</v>
      </c>
      <c r="K20" s="204">
        <f t="shared" ref="K20:K27" si="2">SUM(L20:R20)</f>
        <v>1</v>
      </c>
      <c r="M20" s="411">
        <f>CHOOSE(CF!$G$1,'Capex Allocation'!H19,'Capex Allocation'!H81)</f>
        <v>1</v>
      </c>
      <c r="N20" s="411">
        <f>CHOOSE(CF!$G$1,'Capex Allocation'!I19,'Capex Allocation'!I81)</f>
        <v>0</v>
      </c>
      <c r="O20" s="411">
        <f>CHOOSE(CF!$G$1,'Capex Allocation'!J19,'Capex Allocation'!J81)</f>
        <v>0</v>
      </c>
      <c r="P20" s="411">
        <f>CHOOSE(CF!$G$1,'Capex Allocation'!K19,'Capex Allocation'!K81)</f>
        <v>0</v>
      </c>
      <c r="Q20" s="411">
        <f>CHOOSE(CF!$G$1,'Capex Allocation'!L19,'Capex Allocation'!L81)</f>
        <v>0</v>
      </c>
      <c r="R20" s="411">
        <f>CHOOSE(CF!$G$1,'Capex Allocation'!M19,'Capex Allocation'!M81)</f>
        <v>0</v>
      </c>
      <c r="S20" s="411">
        <f>CHOOSE(CF!$G$1,'Capex Allocation'!N19,'Capex Allocation'!N81)</f>
        <v>0</v>
      </c>
      <c r="T20" s="411">
        <f>CHOOSE(CF!$G$1,'Capex Allocation'!O19,'Capex Allocation'!O81)</f>
        <v>0</v>
      </c>
      <c r="U20" s="411">
        <f>CHOOSE(CF!$G$1,'Capex Allocation'!P19,'Capex Allocation'!P81)</f>
        <v>0</v>
      </c>
      <c r="V20" s="411">
        <f>CHOOSE(CF!$G$1,'Capex Allocation'!Q19,'Capex Allocation'!Q81)</f>
        <v>0</v>
      </c>
      <c r="W20" s="411">
        <f>CHOOSE(CF!$G$1,'Capex Allocation'!R19,'Capex Allocation'!R81)</f>
        <v>0</v>
      </c>
      <c r="X20" s="411">
        <f>CHOOSE(CF!$G$1,'Capex Allocation'!S19,'Capex Allocation'!S81)</f>
        <v>0</v>
      </c>
      <c r="Y20" s="411">
        <f>CHOOSE(CF!$G$1,'Capex Allocation'!T19,'Capex Allocation'!T81)</f>
        <v>0</v>
      </c>
      <c r="Z20" s="411">
        <f>CHOOSE(CF!$G$1,'Capex Allocation'!U19,'Capex Allocation'!U81)</f>
        <v>0</v>
      </c>
    </row>
    <row r="21" spans="2:26" ht="15" customHeight="1" x14ac:dyDescent="0.3">
      <c r="C21" s="8" t="s">
        <v>125</v>
      </c>
      <c r="K21" s="204">
        <f t="shared" si="2"/>
        <v>1</v>
      </c>
      <c r="M21" s="411">
        <f>CHOOSE(CF!$G$1,'Capex Allocation'!H20,'Capex Allocation'!H82)</f>
        <v>0.1</v>
      </c>
      <c r="N21" s="411">
        <f>CHOOSE(CF!$G$1,'Capex Allocation'!I20,'Capex Allocation'!I82)</f>
        <v>0.1</v>
      </c>
      <c r="O21" s="411">
        <f>CHOOSE(CF!$G$1,'Capex Allocation'!J20,'Capex Allocation'!J82)</f>
        <v>0.25</v>
      </c>
      <c r="P21" s="411">
        <f>CHOOSE(CF!$G$1,'Capex Allocation'!K20,'Capex Allocation'!K82)</f>
        <v>0.25</v>
      </c>
      <c r="Q21" s="411">
        <f>CHOOSE(CF!$G$1,'Capex Allocation'!L20,'Capex Allocation'!L82)</f>
        <v>0.25</v>
      </c>
      <c r="R21" s="411">
        <f>CHOOSE(CF!$G$1,'Capex Allocation'!M20,'Capex Allocation'!M82)</f>
        <v>0.05</v>
      </c>
      <c r="S21" s="411">
        <f>CHOOSE(CF!$G$1,'Capex Allocation'!N20,'Capex Allocation'!N82)</f>
        <v>0</v>
      </c>
      <c r="T21" s="411">
        <f>CHOOSE(CF!$G$1,'Capex Allocation'!O20,'Capex Allocation'!O82)</f>
        <v>0</v>
      </c>
      <c r="U21" s="411">
        <f>CHOOSE(CF!$G$1,'Capex Allocation'!P20,'Capex Allocation'!P82)</f>
        <v>0</v>
      </c>
      <c r="V21" s="411">
        <f>CHOOSE(CF!$G$1,'Capex Allocation'!Q20,'Capex Allocation'!Q82)</f>
        <v>0</v>
      </c>
      <c r="W21" s="411">
        <f>CHOOSE(CF!$G$1,'Capex Allocation'!R20,'Capex Allocation'!R82)</f>
        <v>0</v>
      </c>
      <c r="X21" s="411">
        <f>CHOOSE(CF!$G$1,'Capex Allocation'!S20,'Capex Allocation'!S82)</f>
        <v>0</v>
      </c>
      <c r="Y21" s="411">
        <f>CHOOSE(CF!$G$1,'Capex Allocation'!T20,'Capex Allocation'!T82)</f>
        <v>0</v>
      </c>
      <c r="Z21" s="411">
        <f>CHOOSE(CF!$G$1,'Capex Allocation'!U20,'Capex Allocation'!U82)</f>
        <v>0</v>
      </c>
    </row>
    <row r="22" spans="2:26" ht="15" customHeight="1" x14ac:dyDescent="0.3">
      <c r="C22" s="8" t="s">
        <v>126</v>
      </c>
      <c r="K22" s="204">
        <f t="shared" si="2"/>
        <v>1</v>
      </c>
      <c r="M22" s="411">
        <f>CHOOSE(CF!$G$1,'Capex Allocation'!H21,'Capex Allocation'!H83)</f>
        <v>0.1</v>
      </c>
      <c r="N22" s="411">
        <f>CHOOSE(CF!$G$1,'Capex Allocation'!I21,'Capex Allocation'!I83)</f>
        <v>0.1</v>
      </c>
      <c r="O22" s="411">
        <f>CHOOSE(CF!$G$1,'Capex Allocation'!J21,'Capex Allocation'!J83)</f>
        <v>0.25</v>
      </c>
      <c r="P22" s="411">
        <f>CHOOSE(CF!$G$1,'Capex Allocation'!K21,'Capex Allocation'!K83)</f>
        <v>0.25</v>
      </c>
      <c r="Q22" s="411">
        <f>CHOOSE(CF!$G$1,'Capex Allocation'!L21,'Capex Allocation'!L83)</f>
        <v>0.25</v>
      </c>
      <c r="R22" s="411">
        <f>CHOOSE(CF!$G$1,'Capex Allocation'!M21,'Capex Allocation'!M83)</f>
        <v>0.05</v>
      </c>
      <c r="S22" s="411">
        <f>CHOOSE(CF!$G$1,'Capex Allocation'!N21,'Capex Allocation'!N83)</f>
        <v>0</v>
      </c>
      <c r="T22" s="411">
        <f>CHOOSE(CF!$G$1,'Capex Allocation'!O21,'Capex Allocation'!O83)</f>
        <v>0</v>
      </c>
      <c r="U22" s="411">
        <f>CHOOSE(CF!$G$1,'Capex Allocation'!P21,'Capex Allocation'!P83)</f>
        <v>0</v>
      </c>
      <c r="V22" s="411">
        <f>CHOOSE(CF!$G$1,'Capex Allocation'!Q21,'Capex Allocation'!Q83)</f>
        <v>0</v>
      </c>
      <c r="W22" s="411">
        <f>CHOOSE(CF!$G$1,'Capex Allocation'!R21,'Capex Allocation'!R83)</f>
        <v>0</v>
      </c>
      <c r="X22" s="411">
        <f>CHOOSE(CF!$G$1,'Capex Allocation'!S21,'Capex Allocation'!S83)</f>
        <v>0</v>
      </c>
      <c r="Y22" s="411">
        <f>CHOOSE(CF!$G$1,'Capex Allocation'!T21,'Capex Allocation'!T83)</f>
        <v>0</v>
      </c>
      <c r="Z22" s="411">
        <f>CHOOSE(CF!$G$1,'Capex Allocation'!U21,'Capex Allocation'!U83)</f>
        <v>0</v>
      </c>
    </row>
    <row r="23" spans="2:26" ht="15" customHeight="1" x14ac:dyDescent="0.3">
      <c r="C23" s="8" t="s">
        <v>127</v>
      </c>
      <c r="K23" s="204">
        <f t="shared" si="2"/>
        <v>1</v>
      </c>
      <c r="M23" s="411">
        <f>CHOOSE(CF!$G$1,'Capex Allocation'!H22,'Capex Allocation'!H84)</f>
        <v>0.1</v>
      </c>
      <c r="N23" s="411">
        <f>CHOOSE(CF!$G$1,'Capex Allocation'!I22,'Capex Allocation'!I84)</f>
        <v>0.1</v>
      </c>
      <c r="O23" s="411">
        <f>CHOOSE(CF!$G$1,'Capex Allocation'!J22,'Capex Allocation'!J84)</f>
        <v>0.25</v>
      </c>
      <c r="P23" s="411">
        <f>CHOOSE(CF!$G$1,'Capex Allocation'!K22,'Capex Allocation'!K84)</f>
        <v>0.25</v>
      </c>
      <c r="Q23" s="411">
        <f>CHOOSE(CF!$G$1,'Capex Allocation'!L22,'Capex Allocation'!L84)</f>
        <v>0.25</v>
      </c>
      <c r="R23" s="411">
        <f>CHOOSE(CF!$G$1,'Capex Allocation'!M22,'Capex Allocation'!M84)</f>
        <v>0.05</v>
      </c>
      <c r="S23" s="411">
        <f>CHOOSE(CF!$G$1,'Capex Allocation'!N22,'Capex Allocation'!N84)</f>
        <v>0</v>
      </c>
      <c r="T23" s="411">
        <f>CHOOSE(CF!$G$1,'Capex Allocation'!O22,'Capex Allocation'!O84)</f>
        <v>0</v>
      </c>
      <c r="U23" s="411">
        <f>CHOOSE(CF!$G$1,'Capex Allocation'!P22,'Capex Allocation'!P84)</f>
        <v>0</v>
      </c>
      <c r="V23" s="411">
        <f>CHOOSE(CF!$G$1,'Capex Allocation'!Q22,'Capex Allocation'!Q84)</f>
        <v>0</v>
      </c>
      <c r="W23" s="411">
        <f>CHOOSE(CF!$G$1,'Capex Allocation'!R22,'Capex Allocation'!R84)</f>
        <v>0</v>
      </c>
      <c r="X23" s="411">
        <f>CHOOSE(CF!$G$1,'Capex Allocation'!S22,'Capex Allocation'!S84)</f>
        <v>0</v>
      </c>
      <c r="Y23" s="411">
        <f>CHOOSE(CF!$G$1,'Capex Allocation'!T22,'Capex Allocation'!T84)</f>
        <v>0</v>
      </c>
      <c r="Z23" s="411">
        <f>CHOOSE(CF!$G$1,'Capex Allocation'!U22,'Capex Allocation'!U84)</f>
        <v>0</v>
      </c>
    </row>
    <row r="24" spans="2:26" ht="15" customHeight="1" x14ac:dyDescent="0.3">
      <c r="C24" s="8" t="s">
        <v>128</v>
      </c>
      <c r="K24" s="204">
        <f t="shared" si="2"/>
        <v>1</v>
      </c>
      <c r="M24" s="411">
        <f>CHOOSE(CF!$G$1,'Capex Allocation'!H23,'Capex Allocation'!H85)</f>
        <v>0.1</v>
      </c>
      <c r="N24" s="411">
        <f>CHOOSE(CF!$G$1,'Capex Allocation'!I23,'Capex Allocation'!I85)</f>
        <v>0.1</v>
      </c>
      <c r="O24" s="411">
        <f>CHOOSE(CF!$G$1,'Capex Allocation'!J23,'Capex Allocation'!J85)</f>
        <v>0.25</v>
      </c>
      <c r="P24" s="411">
        <f>CHOOSE(CF!$G$1,'Capex Allocation'!K23,'Capex Allocation'!K85)</f>
        <v>0.25</v>
      </c>
      <c r="Q24" s="411">
        <f>CHOOSE(CF!$G$1,'Capex Allocation'!L23,'Capex Allocation'!L85)</f>
        <v>0.25</v>
      </c>
      <c r="R24" s="411">
        <f>CHOOSE(CF!$G$1,'Capex Allocation'!M23,'Capex Allocation'!M85)</f>
        <v>0.05</v>
      </c>
      <c r="S24" s="411">
        <f>CHOOSE(CF!$G$1,'Capex Allocation'!N23,'Capex Allocation'!N85)</f>
        <v>0</v>
      </c>
      <c r="T24" s="411">
        <f>CHOOSE(CF!$G$1,'Capex Allocation'!O23,'Capex Allocation'!O85)</f>
        <v>0</v>
      </c>
      <c r="U24" s="411">
        <f>CHOOSE(CF!$G$1,'Capex Allocation'!P23,'Capex Allocation'!P85)</f>
        <v>0</v>
      </c>
      <c r="V24" s="411">
        <f>CHOOSE(CF!$G$1,'Capex Allocation'!Q23,'Capex Allocation'!Q85)</f>
        <v>0</v>
      </c>
      <c r="W24" s="411">
        <f>CHOOSE(CF!$G$1,'Capex Allocation'!R23,'Capex Allocation'!R85)</f>
        <v>0</v>
      </c>
      <c r="X24" s="411">
        <f>CHOOSE(CF!$G$1,'Capex Allocation'!S23,'Capex Allocation'!S85)</f>
        <v>0</v>
      </c>
      <c r="Y24" s="411">
        <f>CHOOSE(CF!$G$1,'Capex Allocation'!T23,'Capex Allocation'!T85)</f>
        <v>0</v>
      </c>
      <c r="Z24" s="411">
        <f>CHOOSE(CF!$G$1,'Capex Allocation'!U23,'Capex Allocation'!U85)</f>
        <v>0</v>
      </c>
    </row>
    <row r="25" spans="2:26" ht="15" customHeight="1" x14ac:dyDescent="0.3">
      <c r="C25" s="8" t="s">
        <v>133</v>
      </c>
      <c r="K25" s="204">
        <f t="shared" si="2"/>
        <v>1</v>
      </c>
      <c r="M25" s="411">
        <f>CHOOSE(CF!$G$1,'Capex Allocation'!H24,'Capex Allocation'!H86)</f>
        <v>0.1</v>
      </c>
      <c r="N25" s="411">
        <f>CHOOSE(CF!$G$1,'Capex Allocation'!I24,'Capex Allocation'!I86)</f>
        <v>0.1</v>
      </c>
      <c r="O25" s="411">
        <f>CHOOSE(CF!$G$1,'Capex Allocation'!J24,'Capex Allocation'!J86)</f>
        <v>0.25</v>
      </c>
      <c r="P25" s="411">
        <f>CHOOSE(CF!$G$1,'Capex Allocation'!K24,'Capex Allocation'!K86)</f>
        <v>0.25</v>
      </c>
      <c r="Q25" s="411">
        <f>CHOOSE(CF!$G$1,'Capex Allocation'!L24,'Capex Allocation'!L86)</f>
        <v>0.25</v>
      </c>
      <c r="R25" s="411">
        <f>CHOOSE(CF!$G$1,'Capex Allocation'!M24,'Capex Allocation'!M86)</f>
        <v>0.05</v>
      </c>
      <c r="S25" s="411">
        <f>CHOOSE(CF!$G$1,'Capex Allocation'!N24,'Capex Allocation'!N86)</f>
        <v>0</v>
      </c>
      <c r="T25" s="411">
        <f>CHOOSE(CF!$G$1,'Capex Allocation'!O24,'Capex Allocation'!O86)</f>
        <v>0</v>
      </c>
      <c r="U25" s="411">
        <f>CHOOSE(CF!$G$1,'Capex Allocation'!P24,'Capex Allocation'!P86)</f>
        <v>0</v>
      </c>
      <c r="V25" s="411">
        <f>CHOOSE(CF!$G$1,'Capex Allocation'!Q24,'Capex Allocation'!Q86)</f>
        <v>0</v>
      </c>
      <c r="W25" s="411">
        <f>CHOOSE(CF!$G$1,'Capex Allocation'!R24,'Capex Allocation'!R86)</f>
        <v>0</v>
      </c>
      <c r="X25" s="411">
        <f>CHOOSE(CF!$G$1,'Capex Allocation'!S24,'Capex Allocation'!S86)</f>
        <v>0</v>
      </c>
      <c r="Y25" s="411">
        <f>CHOOSE(CF!$G$1,'Capex Allocation'!T24,'Capex Allocation'!T86)</f>
        <v>0</v>
      </c>
      <c r="Z25" s="411">
        <f>CHOOSE(CF!$G$1,'Capex Allocation'!U24,'Capex Allocation'!U86)</f>
        <v>0</v>
      </c>
    </row>
    <row r="26" spans="2:26" ht="15" customHeight="1" x14ac:dyDescent="0.3">
      <c r="C26" s="8" t="s">
        <v>129</v>
      </c>
      <c r="K26" s="204">
        <f t="shared" si="2"/>
        <v>1</v>
      </c>
      <c r="M26" s="411">
        <f>CHOOSE(CF!$G$1,'Capex Allocation'!H25,'Capex Allocation'!H87)</f>
        <v>0.1</v>
      </c>
      <c r="N26" s="411">
        <f>CHOOSE(CF!$G$1,'Capex Allocation'!I25,'Capex Allocation'!I87)</f>
        <v>0.1</v>
      </c>
      <c r="O26" s="411">
        <f>CHOOSE(CF!$G$1,'Capex Allocation'!J25,'Capex Allocation'!J87)</f>
        <v>0.25</v>
      </c>
      <c r="P26" s="411">
        <f>CHOOSE(CF!$G$1,'Capex Allocation'!K25,'Capex Allocation'!K87)</f>
        <v>0.25</v>
      </c>
      <c r="Q26" s="411">
        <f>CHOOSE(CF!$G$1,'Capex Allocation'!L25,'Capex Allocation'!L87)</f>
        <v>0.25</v>
      </c>
      <c r="R26" s="411">
        <f>CHOOSE(CF!$G$1,'Capex Allocation'!M25,'Capex Allocation'!M87)</f>
        <v>0.05</v>
      </c>
      <c r="S26" s="411">
        <f>CHOOSE(CF!$G$1,'Capex Allocation'!N25,'Capex Allocation'!N87)</f>
        <v>0</v>
      </c>
      <c r="T26" s="411">
        <f>CHOOSE(CF!$G$1,'Capex Allocation'!O25,'Capex Allocation'!O87)</f>
        <v>0</v>
      </c>
      <c r="U26" s="411">
        <f>CHOOSE(CF!$G$1,'Capex Allocation'!P25,'Capex Allocation'!P87)</f>
        <v>0</v>
      </c>
      <c r="V26" s="411">
        <f>CHOOSE(CF!$G$1,'Capex Allocation'!Q25,'Capex Allocation'!Q87)</f>
        <v>0</v>
      </c>
      <c r="W26" s="411">
        <f>CHOOSE(CF!$G$1,'Capex Allocation'!R25,'Capex Allocation'!R87)</f>
        <v>0</v>
      </c>
      <c r="X26" s="411">
        <f>CHOOSE(CF!$G$1,'Capex Allocation'!S25,'Capex Allocation'!S87)</f>
        <v>0</v>
      </c>
      <c r="Y26" s="411">
        <f>CHOOSE(CF!$G$1,'Capex Allocation'!T25,'Capex Allocation'!T87)</f>
        <v>0</v>
      </c>
      <c r="Z26" s="411">
        <f>CHOOSE(CF!$G$1,'Capex Allocation'!U25,'Capex Allocation'!U87)</f>
        <v>0</v>
      </c>
    </row>
    <row r="27" spans="2:26" ht="15" customHeight="1" x14ac:dyDescent="0.3">
      <c r="C27" s="8" t="s">
        <v>130</v>
      </c>
      <c r="K27" s="204">
        <f t="shared" si="2"/>
        <v>1</v>
      </c>
      <c r="M27" s="411">
        <f>CHOOSE(CF!$G$1,'Capex Allocation'!H26,'Capex Allocation'!H88)</f>
        <v>0.1</v>
      </c>
      <c r="N27" s="411">
        <f>CHOOSE(CF!$G$1,'Capex Allocation'!I26,'Capex Allocation'!I88)</f>
        <v>0.1</v>
      </c>
      <c r="O27" s="411">
        <f>CHOOSE(CF!$G$1,'Capex Allocation'!J26,'Capex Allocation'!J88)</f>
        <v>0.25</v>
      </c>
      <c r="P27" s="411">
        <f>CHOOSE(CF!$G$1,'Capex Allocation'!K26,'Capex Allocation'!K88)</f>
        <v>0.25</v>
      </c>
      <c r="Q27" s="411">
        <f>CHOOSE(CF!$G$1,'Capex Allocation'!L26,'Capex Allocation'!L88)</f>
        <v>0.25</v>
      </c>
      <c r="R27" s="411">
        <f>CHOOSE(CF!$G$1,'Capex Allocation'!M26,'Capex Allocation'!M88)</f>
        <v>0.05</v>
      </c>
      <c r="S27" s="411">
        <f>CHOOSE(CF!$G$1,'Capex Allocation'!N26,'Capex Allocation'!N88)</f>
        <v>0</v>
      </c>
      <c r="T27" s="411">
        <f>CHOOSE(CF!$G$1,'Capex Allocation'!O26,'Capex Allocation'!O88)</f>
        <v>0</v>
      </c>
      <c r="U27" s="411">
        <f>CHOOSE(CF!$G$1,'Capex Allocation'!P26,'Capex Allocation'!P88)</f>
        <v>0</v>
      </c>
      <c r="V27" s="411">
        <f>CHOOSE(CF!$G$1,'Capex Allocation'!Q26,'Capex Allocation'!Q88)</f>
        <v>0</v>
      </c>
      <c r="W27" s="411">
        <f>CHOOSE(CF!$G$1,'Capex Allocation'!R26,'Capex Allocation'!R88)</f>
        <v>0</v>
      </c>
      <c r="X27" s="411">
        <f>CHOOSE(CF!$G$1,'Capex Allocation'!S26,'Capex Allocation'!S88)</f>
        <v>0</v>
      </c>
      <c r="Y27" s="411">
        <f>CHOOSE(CF!$G$1,'Capex Allocation'!T26,'Capex Allocation'!T88)</f>
        <v>0</v>
      </c>
      <c r="Z27" s="411">
        <f>CHOOSE(CF!$G$1,'Capex Allocation'!U26,'Capex Allocation'!U88)</f>
        <v>0</v>
      </c>
    </row>
    <row r="28" spans="2:26" ht="15" customHeight="1" x14ac:dyDescent="0.3">
      <c r="C28" s="141" t="s">
        <v>134</v>
      </c>
    </row>
    <row r="29" spans="2:26" ht="15" customHeight="1" x14ac:dyDescent="0.3"/>
    <row r="30" spans="2:26" ht="15" customHeight="1" x14ac:dyDescent="0.3">
      <c r="C30" s="52" t="s">
        <v>139</v>
      </c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2:26" ht="15" customHeight="1" x14ac:dyDescent="0.3">
      <c r="C31" s="8" t="s">
        <v>132</v>
      </c>
      <c r="K31" s="204">
        <f t="shared" ref="K31:K38" si="3">SUM(L31:R31)</f>
        <v>1</v>
      </c>
      <c r="M31" s="411">
        <f>CHOOSE(CF!$G$1,'Capex Allocation'!H29,'Capex Allocation'!H91)</f>
        <v>1</v>
      </c>
      <c r="N31" s="411">
        <f>CHOOSE(CF!$G$1,'Capex Allocation'!I29,'Capex Allocation'!I91)</f>
        <v>0</v>
      </c>
      <c r="O31" s="411">
        <f>CHOOSE(CF!$G$1,'Capex Allocation'!J29,'Capex Allocation'!J91)</f>
        <v>0</v>
      </c>
      <c r="P31" s="411">
        <f>CHOOSE(CF!$G$1,'Capex Allocation'!K29,'Capex Allocation'!K91)</f>
        <v>0</v>
      </c>
      <c r="Q31" s="411">
        <f>CHOOSE(CF!$G$1,'Capex Allocation'!L29,'Capex Allocation'!L91)</f>
        <v>0</v>
      </c>
      <c r="R31" s="411">
        <f>CHOOSE(CF!$G$1,'Capex Allocation'!M29,'Capex Allocation'!M91)</f>
        <v>0</v>
      </c>
      <c r="S31" s="411">
        <f>CHOOSE(CF!$G$1,'Capex Allocation'!N29,'Capex Allocation'!N91)</f>
        <v>0</v>
      </c>
      <c r="T31" s="411">
        <f>CHOOSE(CF!$G$1,'Capex Allocation'!O29,'Capex Allocation'!O91)</f>
        <v>0</v>
      </c>
      <c r="U31" s="411">
        <f>CHOOSE(CF!$G$1,'Capex Allocation'!P29,'Capex Allocation'!P91)</f>
        <v>0</v>
      </c>
      <c r="V31" s="411">
        <f>CHOOSE(CF!$G$1,'Capex Allocation'!Q29,'Capex Allocation'!Q91)</f>
        <v>0</v>
      </c>
      <c r="W31" s="411">
        <f>CHOOSE(CF!$G$1,'Capex Allocation'!R29,'Capex Allocation'!R91)</f>
        <v>0</v>
      </c>
      <c r="X31" s="411">
        <f>CHOOSE(CF!$G$1,'Capex Allocation'!S29,'Capex Allocation'!S91)</f>
        <v>0</v>
      </c>
      <c r="Y31" s="411">
        <f>CHOOSE(CF!$G$1,'Capex Allocation'!T29,'Capex Allocation'!T91)</f>
        <v>0</v>
      </c>
      <c r="Z31" s="411">
        <f>CHOOSE(CF!$G$1,'Capex Allocation'!U29,'Capex Allocation'!U91)</f>
        <v>0</v>
      </c>
    </row>
    <row r="32" spans="2:26" ht="15" customHeight="1" x14ac:dyDescent="0.3">
      <c r="C32" s="8" t="s">
        <v>125</v>
      </c>
      <c r="K32" s="204">
        <f t="shared" si="3"/>
        <v>0.99999999999999989</v>
      </c>
      <c r="M32" s="411">
        <f>CHOOSE(CF!$G$1,'Capex Allocation'!H30,'Capex Allocation'!H92)</f>
        <v>0.1</v>
      </c>
      <c r="N32" s="411">
        <f>CHOOSE(CF!$G$1,'Capex Allocation'!I30,'Capex Allocation'!I92)</f>
        <v>0.25</v>
      </c>
      <c r="O32" s="411">
        <f>CHOOSE(CF!$G$1,'Capex Allocation'!J30,'Capex Allocation'!J92)</f>
        <v>0.3</v>
      </c>
      <c r="P32" s="411">
        <f>CHOOSE(CF!$G$1,'Capex Allocation'!K30,'Capex Allocation'!K92)</f>
        <v>0.25</v>
      </c>
      <c r="Q32" s="411">
        <f>CHOOSE(CF!$G$1,'Capex Allocation'!L30,'Capex Allocation'!L92)</f>
        <v>0.1</v>
      </c>
      <c r="R32" s="411">
        <f>CHOOSE(CF!$G$1,'Capex Allocation'!M30,'Capex Allocation'!M92)</f>
        <v>0</v>
      </c>
      <c r="S32" s="411">
        <f>CHOOSE(CF!$G$1,'Capex Allocation'!N30,'Capex Allocation'!N92)</f>
        <v>0</v>
      </c>
      <c r="T32" s="411">
        <f>CHOOSE(CF!$G$1,'Capex Allocation'!O30,'Capex Allocation'!O92)</f>
        <v>0</v>
      </c>
      <c r="U32" s="411">
        <f>CHOOSE(CF!$G$1,'Capex Allocation'!P30,'Capex Allocation'!P92)</f>
        <v>0</v>
      </c>
      <c r="V32" s="411">
        <f>CHOOSE(CF!$G$1,'Capex Allocation'!Q30,'Capex Allocation'!Q92)</f>
        <v>0</v>
      </c>
      <c r="W32" s="411">
        <f>CHOOSE(CF!$G$1,'Capex Allocation'!R30,'Capex Allocation'!R92)</f>
        <v>0</v>
      </c>
      <c r="X32" s="411">
        <f>CHOOSE(CF!$G$1,'Capex Allocation'!S30,'Capex Allocation'!S92)</f>
        <v>0</v>
      </c>
      <c r="Y32" s="411">
        <f>CHOOSE(CF!$G$1,'Capex Allocation'!T30,'Capex Allocation'!T92)</f>
        <v>0</v>
      </c>
      <c r="Z32" s="411">
        <f>CHOOSE(CF!$G$1,'Capex Allocation'!U30,'Capex Allocation'!U92)</f>
        <v>0</v>
      </c>
    </row>
    <row r="33" spans="3:26" ht="15" customHeight="1" x14ac:dyDescent="0.3">
      <c r="C33" s="8" t="s">
        <v>126</v>
      </c>
      <c r="K33" s="204">
        <f t="shared" si="3"/>
        <v>0.99999999999999989</v>
      </c>
      <c r="M33" s="411">
        <f>CHOOSE(CF!$G$1,'Capex Allocation'!H31,'Capex Allocation'!H93)</f>
        <v>0.1</v>
      </c>
      <c r="N33" s="411">
        <f>CHOOSE(CF!$G$1,'Capex Allocation'!I31,'Capex Allocation'!I93)</f>
        <v>0.25</v>
      </c>
      <c r="O33" s="411">
        <f>CHOOSE(CF!$G$1,'Capex Allocation'!J31,'Capex Allocation'!J93)</f>
        <v>0.3</v>
      </c>
      <c r="P33" s="411">
        <f>CHOOSE(CF!$G$1,'Capex Allocation'!K31,'Capex Allocation'!K93)</f>
        <v>0.25</v>
      </c>
      <c r="Q33" s="411">
        <f>CHOOSE(CF!$G$1,'Capex Allocation'!L31,'Capex Allocation'!L93)</f>
        <v>0.1</v>
      </c>
      <c r="R33" s="411">
        <f>CHOOSE(CF!$G$1,'Capex Allocation'!M31,'Capex Allocation'!M93)</f>
        <v>0</v>
      </c>
      <c r="S33" s="411">
        <f>CHOOSE(CF!$G$1,'Capex Allocation'!N31,'Capex Allocation'!N93)</f>
        <v>0</v>
      </c>
      <c r="T33" s="411">
        <f>CHOOSE(CF!$G$1,'Capex Allocation'!O31,'Capex Allocation'!O93)</f>
        <v>0</v>
      </c>
      <c r="U33" s="411">
        <f>CHOOSE(CF!$G$1,'Capex Allocation'!P31,'Capex Allocation'!P93)</f>
        <v>0</v>
      </c>
      <c r="V33" s="411">
        <f>CHOOSE(CF!$G$1,'Capex Allocation'!Q31,'Capex Allocation'!Q93)</f>
        <v>0</v>
      </c>
      <c r="W33" s="411">
        <f>CHOOSE(CF!$G$1,'Capex Allocation'!R31,'Capex Allocation'!R93)</f>
        <v>0</v>
      </c>
      <c r="X33" s="411">
        <f>CHOOSE(CF!$G$1,'Capex Allocation'!S31,'Capex Allocation'!S93)</f>
        <v>0</v>
      </c>
      <c r="Y33" s="411">
        <f>CHOOSE(CF!$G$1,'Capex Allocation'!T31,'Capex Allocation'!T93)</f>
        <v>0</v>
      </c>
      <c r="Z33" s="411">
        <f>CHOOSE(CF!$G$1,'Capex Allocation'!U31,'Capex Allocation'!U93)</f>
        <v>0</v>
      </c>
    </row>
    <row r="34" spans="3:26" ht="15" customHeight="1" x14ac:dyDescent="0.3">
      <c r="C34" s="8" t="s">
        <v>127</v>
      </c>
      <c r="K34" s="204">
        <f t="shared" si="3"/>
        <v>0.99999999999999989</v>
      </c>
      <c r="M34" s="411">
        <f>CHOOSE(CF!$G$1,'Capex Allocation'!H32,'Capex Allocation'!H94)</f>
        <v>0.1</v>
      </c>
      <c r="N34" s="411">
        <f>CHOOSE(CF!$G$1,'Capex Allocation'!I32,'Capex Allocation'!I94)</f>
        <v>0.25</v>
      </c>
      <c r="O34" s="411">
        <f>CHOOSE(CF!$G$1,'Capex Allocation'!J32,'Capex Allocation'!J94)</f>
        <v>0.3</v>
      </c>
      <c r="P34" s="411">
        <f>CHOOSE(CF!$G$1,'Capex Allocation'!K32,'Capex Allocation'!K94)</f>
        <v>0.25</v>
      </c>
      <c r="Q34" s="411">
        <f>CHOOSE(CF!$G$1,'Capex Allocation'!L32,'Capex Allocation'!L94)</f>
        <v>0.1</v>
      </c>
      <c r="R34" s="411">
        <f>CHOOSE(CF!$G$1,'Capex Allocation'!M32,'Capex Allocation'!M94)</f>
        <v>0</v>
      </c>
      <c r="S34" s="411">
        <f>CHOOSE(CF!$G$1,'Capex Allocation'!N32,'Capex Allocation'!N94)</f>
        <v>0</v>
      </c>
      <c r="T34" s="411">
        <f>CHOOSE(CF!$G$1,'Capex Allocation'!O32,'Capex Allocation'!O94)</f>
        <v>0</v>
      </c>
      <c r="U34" s="411">
        <f>CHOOSE(CF!$G$1,'Capex Allocation'!P32,'Capex Allocation'!P94)</f>
        <v>0</v>
      </c>
      <c r="V34" s="411">
        <f>CHOOSE(CF!$G$1,'Capex Allocation'!Q32,'Capex Allocation'!Q94)</f>
        <v>0</v>
      </c>
      <c r="W34" s="411">
        <f>CHOOSE(CF!$G$1,'Capex Allocation'!R32,'Capex Allocation'!R94)</f>
        <v>0</v>
      </c>
      <c r="X34" s="411">
        <f>CHOOSE(CF!$G$1,'Capex Allocation'!S32,'Capex Allocation'!S94)</f>
        <v>0</v>
      </c>
      <c r="Y34" s="411">
        <f>CHOOSE(CF!$G$1,'Capex Allocation'!T32,'Capex Allocation'!T94)</f>
        <v>0</v>
      </c>
      <c r="Z34" s="411">
        <f>CHOOSE(CF!$G$1,'Capex Allocation'!U32,'Capex Allocation'!U94)</f>
        <v>0</v>
      </c>
    </row>
    <row r="35" spans="3:26" ht="15" customHeight="1" x14ac:dyDescent="0.3">
      <c r="C35" s="8" t="s">
        <v>128</v>
      </c>
      <c r="K35" s="204">
        <f t="shared" si="3"/>
        <v>0.99999999999999989</v>
      </c>
      <c r="M35" s="411">
        <f>CHOOSE(CF!$G$1,'Capex Allocation'!H33,'Capex Allocation'!H95)</f>
        <v>0.1</v>
      </c>
      <c r="N35" s="411">
        <f>CHOOSE(CF!$G$1,'Capex Allocation'!I33,'Capex Allocation'!I95)</f>
        <v>0.25</v>
      </c>
      <c r="O35" s="411">
        <f>CHOOSE(CF!$G$1,'Capex Allocation'!J33,'Capex Allocation'!J95)</f>
        <v>0.3</v>
      </c>
      <c r="P35" s="411">
        <f>CHOOSE(CF!$G$1,'Capex Allocation'!K33,'Capex Allocation'!K95)</f>
        <v>0.25</v>
      </c>
      <c r="Q35" s="411">
        <f>CHOOSE(CF!$G$1,'Capex Allocation'!L33,'Capex Allocation'!L95)</f>
        <v>0.1</v>
      </c>
      <c r="R35" s="411">
        <f>CHOOSE(CF!$G$1,'Capex Allocation'!M33,'Capex Allocation'!M95)</f>
        <v>0</v>
      </c>
      <c r="S35" s="411">
        <f>CHOOSE(CF!$G$1,'Capex Allocation'!N33,'Capex Allocation'!N95)</f>
        <v>0</v>
      </c>
      <c r="T35" s="411">
        <f>CHOOSE(CF!$G$1,'Capex Allocation'!O33,'Capex Allocation'!O95)</f>
        <v>0</v>
      </c>
      <c r="U35" s="411">
        <f>CHOOSE(CF!$G$1,'Capex Allocation'!P33,'Capex Allocation'!P95)</f>
        <v>0</v>
      </c>
      <c r="V35" s="411">
        <f>CHOOSE(CF!$G$1,'Capex Allocation'!Q33,'Capex Allocation'!Q95)</f>
        <v>0</v>
      </c>
      <c r="W35" s="411">
        <f>CHOOSE(CF!$G$1,'Capex Allocation'!R33,'Capex Allocation'!R95)</f>
        <v>0</v>
      </c>
      <c r="X35" s="411">
        <f>CHOOSE(CF!$G$1,'Capex Allocation'!S33,'Capex Allocation'!S95)</f>
        <v>0</v>
      </c>
      <c r="Y35" s="411">
        <f>CHOOSE(CF!$G$1,'Capex Allocation'!T33,'Capex Allocation'!T95)</f>
        <v>0</v>
      </c>
      <c r="Z35" s="411">
        <f>CHOOSE(CF!$G$1,'Capex Allocation'!U33,'Capex Allocation'!U95)</f>
        <v>0</v>
      </c>
    </row>
    <row r="36" spans="3:26" ht="15" customHeight="1" x14ac:dyDescent="0.3">
      <c r="C36" s="8" t="s">
        <v>133</v>
      </c>
      <c r="K36" s="204">
        <f t="shared" si="3"/>
        <v>0.99999999999999989</v>
      </c>
      <c r="M36" s="411">
        <f>CHOOSE(CF!$G$1,'Capex Allocation'!H34,'Capex Allocation'!H96)</f>
        <v>0.1</v>
      </c>
      <c r="N36" s="411">
        <f>CHOOSE(CF!$G$1,'Capex Allocation'!I34,'Capex Allocation'!I96)</f>
        <v>0.25</v>
      </c>
      <c r="O36" s="411">
        <f>CHOOSE(CF!$G$1,'Capex Allocation'!J34,'Capex Allocation'!J96)</f>
        <v>0.3</v>
      </c>
      <c r="P36" s="411">
        <f>CHOOSE(CF!$G$1,'Capex Allocation'!K34,'Capex Allocation'!K96)</f>
        <v>0.25</v>
      </c>
      <c r="Q36" s="411">
        <f>CHOOSE(CF!$G$1,'Capex Allocation'!L34,'Capex Allocation'!L96)</f>
        <v>0.1</v>
      </c>
      <c r="R36" s="411">
        <f>CHOOSE(CF!$G$1,'Capex Allocation'!M34,'Capex Allocation'!M96)</f>
        <v>0</v>
      </c>
      <c r="S36" s="411">
        <f>CHOOSE(CF!$G$1,'Capex Allocation'!N34,'Capex Allocation'!N96)</f>
        <v>0</v>
      </c>
      <c r="T36" s="411">
        <f>CHOOSE(CF!$G$1,'Capex Allocation'!O34,'Capex Allocation'!O96)</f>
        <v>0</v>
      </c>
      <c r="U36" s="411">
        <f>CHOOSE(CF!$G$1,'Capex Allocation'!P34,'Capex Allocation'!P96)</f>
        <v>0</v>
      </c>
      <c r="V36" s="411">
        <f>CHOOSE(CF!$G$1,'Capex Allocation'!Q34,'Capex Allocation'!Q96)</f>
        <v>0</v>
      </c>
      <c r="W36" s="411">
        <f>CHOOSE(CF!$G$1,'Capex Allocation'!R34,'Capex Allocation'!R96)</f>
        <v>0</v>
      </c>
      <c r="X36" s="411">
        <f>CHOOSE(CF!$G$1,'Capex Allocation'!S34,'Capex Allocation'!S96)</f>
        <v>0</v>
      </c>
      <c r="Y36" s="411">
        <f>CHOOSE(CF!$G$1,'Capex Allocation'!T34,'Capex Allocation'!T96)</f>
        <v>0</v>
      </c>
      <c r="Z36" s="411">
        <f>CHOOSE(CF!$G$1,'Capex Allocation'!U34,'Capex Allocation'!U96)</f>
        <v>0</v>
      </c>
    </row>
    <row r="37" spans="3:26" ht="15" customHeight="1" x14ac:dyDescent="0.3">
      <c r="C37" s="8" t="s">
        <v>129</v>
      </c>
      <c r="K37" s="204">
        <f t="shared" si="3"/>
        <v>0.99999999999999989</v>
      </c>
      <c r="M37" s="411">
        <f>CHOOSE(CF!$G$1,'Capex Allocation'!H35,'Capex Allocation'!H97)</f>
        <v>0.1</v>
      </c>
      <c r="N37" s="411">
        <f>CHOOSE(CF!$G$1,'Capex Allocation'!I35,'Capex Allocation'!I97)</f>
        <v>0.25</v>
      </c>
      <c r="O37" s="411">
        <f>CHOOSE(CF!$G$1,'Capex Allocation'!J35,'Capex Allocation'!J97)</f>
        <v>0.3</v>
      </c>
      <c r="P37" s="411">
        <f>CHOOSE(CF!$G$1,'Capex Allocation'!K35,'Capex Allocation'!K97)</f>
        <v>0.25</v>
      </c>
      <c r="Q37" s="411">
        <f>CHOOSE(CF!$G$1,'Capex Allocation'!L35,'Capex Allocation'!L97)</f>
        <v>0.1</v>
      </c>
      <c r="R37" s="411">
        <f>CHOOSE(CF!$G$1,'Capex Allocation'!M35,'Capex Allocation'!M97)</f>
        <v>0</v>
      </c>
      <c r="S37" s="411">
        <f>CHOOSE(CF!$G$1,'Capex Allocation'!N35,'Capex Allocation'!N97)</f>
        <v>0</v>
      </c>
      <c r="T37" s="411">
        <f>CHOOSE(CF!$G$1,'Capex Allocation'!O35,'Capex Allocation'!O97)</f>
        <v>0</v>
      </c>
      <c r="U37" s="411">
        <f>CHOOSE(CF!$G$1,'Capex Allocation'!P35,'Capex Allocation'!P97)</f>
        <v>0</v>
      </c>
      <c r="V37" s="411">
        <f>CHOOSE(CF!$G$1,'Capex Allocation'!Q35,'Capex Allocation'!Q97)</f>
        <v>0</v>
      </c>
      <c r="W37" s="411">
        <f>CHOOSE(CF!$G$1,'Capex Allocation'!R35,'Capex Allocation'!R97)</f>
        <v>0</v>
      </c>
      <c r="X37" s="411">
        <f>CHOOSE(CF!$G$1,'Capex Allocation'!S35,'Capex Allocation'!S97)</f>
        <v>0</v>
      </c>
      <c r="Y37" s="411">
        <f>CHOOSE(CF!$G$1,'Capex Allocation'!T35,'Capex Allocation'!T97)</f>
        <v>0</v>
      </c>
      <c r="Z37" s="411">
        <f>CHOOSE(CF!$G$1,'Capex Allocation'!U35,'Capex Allocation'!U97)</f>
        <v>0</v>
      </c>
    </row>
    <row r="38" spans="3:26" ht="15" customHeight="1" x14ac:dyDescent="0.3">
      <c r="C38" s="8" t="s">
        <v>130</v>
      </c>
      <c r="K38" s="204">
        <f t="shared" si="3"/>
        <v>0.99999999999999989</v>
      </c>
      <c r="M38" s="411">
        <f>CHOOSE(CF!$G$1,'Capex Allocation'!H36,'Capex Allocation'!H98)</f>
        <v>0.1</v>
      </c>
      <c r="N38" s="411">
        <f>CHOOSE(CF!$G$1,'Capex Allocation'!I36,'Capex Allocation'!I98)</f>
        <v>0.25</v>
      </c>
      <c r="O38" s="411">
        <f>CHOOSE(CF!$G$1,'Capex Allocation'!J36,'Capex Allocation'!J98)</f>
        <v>0.3</v>
      </c>
      <c r="P38" s="411">
        <f>CHOOSE(CF!$G$1,'Capex Allocation'!K36,'Capex Allocation'!K98)</f>
        <v>0.25</v>
      </c>
      <c r="Q38" s="411">
        <f>CHOOSE(CF!$G$1,'Capex Allocation'!L36,'Capex Allocation'!L98)</f>
        <v>0.1</v>
      </c>
      <c r="R38" s="411">
        <f>CHOOSE(CF!$G$1,'Capex Allocation'!M36,'Capex Allocation'!M98)</f>
        <v>0</v>
      </c>
      <c r="S38" s="411">
        <f>CHOOSE(CF!$G$1,'Capex Allocation'!N36,'Capex Allocation'!N98)</f>
        <v>0</v>
      </c>
      <c r="T38" s="411">
        <f>CHOOSE(CF!$G$1,'Capex Allocation'!O36,'Capex Allocation'!O98)</f>
        <v>0</v>
      </c>
      <c r="U38" s="411">
        <f>CHOOSE(CF!$G$1,'Capex Allocation'!P36,'Capex Allocation'!P98)</f>
        <v>0</v>
      </c>
      <c r="V38" s="411">
        <f>CHOOSE(CF!$G$1,'Capex Allocation'!Q36,'Capex Allocation'!Q98)</f>
        <v>0</v>
      </c>
      <c r="W38" s="411">
        <f>CHOOSE(CF!$G$1,'Capex Allocation'!R36,'Capex Allocation'!R98)</f>
        <v>0</v>
      </c>
      <c r="X38" s="411">
        <f>CHOOSE(CF!$G$1,'Capex Allocation'!S36,'Capex Allocation'!S98)</f>
        <v>0</v>
      </c>
      <c r="Y38" s="411">
        <f>CHOOSE(CF!$G$1,'Capex Allocation'!T36,'Capex Allocation'!T98)</f>
        <v>0</v>
      </c>
      <c r="Z38" s="411">
        <f>CHOOSE(CF!$G$1,'Capex Allocation'!U36,'Capex Allocation'!U98)</f>
        <v>0</v>
      </c>
    </row>
    <row r="39" spans="3:26" ht="15" customHeight="1" x14ac:dyDescent="0.3">
      <c r="C39" s="141" t="s">
        <v>134</v>
      </c>
    </row>
    <row r="40" spans="3:26" ht="15" customHeight="1" x14ac:dyDescent="0.3"/>
    <row r="41" spans="3:26" ht="15" customHeight="1" x14ac:dyDescent="0.3">
      <c r="C41" s="52" t="s">
        <v>140</v>
      </c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3:26" ht="15" customHeight="1" x14ac:dyDescent="0.3">
      <c r="C42" s="8" t="s">
        <v>132</v>
      </c>
      <c r="K42" s="204">
        <f t="shared" ref="K42:K49" si="4">SUM(L42:R42)</f>
        <v>1</v>
      </c>
      <c r="M42" s="411">
        <f>CHOOSE(CF!$G$1,'Capex Allocation'!H39,'Capex Allocation'!H101)</f>
        <v>1</v>
      </c>
      <c r="N42" s="411">
        <f>CHOOSE(CF!$G$1,'Capex Allocation'!I39,'Capex Allocation'!I101)</f>
        <v>0</v>
      </c>
      <c r="O42" s="411">
        <f>CHOOSE(CF!$G$1,'Capex Allocation'!J39,'Capex Allocation'!J101)</f>
        <v>0</v>
      </c>
      <c r="P42" s="411">
        <f>CHOOSE(CF!$G$1,'Capex Allocation'!K39,'Capex Allocation'!K101)</f>
        <v>0</v>
      </c>
      <c r="Q42" s="411">
        <f>CHOOSE(CF!$G$1,'Capex Allocation'!L39,'Capex Allocation'!L101)</f>
        <v>0</v>
      </c>
      <c r="R42" s="411">
        <f>CHOOSE(CF!$G$1,'Capex Allocation'!M39,'Capex Allocation'!M101)</f>
        <v>0</v>
      </c>
      <c r="S42" s="411">
        <f>CHOOSE(CF!$G$1,'Capex Allocation'!N39,'Capex Allocation'!N101)</f>
        <v>0</v>
      </c>
      <c r="T42" s="411">
        <f>CHOOSE(CF!$G$1,'Capex Allocation'!O39,'Capex Allocation'!O101)</f>
        <v>0</v>
      </c>
      <c r="U42" s="411">
        <f>CHOOSE(CF!$G$1,'Capex Allocation'!P39,'Capex Allocation'!P101)</f>
        <v>0</v>
      </c>
      <c r="V42" s="411">
        <f>CHOOSE(CF!$G$1,'Capex Allocation'!Q39,'Capex Allocation'!Q101)</f>
        <v>0</v>
      </c>
      <c r="W42" s="411">
        <f>CHOOSE(CF!$G$1,'Capex Allocation'!R39,'Capex Allocation'!R101)</f>
        <v>0</v>
      </c>
      <c r="X42" s="411">
        <f>CHOOSE(CF!$G$1,'Capex Allocation'!S39,'Capex Allocation'!S101)</f>
        <v>0</v>
      </c>
      <c r="Y42" s="411">
        <f>CHOOSE(CF!$G$1,'Capex Allocation'!T39,'Capex Allocation'!T101)</f>
        <v>0</v>
      </c>
      <c r="Z42" s="411">
        <f>CHOOSE(CF!$G$1,'Capex Allocation'!U39,'Capex Allocation'!U101)</f>
        <v>0</v>
      </c>
    </row>
    <row r="43" spans="3:26" ht="15" customHeight="1" x14ac:dyDescent="0.3">
      <c r="C43" s="8" t="s">
        <v>125</v>
      </c>
      <c r="K43" s="204">
        <f t="shared" si="4"/>
        <v>0.99999999999999989</v>
      </c>
      <c r="M43" s="411">
        <f>CHOOSE(CF!$G$1,'Capex Allocation'!H40,'Capex Allocation'!H102)</f>
        <v>0.1</v>
      </c>
      <c r="N43" s="411">
        <f>CHOOSE(CF!$G$1,'Capex Allocation'!I40,'Capex Allocation'!I102)</f>
        <v>0.25</v>
      </c>
      <c r="O43" s="411">
        <f>CHOOSE(CF!$G$1,'Capex Allocation'!J40,'Capex Allocation'!J102)</f>
        <v>0.3</v>
      </c>
      <c r="P43" s="411">
        <f>CHOOSE(CF!$G$1,'Capex Allocation'!K40,'Capex Allocation'!K102)</f>
        <v>0.25</v>
      </c>
      <c r="Q43" s="411">
        <f>CHOOSE(CF!$G$1,'Capex Allocation'!L40,'Capex Allocation'!L102)</f>
        <v>0.1</v>
      </c>
      <c r="R43" s="411">
        <f>CHOOSE(CF!$G$1,'Capex Allocation'!M40,'Capex Allocation'!M102)</f>
        <v>0</v>
      </c>
      <c r="S43" s="411">
        <f>CHOOSE(CF!$G$1,'Capex Allocation'!N40,'Capex Allocation'!N102)</f>
        <v>0</v>
      </c>
      <c r="T43" s="411">
        <f>CHOOSE(CF!$G$1,'Capex Allocation'!O40,'Capex Allocation'!O102)</f>
        <v>0</v>
      </c>
      <c r="U43" s="411">
        <f>CHOOSE(CF!$G$1,'Capex Allocation'!P40,'Capex Allocation'!P102)</f>
        <v>0</v>
      </c>
      <c r="V43" s="411">
        <f>CHOOSE(CF!$G$1,'Capex Allocation'!Q40,'Capex Allocation'!Q102)</f>
        <v>0</v>
      </c>
      <c r="W43" s="411">
        <f>CHOOSE(CF!$G$1,'Capex Allocation'!R40,'Capex Allocation'!R102)</f>
        <v>0</v>
      </c>
      <c r="X43" s="411">
        <f>CHOOSE(CF!$G$1,'Capex Allocation'!S40,'Capex Allocation'!S102)</f>
        <v>0</v>
      </c>
      <c r="Y43" s="411">
        <f>CHOOSE(CF!$G$1,'Capex Allocation'!T40,'Capex Allocation'!T102)</f>
        <v>0</v>
      </c>
      <c r="Z43" s="411">
        <f>CHOOSE(CF!$G$1,'Capex Allocation'!U40,'Capex Allocation'!U102)</f>
        <v>0</v>
      </c>
    </row>
    <row r="44" spans="3:26" ht="15" customHeight="1" x14ac:dyDescent="0.3">
      <c r="C44" s="8" t="s">
        <v>126</v>
      </c>
      <c r="K44" s="204">
        <f t="shared" si="4"/>
        <v>0.99999999999999989</v>
      </c>
      <c r="M44" s="411">
        <f>CHOOSE(CF!$G$1,'Capex Allocation'!H41,'Capex Allocation'!H103)</f>
        <v>0.1</v>
      </c>
      <c r="N44" s="411">
        <f>CHOOSE(CF!$G$1,'Capex Allocation'!I41,'Capex Allocation'!I103)</f>
        <v>0.25</v>
      </c>
      <c r="O44" s="411">
        <f>CHOOSE(CF!$G$1,'Capex Allocation'!J41,'Capex Allocation'!J103)</f>
        <v>0.3</v>
      </c>
      <c r="P44" s="411">
        <f>CHOOSE(CF!$G$1,'Capex Allocation'!K41,'Capex Allocation'!K103)</f>
        <v>0.25</v>
      </c>
      <c r="Q44" s="411">
        <f>CHOOSE(CF!$G$1,'Capex Allocation'!L41,'Capex Allocation'!L103)</f>
        <v>0.1</v>
      </c>
      <c r="R44" s="411">
        <f>CHOOSE(CF!$G$1,'Capex Allocation'!M41,'Capex Allocation'!M103)</f>
        <v>0</v>
      </c>
      <c r="S44" s="411">
        <f>CHOOSE(CF!$G$1,'Capex Allocation'!N41,'Capex Allocation'!N103)</f>
        <v>0</v>
      </c>
      <c r="T44" s="411">
        <f>CHOOSE(CF!$G$1,'Capex Allocation'!O41,'Capex Allocation'!O103)</f>
        <v>0</v>
      </c>
      <c r="U44" s="411">
        <f>CHOOSE(CF!$G$1,'Capex Allocation'!P41,'Capex Allocation'!P103)</f>
        <v>0</v>
      </c>
      <c r="V44" s="411">
        <f>CHOOSE(CF!$G$1,'Capex Allocation'!Q41,'Capex Allocation'!Q103)</f>
        <v>0</v>
      </c>
      <c r="W44" s="411">
        <f>CHOOSE(CF!$G$1,'Capex Allocation'!R41,'Capex Allocation'!R103)</f>
        <v>0</v>
      </c>
      <c r="X44" s="411">
        <f>CHOOSE(CF!$G$1,'Capex Allocation'!S41,'Capex Allocation'!S103)</f>
        <v>0</v>
      </c>
      <c r="Y44" s="411">
        <f>CHOOSE(CF!$G$1,'Capex Allocation'!T41,'Capex Allocation'!T103)</f>
        <v>0</v>
      </c>
      <c r="Z44" s="411">
        <f>CHOOSE(CF!$G$1,'Capex Allocation'!U41,'Capex Allocation'!U103)</f>
        <v>0</v>
      </c>
    </row>
    <row r="45" spans="3:26" ht="15" customHeight="1" x14ac:dyDescent="0.3">
      <c r="C45" s="8" t="s">
        <v>127</v>
      </c>
      <c r="K45" s="204">
        <f t="shared" si="4"/>
        <v>0.99999999999999989</v>
      </c>
      <c r="M45" s="411">
        <f>CHOOSE(CF!$G$1,'Capex Allocation'!H42,'Capex Allocation'!H104)</f>
        <v>0.1</v>
      </c>
      <c r="N45" s="411">
        <f>CHOOSE(CF!$G$1,'Capex Allocation'!I42,'Capex Allocation'!I104)</f>
        <v>0.25</v>
      </c>
      <c r="O45" s="411">
        <f>CHOOSE(CF!$G$1,'Capex Allocation'!J42,'Capex Allocation'!J104)</f>
        <v>0.3</v>
      </c>
      <c r="P45" s="411">
        <f>CHOOSE(CF!$G$1,'Capex Allocation'!K42,'Capex Allocation'!K104)</f>
        <v>0.25</v>
      </c>
      <c r="Q45" s="411">
        <f>CHOOSE(CF!$G$1,'Capex Allocation'!L42,'Capex Allocation'!L104)</f>
        <v>0.1</v>
      </c>
      <c r="R45" s="411">
        <f>CHOOSE(CF!$G$1,'Capex Allocation'!M42,'Capex Allocation'!M104)</f>
        <v>0</v>
      </c>
      <c r="S45" s="411">
        <f>CHOOSE(CF!$G$1,'Capex Allocation'!N42,'Capex Allocation'!N104)</f>
        <v>0</v>
      </c>
      <c r="T45" s="411">
        <f>CHOOSE(CF!$G$1,'Capex Allocation'!O42,'Capex Allocation'!O104)</f>
        <v>0</v>
      </c>
      <c r="U45" s="411">
        <f>CHOOSE(CF!$G$1,'Capex Allocation'!P42,'Capex Allocation'!P104)</f>
        <v>0</v>
      </c>
      <c r="V45" s="411">
        <f>CHOOSE(CF!$G$1,'Capex Allocation'!Q42,'Capex Allocation'!Q104)</f>
        <v>0</v>
      </c>
      <c r="W45" s="411">
        <f>CHOOSE(CF!$G$1,'Capex Allocation'!R42,'Capex Allocation'!R104)</f>
        <v>0</v>
      </c>
      <c r="X45" s="411">
        <f>CHOOSE(CF!$G$1,'Capex Allocation'!S42,'Capex Allocation'!S104)</f>
        <v>0</v>
      </c>
      <c r="Y45" s="411">
        <f>CHOOSE(CF!$G$1,'Capex Allocation'!T42,'Capex Allocation'!T104)</f>
        <v>0</v>
      </c>
      <c r="Z45" s="411">
        <f>CHOOSE(CF!$G$1,'Capex Allocation'!U42,'Capex Allocation'!U104)</f>
        <v>0</v>
      </c>
    </row>
    <row r="46" spans="3:26" ht="15" customHeight="1" x14ac:dyDescent="0.3">
      <c r="C46" s="8" t="s">
        <v>128</v>
      </c>
      <c r="K46" s="204">
        <f t="shared" si="4"/>
        <v>0.99999999999999989</v>
      </c>
      <c r="M46" s="411">
        <f>CHOOSE(CF!$G$1,'Capex Allocation'!H43,'Capex Allocation'!H105)</f>
        <v>0.1</v>
      </c>
      <c r="N46" s="411">
        <f>CHOOSE(CF!$G$1,'Capex Allocation'!I43,'Capex Allocation'!I105)</f>
        <v>0.25</v>
      </c>
      <c r="O46" s="411">
        <f>CHOOSE(CF!$G$1,'Capex Allocation'!J43,'Capex Allocation'!J105)</f>
        <v>0.3</v>
      </c>
      <c r="P46" s="411">
        <f>CHOOSE(CF!$G$1,'Capex Allocation'!K43,'Capex Allocation'!K105)</f>
        <v>0.25</v>
      </c>
      <c r="Q46" s="411">
        <f>CHOOSE(CF!$G$1,'Capex Allocation'!L43,'Capex Allocation'!L105)</f>
        <v>0.1</v>
      </c>
      <c r="R46" s="411">
        <f>CHOOSE(CF!$G$1,'Capex Allocation'!M43,'Capex Allocation'!M105)</f>
        <v>0</v>
      </c>
      <c r="S46" s="411">
        <f>CHOOSE(CF!$G$1,'Capex Allocation'!N43,'Capex Allocation'!N105)</f>
        <v>0</v>
      </c>
      <c r="T46" s="411">
        <f>CHOOSE(CF!$G$1,'Capex Allocation'!O43,'Capex Allocation'!O105)</f>
        <v>0</v>
      </c>
      <c r="U46" s="411">
        <f>CHOOSE(CF!$G$1,'Capex Allocation'!P43,'Capex Allocation'!P105)</f>
        <v>0</v>
      </c>
      <c r="V46" s="411">
        <f>CHOOSE(CF!$G$1,'Capex Allocation'!Q43,'Capex Allocation'!Q105)</f>
        <v>0</v>
      </c>
      <c r="W46" s="411">
        <f>CHOOSE(CF!$G$1,'Capex Allocation'!R43,'Capex Allocation'!R105)</f>
        <v>0</v>
      </c>
      <c r="X46" s="411">
        <f>CHOOSE(CF!$G$1,'Capex Allocation'!S43,'Capex Allocation'!S105)</f>
        <v>0</v>
      </c>
      <c r="Y46" s="411">
        <f>CHOOSE(CF!$G$1,'Capex Allocation'!T43,'Capex Allocation'!T105)</f>
        <v>0</v>
      </c>
      <c r="Z46" s="411">
        <f>CHOOSE(CF!$G$1,'Capex Allocation'!U43,'Capex Allocation'!U105)</f>
        <v>0</v>
      </c>
    </row>
    <row r="47" spans="3:26" ht="15" customHeight="1" x14ac:dyDescent="0.3">
      <c r="C47" s="8" t="s">
        <v>133</v>
      </c>
      <c r="K47" s="204">
        <f t="shared" si="4"/>
        <v>0.99999999999999989</v>
      </c>
      <c r="M47" s="411">
        <f>CHOOSE(CF!$G$1,'Capex Allocation'!H44,'Capex Allocation'!H106)</f>
        <v>0.1</v>
      </c>
      <c r="N47" s="411">
        <f>CHOOSE(CF!$G$1,'Capex Allocation'!I44,'Capex Allocation'!I106)</f>
        <v>0.25</v>
      </c>
      <c r="O47" s="411">
        <f>CHOOSE(CF!$G$1,'Capex Allocation'!J44,'Capex Allocation'!J106)</f>
        <v>0.3</v>
      </c>
      <c r="P47" s="411">
        <f>CHOOSE(CF!$G$1,'Capex Allocation'!K44,'Capex Allocation'!K106)</f>
        <v>0.25</v>
      </c>
      <c r="Q47" s="411">
        <f>CHOOSE(CF!$G$1,'Capex Allocation'!L44,'Capex Allocation'!L106)</f>
        <v>0.1</v>
      </c>
      <c r="R47" s="411">
        <f>CHOOSE(CF!$G$1,'Capex Allocation'!M44,'Capex Allocation'!M106)</f>
        <v>0</v>
      </c>
      <c r="S47" s="411">
        <f>CHOOSE(CF!$G$1,'Capex Allocation'!N44,'Capex Allocation'!N106)</f>
        <v>0</v>
      </c>
      <c r="T47" s="411">
        <f>CHOOSE(CF!$G$1,'Capex Allocation'!O44,'Capex Allocation'!O106)</f>
        <v>0</v>
      </c>
      <c r="U47" s="411">
        <f>CHOOSE(CF!$G$1,'Capex Allocation'!P44,'Capex Allocation'!P106)</f>
        <v>0</v>
      </c>
      <c r="V47" s="411">
        <f>CHOOSE(CF!$G$1,'Capex Allocation'!Q44,'Capex Allocation'!Q106)</f>
        <v>0</v>
      </c>
      <c r="W47" s="411">
        <f>CHOOSE(CF!$G$1,'Capex Allocation'!R44,'Capex Allocation'!R106)</f>
        <v>0</v>
      </c>
      <c r="X47" s="411">
        <f>CHOOSE(CF!$G$1,'Capex Allocation'!S44,'Capex Allocation'!S106)</f>
        <v>0</v>
      </c>
      <c r="Y47" s="411">
        <f>CHOOSE(CF!$G$1,'Capex Allocation'!T44,'Capex Allocation'!T106)</f>
        <v>0</v>
      </c>
      <c r="Z47" s="411">
        <f>CHOOSE(CF!$G$1,'Capex Allocation'!U44,'Capex Allocation'!U106)</f>
        <v>0</v>
      </c>
    </row>
    <row r="48" spans="3:26" ht="15" customHeight="1" x14ac:dyDescent="0.3">
      <c r="C48" s="8" t="s">
        <v>129</v>
      </c>
      <c r="K48" s="204">
        <f t="shared" si="4"/>
        <v>0.99999999999999989</v>
      </c>
      <c r="M48" s="411">
        <f>CHOOSE(CF!$G$1,'Capex Allocation'!H45,'Capex Allocation'!H107)</f>
        <v>0.1</v>
      </c>
      <c r="N48" s="411">
        <f>CHOOSE(CF!$G$1,'Capex Allocation'!I45,'Capex Allocation'!I107)</f>
        <v>0.25</v>
      </c>
      <c r="O48" s="411">
        <f>CHOOSE(CF!$G$1,'Capex Allocation'!J45,'Capex Allocation'!J107)</f>
        <v>0.3</v>
      </c>
      <c r="P48" s="411">
        <f>CHOOSE(CF!$G$1,'Capex Allocation'!K45,'Capex Allocation'!K107)</f>
        <v>0.25</v>
      </c>
      <c r="Q48" s="411">
        <f>CHOOSE(CF!$G$1,'Capex Allocation'!L45,'Capex Allocation'!L107)</f>
        <v>0.1</v>
      </c>
      <c r="R48" s="411">
        <f>CHOOSE(CF!$G$1,'Capex Allocation'!M45,'Capex Allocation'!M107)</f>
        <v>0</v>
      </c>
      <c r="S48" s="411">
        <f>CHOOSE(CF!$G$1,'Capex Allocation'!N45,'Capex Allocation'!N107)</f>
        <v>0</v>
      </c>
      <c r="T48" s="411">
        <f>CHOOSE(CF!$G$1,'Capex Allocation'!O45,'Capex Allocation'!O107)</f>
        <v>0</v>
      </c>
      <c r="U48" s="411">
        <f>CHOOSE(CF!$G$1,'Capex Allocation'!P45,'Capex Allocation'!P107)</f>
        <v>0</v>
      </c>
      <c r="V48" s="411">
        <f>CHOOSE(CF!$G$1,'Capex Allocation'!Q45,'Capex Allocation'!Q107)</f>
        <v>0</v>
      </c>
      <c r="W48" s="411">
        <f>CHOOSE(CF!$G$1,'Capex Allocation'!R45,'Capex Allocation'!R107)</f>
        <v>0</v>
      </c>
      <c r="X48" s="411">
        <f>CHOOSE(CF!$G$1,'Capex Allocation'!S45,'Capex Allocation'!S107)</f>
        <v>0</v>
      </c>
      <c r="Y48" s="411">
        <f>CHOOSE(CF!$G$1,'Capex Allocation'!T45,'Capex Allocation'!T107)</f>
        <v>0</v>
      </c>
      <c r="Z48" s="411">
        <f>CHOOSE(CF!$G$1,'Capex Allocation'!U45,'Capex Allocation'!U107)</f>
        <v>0</v>
      </c>
    </row>
    <row r="49" spans="3:26" ht="15" customHeight="1" x14ac:dyDescent="0.3">
      <c r="C49" s="8" t="s">
        <v>130</v>
      </c>
      <c r="K49" s="204">
        <f t="shared" si="4"/>
        <v>0.99999999999999989</v>
      </c>
      <c r="M49" s="411">
        <f>CHOOSE(CF!$G$1,'Capex Allocation'!H46,'Capex Allocation'!H108)</f>
        <v>0.1</v>
      </c>
      <c r="N49" s="411">
        <f>CHOOSE(CF!$G$1,'Capex Allocation'!I46,'Capex Allocation'!I108)</f>
        <v>0.25</v>
      </c>
      <c r="O49" s="411">
        <f>CHOOSE(CF!$G$1,'Capex Allocation'!J46,'Capex Allocation'!J108)</f>
        <v>0.3</v>
      </c>
      <c r="P49" s="411">
        <f>CHOOSE(CF!$G$1,'Capex Allocation'!K46,'Capex Allocation'!K108)</f>
        <v>0.25</v>
      </c>
      <c r="Q49" s="411">
        <f>CHOOSE(CF!$G$1,'Capex Allocation'!L46,'Capex Allocation'!L108)</f>
        <v>0.1</v>
      </c>
      <c r="R49" s="411">
        <f>CHOOSE(CF!$G$1,'Capex Allocation'!M46,'Capex Allocation'!M108)</f>
        <v>0</v>
      </c>
      <c r="S49" s="411">
        <f>CHOOSE(CF!$G$1,'Capex Allocation'!N46,'Capex Allocation'!N108)</f>
        <v>0</v>
      </c>
      <c r="T49" s="411">
        <f>CHOOSE(CF!$G$1,'Capex Allocation'!O46,'Capex Allocation'!O108)</f>
        <v>0</v>
      </c>
      <c r="U49" s="411">
        <f>CHOOSE(CF!$G$1,'Capex Allocation'!P46,'Capex Allocation'!P108)</f>
        <v>0</v>
      </c>
      <c r="V49" s="411">
        <f>CHOOSE(CF!$G$1,'Capex Allocation'!Q46,'Capex Allocation'!Q108)</f>
        <v>0</v>
      </c>
      <c r="W49" s="411">
        <f>CHOOSE(CF!$G$1,'Capex Allocation'!R46,'Capex Allocation'!R108)</f>
        <v>0</v>
      </c>
      <c r="X49" s="411">
        <f>CHOOSE(CF!$G$1,'Capex Allocation'!S46,'Capex Allocation'!S108)</f>
        <v>0</v>
      </c>
      <c r="Y49" s="411">
        <f>CHOOSE(CF!$G$1,'Capex Allocation'!T46,'Capex Allocation'!T108)</f>
        <v>0</v>
      </c>
      <c r="Z49" s="411">
        <f>CHOOSE(CF!$G$1,'Capex Allocation'!U46,'Capex Allocation'!U108)</f>
        <v>0</v>
      </c>
    </row>
    <row r="50" spans="3:26" ht="15" customHeight="1" x14ac:dyDescent="0.3">
      <c r="C50" s="141" t="s">
        <v>134</v>
      </c>
    </row>
    <row r="51" spans="3:26" ht="15" customHeight="1" x14ac:dyDescent="0.3"/>
    <row r="52" spans="3:26" ht="15" customHeight="1" x14ac:dyDescent="0.3">
      <c r="C52" s="52" t="s">
        <v>758</v>
      </c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3:26" ht="15" customHeight="1" x14ac:dyDescent="0.3">
      <c r="C53" s="8" t="s">
        <v>132</v>
      </c>
      <c r="K53" s="204">
        <f t="shared" ref="K53:K60" si="5">SUM(L53:R53)</f>
        <v>1</v>
      </c>
      <c r="M53" s="411">
        <f>CHOOSE(CF!$G$1,'Capex Allocation'!H49,'Capex Allocation'!H111)</f>
        <v>1</v>
      </c>
      <c r="N53" s="411">
        <f>CHOOSE(CF!$G$1,'Capex Allocation'!I49,'Capex Allocation'!I111)</f>
        <v>0</v>
      </c>
      <c r="O53" s="411">
        <f>CHOOSE(CF!$G$1,'Capex Allocation'!J49,'Capex Allocation'!J111)</f>
        <v>0</v>
      </c>
      <c r="P53" s="411">
        <f>CHOOSE(CF!$G$1,'Capex Allocation'!K49,'Capex Allocation'!K111)</f>
        <v>0</v>
      </c>
      <c r="Q53" s="411">
        <f>CHOOSE(CF!$G$1,'Capex Allocation'!L49,'Capex Allocation'!L111)</f>
        <v>0</v>
      </c>
      <c r="R53" s="411">
        <f>CHOOSE(CF!$G$1,'Capex Allocation'!M49,'Capex Allocation'!M111)</f>
        <v>0</v>
      </c>
      <c r="S53" s="411">
        <f>CHOOSE(CF!$G$1,'Capex Allocation'!N49,'Capex Allocation'!N111)</f>
        <v>0</v>
      </c>
      <c r="T53" s="411">
        <f>CHOOSE(CF!$G$1,'Capex Allocation'!O49,'Capex Allocation'!O111)</f>
        <v>0</v>
      </c>
      <c r="U53" s="411">
        <f>CHOOSE(CF!$G$1,'Capex Allocation'!P49,'Capex Allocation'!P111)</f>
        <v>0</v>
      </c>
      <c r="V53" s="411">
        <f>CHOOSE(CF!$G$1,'Capex Allocation'!Q49,'Capex Allocation'!Q111)</f>
        <v>0</v>
      </c>
      <c r="W53" s="411">
        <f>CHOOSE(CF!$G$1,'Capex Allocation'!R49,'Capex Allocation'!R111)</f>
        <v>0</v>
      </c>
      <c r="X53" s="411">
        <f>CHOOSE(CF!$G$1,'Capex Allocation'!S49,'Capex Allocation'!S111)</f>
        <v>0</v>
      </c>
      <c r="Y53" s="411">
        <f>CHOOSE(CF!$G$1,'Capex Allocation'!T49,'Capex Allocation'!T111)</f>
        <v>0</v>
      </c>
      <c r="Z53" s="411">
        <f>CHOOSE(CF!$G$1,'Capex Allocation'!U49,'Capex Allocation'!U111)</f>
        <v>0</v>
      </c>
    </row>
    <row r="54" spans="3:26" ht="15" customHeight="1" x14ac:dyDescent="0.3">
      <c r="C54" s="8" t="s">
        <v>125</v>
      </c>
      <c r="K54" s="204">
        <f t="shared" si="5"/>
        <v>0.99999999999999989</v>
      </c>
      <c r="M54" s="411">
        <f>CHOOSE(CF!$G$1,'Capex Allocation'!H50,'Capex Allocation'!H112)</f>
        <v>0.1</v>
      </c>
      <c r="N54" s="411">
        <f>CHOOSE(CF!$G$1,'Capex Allocation'!I50,'Capex Allocation'!I112)</f>
        <v>0.25</v>
      </c>
      <c r="O54" s="411">
        <f>CHOOSE(CF!$G$1,'Capex Allocation'!J50,'Capex Allocation'!J112)</f>
        <v>0.3</v>
      </c>
      <c r="P54" s="411">
        <f>CHOOSE(CF!$G$1,'Capex Allocation'!K50,'Capex Allocation'!K112)</f>
        <v>0.25</v>
      </c>
      <c r="Q54" s="411">
        <f>CHOOSE(CF!$G$1,'Capex Allocation'!L50,'Capex Allocation'!L112)</f>
        <v>0.1</v>
      </c>
      <c r="R54" s="411">
        <f>CHOOSE(CF!$G$1,'Capex Allocation'!M50,'Capex Allocation'!M112)</f>
        <v>0</v>
      </c>
      <c r="S54" s="411">
        <f>CHOOSE(CF!$G$1,'Capex Allocation'!N50,'Capex Allocation'!N112)</f>
        <v>0</v>
      </c>
      <c r="T54" s="411">
        <f>CHOOSE(CF!$G$1,'Capex Allocation'!O50,'Capex Allocation'!O112)</f>
        <v>0</v>
      </c>
      <c r="U54" s="411">
        <f>CHOOSE(CF!$G$1,'Capex Allocation'!P50,'Capex Allocation'!P112)</f>
        <v>0</v>
      </c>
      <c r="V54" s="411">
        <f>CHOOSE(CF!$G$1,'Capex Allocation'!Q50,'Capex Allocation'!Q112)</f>
        <v>0</v>
      </c>
      <c r="W54" s="411">
        <f>CHOOSE(CF!$G$1,'Capex Allocation'!R50,'Capex Allocation'!R112)</f>
        <v>0</v>
      </c>
      <c r="X54" s="411">
        <f>CHOOSE(CF!$G$1,'Capex Allocation'!S50,'Capex Allocation'!S112)</f>
        <v>0</v>
      </c>
      <c r="Y54" s="411">
        <f>CHOOSE(CF!$G$1,'Capex Allocation'!T50,'Capex Allocation'!T112)</f>
        <v>0</v>
      </c>
      <c r="Z54" s="411">
        <f>CHOOSE(CF!$G$1,'Capex Allocation'!U50,'Capex Allocation'!U112)</f>
        <v>0</v>
      </c>
    </row>
    <row r="55" spans="3:26" ht="15" customHeight="1" x14ac:dyDescent="0.3">
      <c r="C55" s="8" t="s">
        <v>126</v>
      </c>
      <c r="K55" s="204">
        <f t="shared" si="5"/>
        <v>0.99999999999999989</v>
      </c>
      <c r="M55" s="411">
        <f>CHOOSE(CF!$G$1,'Capex Allocation'!H51,'Capex Allocation'!H113)</f>
        <v>0.1</v>
      </c>
      <c r="N55" s="411">
        <f>CHOOSE(CF!$G$1,'Capex Allocation'!I51,'Capex Allocation'!I113)</f>
        <v>0.25</v>
      </c>
      <c r="O55" s="411">
        <f>CHOOSE(CF!$G$1,'Capex Allocation'!J51,'Capex Allocation'!J113)</f>
        <v>0.3</v>
      </c>
      <c r="P55" s="411">
        <f>CHOOSE(CF!$G$1,'Capex Allocation'!K51,'Capex Allocation'!K113)</f>
        <v>0.25</v>
      </c>
      <c r="Q55" s="411">
        <f>CHOOSE(CF!$G$1,'Capex Allocation'!L51,'Capex Allocation'!L113)</f>
        <v>0.1</v>
      </c>
      <c r="R55" s="411">
        <f>CHOOSE(CF!$G$1,'Capex Allocation'!M51,'Capex Allocation'!M113)</f>
        <v>0</v>
      </c>
      <c r="S55" s="411">
        <f>CHOOSE(CF!$G$1,'Capex Allocation'!N51,'Capex Allocation'!N113)</f>
        <v>0</v>
      </c>
      <c r="T55" s="411">
        <f>CHOOSE(CF!$G$1,'Capex Allocation'!O51,'Capex Allocation'!O113)</f>
        <v>0</v>
      </c>
      <c r="U55" s="411">
        <f>CHOOSE(CF!$G$1,'Capex Allocation'!P51,'Capex Allocation'!P113)</f>
        <v>0</v>
      </c>
      <c r="V55" s="411">
        <f>CHOOSE(CF!$G$1,'Capex Allocation'!Q51,'Capex Allocation'!Q113)</f>
        <v>0</v>
      </c>
      <c r="W55" s="411">
        <f>CHOOSE(CF!$G$1,'Capex Allocation'!R51,'Capex Allocation'!R113)</f>
        <v>0</v>
      </c>
      <c r="X55" s="411">
        <f>CHOOSE(CF!$G$1,'Capex Allocation'!S51,'Capex Allocation'!S113)</f>
        <v>0</v>
      </c>
      <c r="Y55" s="411">
        <f>CHOOSE(CF!$G$1,'Capex Allocation'!T51,'Capex Allocation'!T113)</f>
        <v>0</v>
      </c>
      <c r="Z55" s="411">
        <f>CHOOSE(CF!$G$1,'Capex Allocation'!U51,'Capex Allocation'!U113)</f>
        <v>0</v>
      </c>
    </row>
    <row r="56" spans="3:26" ht="15" customHeight="1" x14ac:dyDescent="0.3">
      <c r="C56" s="8" t="s">
        <v>127</v>
      </c>
      <c r="K56" s="204">
        <f t="shared" si="5"/>
        <v>0.99999999999999989</v>
      </c>
      <c r="M56" s="411">
        <f>CHOOSE(CF!$G$1,'Capex Allocation'!H52,'Capex Allocation'!H114)</f>
        <v>0.1</v>
      </c>
      <c r="N56" s="411">
        <f>CHOOSE(CF!$G$1,'Capex Allocation'!I52,'Capex Allocation'!I114)</f>
        <v>0.25</v>
      </c>
      <c r="O56" s="411">
        <f>CHOOSE(CF!$G$1,'Capex Allocation'!J52,'Capex Allocation'!J114)</f>
        <v>0.3</v>
      </c>
      <c r="P56" s="411">
        <f>CHOOSE(CF!$G$1,'Capex Allocation'!K52,'Capex Allocation'!K114)</f>
        <v>0.25</v>
      </c>
      <c r="Q56" s="411">
        <f>CHOOSE(CF!$G$1,'Capex Allocation'!L52,'Capex Allocation'!L114)</f>
        <v>0.1</v>
      </c>
      <c r="R56" s="411">
        <f>CHOOSE(CF!$G$1,'Capex Allocation'!M52,'Capex Allocation'!M114)</f>
        <v>0</v>
      </c>
      <c r="S56" s="411">
        <f>CHOOSE(CF!$G$1,'Capex Allocation'!N52,'Capex Allocation'!N114)</f>
        <v>0</v>
      </c>
      <c r="T56" s="411">
        <f>CHOOSE(CF!$G$1,'Capex Allocation'!O52,'Capex Allocation'!O114)</f>
        <v>0</v>
      </c>
      <c r="U56" s="411">
        <f>CHOOSE(CF!$G$1,'Capex Allocation'!P52,'Capex Allocation'!P114)</f>
        <v>0</v>
      </c>
      <c r="V56" s="411">
        <f>CHOOSE(CF!$G$1,'Capex Allocation'!Q52,'Capex Allocation'!Q114)</f>
        <v>0</v>
      </c>
      <c r="W56" s="411">
        <f>CHOOSE(CF!$G$1,'Capex Allocation'!R52,'Capex Allocation'!R114)</f>
        <v>0</v>
      </c>
      <c r="X56" s="411">
        <f>CHOOSE(CF!$G$1,'Capex Allocation'!S52,'Capex Allocation'!S114)</f>
        <v>0</v>
      </c>
      <c r="Y56" s="411">
        <f>CHOOSE(CF!$G$1,'Capex Allocation'!T52,'Capex Allocation'!T114)</f>
        <v>0</v>
      </c>
      <c r="Z56" s="411">
        <f>CHOOSE(CF!$G$1,'Capex Allocation'!U52,'Capex Allocation'!U114)</f>
        <v>0</v>
      </c>
    </row>
    <row r="57" spans="3:26" ht="15" customHeight="1" x14ac:dyDescent="0.3">
      <c r="C57" s="8" t="s">
        <v>128</v>
      </c>
      <c r="K57" s="204">
        <f t="shared" si="5"/>
        <v>0.99999999999999989</v>
      </c>
      <c r="M57" s="411">
        <f>CHOOSE(CF!$G$1,'Capex Allocation'!H53,'Capex Allocation'!H115)</f>
        <v>0.1</v>
      </c>
      <c r="N57" s="411">
        <f>CHOOSE(CF!$G$1,'Capex Allocation'!I53,'Capex Allocation'!I115)</f>
        <v>0.25</v>
      </c>
      <c r="O57" s="411">
        <f>CHOOSE(CF!$G$1,'Capex Allocation'!J53,'Capex Allocation'!J115)</f>
        <v>0.3</v>
      </c>
      <c r="P57" s="411">
        <f>CHOOSE(CF!$G$1,'Capex Allocation'!K53,'Capex Allocation'!K115)</f>
        <v>0.25</v>
      </c>
      <c r="Q57" s="411">
        <f>CHOOSE(CF!$G$1,'Capex Allocation'!L53,'Capex Allocation'!L115)</f>
        <v>0.1</v>
      </c>
      <c r="R57" s="411">
        <f>CHOOSE(CF!$G$1,'Capex Allocation'!M53,'Capex Allocation'!M115)</f>
        <v>0</v>
      </c>
      <c r="S57" s="411">
        <f>CHOOSE(CF!$G$1,'Capex Allocation'!N53,'Capex Allocation'!N115)</f>
        <v>0</v>
      </c>
      <c r="T57" s="411">
        <f>CHOOSE(CF!$G$1,'Capex Allocation'!O53,'Capex Allocation'!O115)</f>
        <v>0</v>
      </c>
      <c r="U57" s="411">
        <f>CHOOSE(CF!$G$1,'Capex Allocation'!P53,'Capex Allocation'!P115)</f>
        <v>0</v>
      </c>
      <c r="V57" s="411">
        <f>CHOOSE(CF!$G$1,'Capex Allocation'!Q53,'Capex Allocation'!Q115)</f>
        <v>0</v>
      </c>
      <c r="W57" s="411">
        <f>CHOOSE(CF!$G$1,'Capex Allocation'!R53,'Capex Allocation'!R115)</f>
        <v>0</v>
      </c>
      <c r="X57" s="411">
        <f>CHOOSE(CF!$G$1,'Capex Allocation'!S53,'Capex Allocation'!S115)</f>
        <v>0</v>
      </c>
      <c r="Y57" s="411">
        <f>CHOOSE(CF!$G$1,'Capex Allocation'!T53,'Capex Allocation'!T115)</f>
        <v>0</v>
      </c>
      <c r="Z57" s="411">
        <f>CHOOSE(CF!$G$1,'Capex Allocation'!U53,'Capex Allocation'!U115)</f>
        <v>0</v>
      </c>
    </row>
    <row r="58" spans="3:26" ht="15" customHeight="1" x14ac:dyDescent="0.3">
      <c r="C58" s="8" t="s">
        <v>133</v>
      </c>
      <c r="K58" s="204">
        <f t="shared" si="5"/>
        <v>0.99999999999999989</v>
      </c>
      <c r="M58" s="411">
        <f>CHOOSE(CF!$G$1,'Capex Allocation'!H54,'Capex Allocation'!H116)</f>
        <v>0.1</v>
      </c>
      <c r="N58" s="411">
        <f>CHOOSE(CF!$G$1,'Capex Allocation'!I54,'Capex Allocation'!I116)</f>
        <v>0.25</v>
      </c>
      <c r="O58" s="411">
        <f>CHOOSE(CF!$G$1,'Capex Allocation'!J54,'Capex Allocation'!J116)</f>
        <v>0.3</v>
      </c>
      <c r="P58" s="411">
        <f>CHOOSE(CF!$G$1,'Capex Allocation'!K54,'Capex Allocation'!K116)</f>
        <v>0.25</v>
      </c>
      <c r="Q58" s="411">
        <f>CHOOSE(CF!$G$1,'Capex Allocation'!L54,'Capex Allocation'!L116)</f>
        <v>0.1</v>
      </c>
      <c r="R58" s="411">
        <f>CHOOSE(CF!$G$1,'Capex Allocation'!M54,'Capex Allocation'!M116)</f>
        <v>0</v>
      </c>
      <c r="S58" s="411">
        <f>CHOOSE(CF!$G$1,'Capex Allocation'!N54,'Capex Allocation'!N116)</f>
        <v>0</v>
      </c>
      <c r="T58" s="411">
        <f>CHOOSE(CF!$G$1,'Capex Allocation'!O54,'Capex Allocation'!O116)</f>
        <v>0</v>
      </c>
      <c r="U58" s="411">
        <f>CHOOSE(CF!$G$1,'Capex Allocation'!P54,'Capex Allocation'!P116)</f>
        <v>0</v>
      </c>
      <c r="V58" s="411">
        <f>CHOOSE(CF!$G$1,'Capex Allocation'!Q54,'Capex Allocation'!Q116)</f>
        <v>0</v>
      </c>
      <c r="W58" s="411">
        <f>CHOOSE(CF!$G$1,'Capex Allocation'!R54,'Capex Allocation'!R116)</f>
        <v>0</v>
      </c>
      <c r="X58" s="411">
        <f>CHOOSE(CF!$G$1,'Capex Allocation'!S54,'Capex Allocation'!S116)</f>
        <v>0</v>
      </c>
      <c r="Y58" s="411">
        <f>CHOOSE(CF!$G$1,'Capex Allocation'!T54,'Capex Allocation'!T116)</f>
        <v>0</v>
      </c>
      <c r="Z58" s="411">
        <f>CHOOSE(CF!$G$1,'Capex Allocation'!U54,'Capex Allocation'!U116)</f>
        <v>0</v>
      </c>
    </row>
    <row r="59" spans="3:26" ht="15" customHeight="1" x14ac:dyDescent="0.3">
      <c r="C59" s="8" t="s">
        <v>129</v>
      </c>
      <c r="K59" s="204">
        <f t="shared" si="5"/>
        <v>0.99999999999999989</v>
      </c>
      <c r="M59" s="411">
        <f>CHOOSE(CF!$G$1,'Capex Allocation'!H55,'Capex Allocation'!H117)</f>
        <v>0.1</v>
      </c>
      <c r="N59" s="411">
        <f>CHOOSE(CF!$G$1,'Capex Allocation'!I55,'Capex Allocation'!I117)</f>
        <v>0.25</v>
      </c>
      <c r="O59" s="411">
        <f>CHOOSE(CF!$G$1,'Capex Allocation'!J55,'Capex Allocation'!J117)</f>
        <v>0.3</v>
      </c>
      <c r="P59" s="411">
        <f>CHOOSE(CF!$G$1,'Capex Allocation'!K55,'Capex Allocation'!K117)</f>
        <v>0.25</v>
      </c>
      <c r="Q59" s="411">
        <f>CHOOSE(CF!$G$1,'Capex Allocation'!L55,'Capex Allocation'!L117)</f>
        <v>0.1</v>
      </c>
      <c r="R59" s="411">
        <f>CHOOSE(CF!$G$1,'Capex Allocation'!M55,'Capex Allocation'!M117)</f>
        <v>0</v>
      </c>
      <c r="S59" s="411">
        <f>CHOOSE(CF!$G$1,'Capex Allocation'!N55,'Capex Allocation'!N117)</f>
        <v>0</v>
      </c>
      <c r="T59" s="411">
        <f>CHOOSE(CF!$G$1,'Capex Allocation'!O55,'Capex Allocation'!O117)</f>
        <v>0</v>
      </c>
      <c r="U59" s="411">
        <f>CHOOSE(CF!$G$1,'Capex Allocation'!P55,'Capex Allocation'!P117)</f>
        <v>0</v>
      </c>
      <c r="V59" s="411">
        <f>CHOOSE(CF!$G$1,'Capex Allocation'!Q55,'Capex Allocation'!Q117)</f>
        <v>0</v>
      </c>
      <c r="W59" s="411">
        <f>CHOOSE(CF!$G$1,'Capex Allocation'!R55,'Capex Allocation'!R117)</f>
        <v>0</v>
      </c>
      <c r="X59" s="411">
        <f>CHOOSE(CF!$G$1,'Capex Allocation'!S55,'Capex Allocation'!S117)</f>
        <v>0</v>
      </c>
      <c r="Y59" s="411">
        <f>CHOOSE(CF!$G$1,'Capex Allocation'!T55,'Capex Allocation'!T117)</f>
        <v>0</v>
      </c>
      <c r="Z59" s="411">
        <f>CHOOSE(CF!$G$1,'Capex Allocation'!U55,'Capex Allocation'!U117)</f>
        <v>0</v>
      </c>
    </row>
    <row r="60" spans="3:26" ht="15" customHeight="1" x14ac:dyDescent="0.3">
      <c r="C60" s="8" t="s">
        <v>130</v>
      </c>
      <c r="K60" s="204">
        <f t="shared" si="5"/>
        <v>0.99999999999999989</v>
      </c>
      <c r="M60" s="411">
        <f>CHOOSE(CF!$G$1,'Capex Allocation'!H56,'Capex Allocation'!H118)</f>
        <v>0.1</v>
      </c>
      <c r="N60" s="411">
        <f>CHOOSE(CF!$G$1,'Capex Allocation'!I56,'Capex Allocation'!I118)</f>
        <v>0.25</v>
      </c>
      <c r="O60" s="411">
        <f>CHOOSE(CF!$G$1,'Capex Allocation'!J56,'Capex Allocation'!J118)</f>
        <v>0.3</v>
      </c>
      <c r="P60" s="411">
        <f>CHOOSE(CF!$G$1,'Capex Allocation'!K56,'Capex Allocation'!K118)</f>
        <v>0.25</v>
      </c>
      <c r="Q60" s="411">
        <f>CHOOSE(CF!$G$1,'Capex Allocation'!L56,'Capex Allocation'!L118)</f>
        <v>0.1</v>
      </c>
      <c r="R60" s="411">
        <f>CHOOSE(CF!$G$1,'Capex Allocation'!M56,'Capex Allocation'!M118)</f>
        <v>0</v>
      </c>
      <c r="S60" s="411">
        <f>CHOOSE(CF!$G$1,'Capex Allocation'!N56,'Capex Allocation'!N118)</f>
        <v>0</v>
      </c>
      <c r="T60" s="411">
        <f>CHOOSE(CF!$G$1,'Capex Allocation'!O56,'Capex Allocation'!O118)</f>
        <v>0</v>
      </c>
      <c r="U60" s="411">
        <f>CHOOSE(CF!$G$1,'Capex Allocation'!P56,'Capex Allocation'!P118)</f>
        <v>0</v>
      </c>
      <c r="V60" s="411">
        <f>CHOOSE(CF!$G$1,'Capex Allocation'!Q56,'Capex Allocation'!Q118)</f>
        <v>0</v>
      </c>
      <c r="W60" s="411">
        <f>CHOOSE(CF!$G$1,'Capex Allocation'!R56,'Capex Allocation'!R118)</f>
        <v>0</v>
      </c>
      <c r="X60" s="411">
        <f>CHOOSE(CF!$G$1,'Capex Allocation'!S56,'Capex Allocation'!S118)</f>
        <v>0</v>
      </c>
      <c r="Y60" s="411">
        <f>CHOOSE(CF!$G$1,'Capex Allocation'!T56,'Capex Allocation'!T118)</f>
        <v>0</v>
      </c>
      <c r="Z60" s="411">
        <f>CHOOSE(CF!$G$1,'Capex Allocation'!U56,'Capex Allocation'!U118)</f>
        <v>0</v>
      </c>
    </row>
    <row r="61" spans="3:26" ht="15" customHeight="1" x14ac:dyDescent="0.3">
      <c r="C61" s="141" t="s">
        <v>134</v>
      </c>
    </row>
    <row r="62" spans="3:26" ht="15" customHeight="1" x14ac:dyDescent="0.3"/>
    <row r="63" spans="3:26" ht="15" customHeight="1" x14ac:dyDescent="0.3">
      <c r="C63" s="52" t="s">
        <v>757</v>
      </c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3:26" ht="15" customHeight="1" x14ac:dyDescent="0.3">
      <c r="C64" s="8" t="s">
        <v>132</v>
      </c>
      <c r="K64" s="204">
        <f t="shared" ref="K64:K71" si="6">SUM(L64:R64)</f>
        <v>1</v>
      </c>
      <c r="M64" s="411">
        <f>CHOOSE(CF!$G$1,'Capex Allocation'!H59,'Capex Allocation'!H121)</f>
        <v>1</v>
      </c>
      <c r="N64" s="411">
        <f>CHOOSE(CF!$G$1,'Capex Allocation'!I59,'Capex Allocation'!I121)</f>
        <v>0</v>
      </c>
      <c r="O64" s="411">
        <f>CHOOSE(CF!$G$1,'Capex Allocation'!J59,'Capex Allocation'!J121)</f>
        <v>0</v>
      </c>
      <c r="P64" s="411">
        <f>CHOOSE(CF!$G$1,'Capex Allocation'!K59,'Capex Allocation'!K121)</f>
        <v>0</v>
      </c>
      <c r="Q64" s="411">
        <f>CHOOSE(CF!$G$1,'Capex Allocation'!L59,'Capex Allocation'!L121)</f>
        <v>0</v>
      </c>
      <c r="R64" s="411">
        <f>CHOOSE(CF!$G$1,'Capex Allocation'!M59,'Capex Allocation'!M121)</f>
        <v>0</v>
      </c>
      <c r="S64" s="411">
        <f>CHOOSE(CF!$G$1,'Capex Allocation'!N59,'Capex Allocation'!N121)</f>
        <v>0</v>
      </c>
      <c r="T64" s="411">
        <f>CHOOSE(CF!$G$1,'Capex Allocation'!O59,'Capex Allocation'!O121)</f>
        <v>0</v>
      </c>
      <c r="U64" s="411">
        <f>CHOOSE(CF!$G$1,'Capex Allocation'!P59,'Capex Allocation'!P121)</f>
        <v>0</v>
      </c>
      <c r="V64" s="411">
        <f>CHOOSE(CF!$G$1,'Capex Allocation'!Q59,'Capex Allocation'!Q121)</f>
        <v>0</v>
      </c>
      <c r="W64" s="411">
        <f>CHOOSE(CF!$G$1,'Capex Allocation'!R59,'Capex Allocation'!R121)</f>
        <v>0</v>
      </c>
      <c r="X64" s="411">
        <f>CHOOSE(CF!$G$1,'Capex Allocation'!S59,'Capex Allocation'!S121)</f>
        <v>0</v>
      </c>
      <c r="Y64" s="411">
        <f>CHOOSE(CF!$G$1,'Capex Allocation'!T59,'Capex Allocation'!T121)</f>
        <v>0</v>
      </c>
      <c r="Z64" s="411">
        <f>CHOOSE(CF!$G$1,'Capex Allocation'!U59,'Capex Allocation'!U121)</f>
        <v>0</v>
      </c>
    </row>
    <row r="65" spans="2:26" ht="15" customHeight="1" x14ac:dyDescent="0.3">
      <c r="C65" s="8" t="s">
        <v>125</v>
      </c>
      <c r="K65" s="204">
        <f t="shared" si="6"/>
        <v>1</v>
      </c>
      <c r="M65" s="411">
        <f>CHOOSE(CF!$G$1,'Capex Allocation'!H60,'Capex Allocation'!H122)</f>
        <v>0.1</v>
      </c>
      <c r="N65" s="411">
        <f>CHOOSE(CF!$G$1,'Capex Allocation'!I60,'Capex Allocation'!I122)</f>
        <v>0.1</v>
      </c>
      <c r="O65" s="411">
        <f>CHOOSE(CF!$G$1,'Capex Allocation'!J60,'Capex Allocation'!J122)</f>
        <v>0.25</v>
      </c>
      <c r="P65" s="411">
        <f>CHOOSE(CF!$G$1,'Capex Allocation'!K60,'Capex Allocation'!K122)</f>
        <v>0.25</v>
      </c>
      <c r="Q65" s="411">
        <f>CHOOSE(CF!$G$1,'Capex Allocation'!L60,'Capex Allocation'!L122)</f>
        <v>0.25</v>
      </c>
      <c r="R65" s="411">
        <f>CHOOSE(CF!$G$1,'Capex Allocation'!M60,'Capex Allocation'!M122)</f>
        <v>0.05</v>
      </c>
      <c r="S65" s="411">
        <f>CHOOSE(CF!$G$1,'Capex Allocation'!N60,'Capex Allocation'!N122)</f>
        <v>0</v>
      </c>
      <c r="T65" s="411">
        <f>CHOOSE(CF!$G$1,'Capex Allocation'!O60,'Capex Allocation'!O122)</f>
        <v>0</v>
      </c>
      <c r="U65" s="411">
        <f>CHOOSE(CF!$G$1,'Capex Allocation'!P60,'Capex Allocation'!P122)</f>
        <v>0</v>
      </c>
      <c r="V65" s="411">
        <f>CHOOSE(CF!$G$1,'Capex Allocation'!Q60,'Capex Allocation'!Q122)</f>
        <v>0</v>
      </c>
      <c r="W65" s="411">
        <f>CHOOSE(CF!$G$1,'Capex Allocation'!R60,'Capex Allocation'!R122)</f>
        <v>0</v>
      </c>
      <c r="X65" s="411">
        <f>CHOOSE(CF!$G$1,'Capex Allocation'!S60,'Capex Allocation'!S122)</f>
        <v>0</v>
      </c>
      <c r="Y65" s="411">
        <f>CHOOSE(CF!$G$1,'Capex Allocation'!T60,'Capex Allocation'!T122)</f>
        <v>0</v>
      </c>
      <c r="Z65" s="411">
        <f>CHOOSE(CF!$G$1,'Capex Allocation'!U60,'Capex Allocation'!U122)</f>
        <v>0</v>
      </c>
    </row>
    <row r="66" spans="2:26" ht="15" customHeight="1" x14ac:dyDescent="0.3">
      <c r="C66" s="8" t="s">
        <v>126</v>
      </c>
      <c r="K66" s="204">
        <f t="shared" si="6"/>
        <v>1</v>
      </c>
      <c r="M66" s="411">
        <f>CHOOSE(CF!$G$1,'Capex Allocation'!H61,'Capex Allocation'!H123)</f>
        <v>0.1</v>
      </c>
      <c r="N66" s="411">
        <f>CHOOSE(CF!$G$1,'Capex Allocation'!I61,'Capex Allocation'!I123)</f>
        <v>0.1</v>
      </c>
      <c r="O66" s="411">
        <f>CHOOSE(CF!$G$1,'Capex Allocation'!J61,'Capex Allocation'!J123)</f>
        <v>0.25</v>
      </c>
      <c r="P66" s="411">
        <f>CHOOSE(CF!$G$1,'Capex Allocation'!K61,'Capex Allocation'!K123)</f>
        <v>0.25</v>
      </c>
      <c r="Q66" s="411">
        <f>CHOOSE(CF!$G$1,'Capex Allocation'!L61,'Capex Allocation'!L123)</f>
        <v>0.25</v>
      </c>
      <c r="R66" s="411">
        <f>CHOOSE(CF!$G$1,'Capex Allocation'!M61,'Capex Allocation'!M123)</f>
        <v>0.05</v>
      </c>
      <c r="S66" s="411">
        <f>CHOOSE(CF!$G$1,'Capex Allocation'!N61,'Capex Allocation'!N123)</f>
        <v>0</v>
      </c>
      <c r="T66" s="411">
        <f>CHOOSE(CF!$G$1,'Capex Allocation'!O61,'Capex Allocation'!O123)</f>
        <v>0</v>
      </c>
      <c r="U66" s="411">
        <f>CHOOSE(CF!$G$1,'Capex Allocation'!P61,'Capex Allocation'!P123)</f>
        <v>0</v>
      </c>
      <c r="V66" s="411">
        <f>CHOOSE(CF!$G$1,'Capex Allocation'!Q61,'Capex Allocation'!Q123)</f>
        <v>0</v>
      </c>
      <c r="W66" s="411">
        <f>CHOOSE(CF!$G$1,'Capex Allocation'!R61,'Capex Allocation'!R123)</f>
        <v>0</v>
      </c>
      <c r="X66" s="411">
        <f>CHOOSE(CF!$G$1,'Capex Allocation'!S61,'Capex Allocation'!S123)</f>
        <v>0</v>
      </c>
      <c r="Y66" s="411">
        <f>CHOOSE(CF!$G$1,'Capex Allocation'!T61,'Capex Allocation'!T123)</f>
        <v>0</v>
      </c>
      <c r="Z66" s="411">
        <f>CHOOSE(CF!$G$1,'Capex Allocation'!U61,'Capex Allocation'!U123)</f>
        <v>0</v>
      </c>
    </row>
    <row r="67" spans="2:26" ht="15" customHeight="1" x14ac:dyDescent="0.3">
      <c r="C67" s="8" t="s">
        <v>127</v>
      </c>
      <c r="K67" s="204">
        <f t="shared" si="6"/>
        <v>1</v>
      </c>
      <c r="M67" s="411">
        <f>CHOOSE(CF!$G$1,'Capex Allocation'!H62,'Capex Allocation'!H124)</f>
        <v>0.1</v>
      </c>
      <c r="N67" s="411">
        <f>CHOOSE(CF!$G$1,'Capex Allocation'!I62,'Capex Allocation'!I124)</f>
        <v>0.1</v>
      </c>
      <c r="O67" s="411">
        <f>CHOOSE(CF!$G$1,'Capex Allocation'!J62,'Capex Allocation'!J124)</f>
        <v>0.25</v>
      </c>
      <c r="P67" s="411">
        <f>CHOOSE(CF!$G$1,'Capex Allocation'!K62,'Capex Allocation'!K124)</f>
        <v>0.25</v>
      </c>
      <c r="Q67" s="411">
        <f>CHOOSE(CF!$G$1,'Capex Allocation'!L62,'Capex Allocation'!L124)</f>
        <v>0.25</v>
      </c>
      <c r="R67" s="411">
        <f>CHOOSE(CF!$G$1,'Capex Allocation'!M62,'Capex Allocation'!M124)</f>
        <v>0.05</v>
      </c>
      <c r="S67" s="411">
        <f>CHOOSE(CF!$G$1,'Capex Allocation'!N62,'Capex Allocation'!N124)</f>
        <v>0</v>
      </c>
      <c r="T67" s="411">
        <f>CHOOSE(CF!$G$1,'Capex Allocation'!O62,'Capex Allocation'!O124)</f>
        <v>0</v>
      </c>
      <c r="U67" s="411">
        <f>CHOOSE(CF!$G$1,'Capex Allocation'!P62,'Capex Allocation'!P124)</f>
        <v>0</v>
      </c>
      <c r="V67" s="411">
        <f>CHOOSE(CF!$G$1,'Capex Allocation'!Q62,'Capex Allocation'!Q124)</f>
        <v>0</v>
      </c>
      <c r="W67" s="411">
        <f>CHOOSE(CF!$G$1,'Capex Allocation'!R62,'Capex Allocation'!R124)</f>
        <v>0</v>
      </c>
      <c r="X67" s="411">
        <f>CHOOSE(CF!$G$1,'Capex Allocation'!S62,'Capex Allocation'!S124)</f>
        <v>0</v>
      </c>
      <c r="Y67" s="411">
        <f>CHOOSE(CF!$G$1,'Capex Allocation'!T62,'Capex Allocation'!T124)</f>
        <v>0</v>
      </c>
      <c r="Z67" s="411">
        <f>CHOOSE(CF!$G$1,'Capex Allocation'!U62,'Capex Allocation'!U124)</f>
        <v>0</v>
      </c>
    </row>
    <row r="68" spans="2:26" ht="15" customHeight="1" x14ac:dyDescent="0.3">
      <c r="C68" s="8" t="s">
        <v>128</v>
      </c>
      <c r="K68" s="204">
        <f t="shared" si="6"/>
        <v>1</v>
      </c>
      <c r="M68" s="411">
        <f>CHOOSE(CF!$G$1,'Capex Allocation'!H63,'Capex Allocation'!H125)</f>
        <v>0.1</v>
      </c>
      <c r="N68" s="411">
        <f>CHOOSE(CF!$G$1,'Capex Allocation'!I63,'Capex Allocation'!I125)</f>
        <v>0.1</v>
      </c>
      <c r="O68" s="411">
        <f>CHOOSE(CF!$G$1,'Capex Allocation'!J63,'Capex Allocation'!J125)</f>
        <v>0.25</v>
      </c>
      <c r="P68" s="411">
        <f>CHOOSE(CF!$G$1,'Capex Allocation'!K63,'Capex Allocation'!K125)</f>
        <v>0.25</v>
      </c>
      <c r="Q68" s="411">
        <f>CHOOSE(CF!$G$1,'Capex Allocation'!L63,'Capex Allocation'!L125)</f>
        <v>0.25</v>
      </c>
      <c r="R68" s="411">
        <f>CHOOSE(CF!$G$1,'Capex Allocation'!M63,'Capex Allocation'!M125)</f>
        <v>0.05</v>
      </c>
      <c r="S68" s="411">
        <f>CHOOSE(CF!$G$1,'Capex Allocation'!N63,'Capex Allocation'!N125)</f>
        <v>0</v>
      </c>
      <c r="T68" s="411">
        <f>CHOOSE(CF!$G$1,'Capex Allocation'!O63,'Capex Allocation'!O125)</f>
        <v>0</v>
      </c>
      <c r="U68" s="411">
        <f>CHOOSE(CF!$G$1,'Capex Allocation'!P63,'Capex Allocation'!P125)</f>
        <v>0</v>
      </c>
      <c r="V68" s="411">
        <f>CHOOSE(CF!$G$1,'Capex Allocation'!Q63,'Capex Allocation'!Q125)</f>
        <v>0</v>
      </c>
      <c r="W68" s="411">
        <f>CHOOSE(CF!$G$1,'Capex Allocation'!R63,'Capex Allocation'!R125)</f>
        <v>0</v>
      </c>
      <c r="X68" s="411">
        <f>CHOOSE(CF!$G$1,'Capex Allocation'!S63,'Capex Allocation'!S125)</f>
        <v>0</v>
      </c>
      <c r="Y68" s="411">
        <f>CHOOSE(CF!$G$1,'Capex Allocation'!T63,'Capex Allocation'!T125)</f>
        <v>0</v>
      </c>
      <c r="Z68" s="411">
        <f>CHOOSE(CF!$G$1,'Capex Allocation'!U63,'Capex Allocation'!U125)</f>
        <v>0</v>
      </c>
    </row>
    <row r="69" spans="2:26" ht="15" customHeight="1" x14ac:dyDescent="0.3">
      <c r="C69" s="8" t="s">
        <v>133</v>
      </c>
      <c r="K69" s="204">
        <f t="shared" si="6"/>
        <v>1</v>
      </c>
      <c r="M69" s="411">
        <f>CHOOSE(CF!$G$1,'Capex Allocation'!H64,'Capex Allocation'!H126)</f>
        <v>0.1</v>
      </c>
      <c r="N69" s="411">
        <f>CHOOSE(CF!$G$1,'Capex Allocation'!I64,'Capex Allocation'!I126)</f>
        <v>0.1</v>
      </c>
      <c r="O69" s="411">
        <f>CHOOSE(CF!$G$1,'Capex Allocation'!J64,'Capex Allocation'!J126)</f>
        <v>0.25</v>
      </c>
      <c r="P69" s="411">
        <f>CHOOSE(CF!$G$1,'Capex Allocation'!K64,'Capex Allocation'!K126)</f>
        <v>0.25</v>
      </c>
      <c r="Q69" s="411">
        <f>CHOOSE(CF!$G$1,'Capex Allocation'!L64,'Capex Allocation'!L126)</f>
        <v>0.25</v>
      </c>
      <c r="R69" s="411">
        <f>CHOOSE(CF!$G$1,'Capex Allocation'!M64,'Capex Allocation'!M126)</f>
        <v>0.05</v>
      </c>
      <c r="S69" s="411">
        <f>CHOOSE(CF!$G$1,'Capex Allocation'!N64,'Capex Allocation'!N126)</f>
        <v>0</v>
      </c>
      <c r="T69" s="411">
        <f>CHOOSE(CF!$G$1,'Capex Allocation'!O64,'Capex Allocation'!O126)</f>
        <v>0</v>
      </c>
      <c r="U69" s="411">
        <f>CHOOSE(CF!$G$1,'Capex Allocation'!P64,'Capex Allocation'!P126)</f>
        <v>0</v>
      </c>
      <c r="V69" s="411">
        <f>CHOOSE(CF!$G$1,'Capex Allocation'!Q64,'Capex Allocation'!Q126)</f>
        <v>0</v>
      </c>
      <c r="W69" s="411">
        <f>CHOOSE(CF!$G$1,'Capex Allocation'!R64,'Capex Allocation'!R126)</f>
        <v>0</v>
      </c>
      <c r="X69" s="411">
        <f>CHOOSE(CF!$G$1,'Capex Allocation'!S64,'Capex Allocation'!S126)</f>
        <v>0</v>
      </c>
      <c r="Y69" s="411">
        <f>CHOOSE(CF!$G$1,'Capex Allocation'!T64,'Capex Allocation'!T126)</f>
        <v>0</v>
      </c>
      <c r="Z69" s="411">
        <f>CHOOSE(CF!$G$1,'Capex Allocation'!U64,'Capex Allocation'!U126)</f>
        <v>0</v>
      </c>
    </row>
    <row r="70" spans="2:26" ht="15" customHeight="1" x14ac:dyDescent="0.3">
      <c r="C70" s="8" t="s">
        <v>129</v>
      </c>
      <c r="K70" s="204">
        <f t="shared" si="6"/>
        <v>1</v>
      </c>
      <c r="M70" s="411">
        <f>CHOOSE(CF!$G$1,'Capex Allocation'!H65,'Capex Allocation'!H127)</f>
        <v>0.1</v>
      </c>
      <c r="N70" s="411">
        <f>CHOOSE(CF!$G$1,'Capex Allocation'!I65,'Capex Allocation'!I127)</f>
        <v>0.1</v>
      </c>
      <c r="O70" s="411">
        <f>CHOOSE(CF!$G$1,'Capex Allocation'!J65,'Capex Allocation'!J127)</f>
        <v>0.25</v>
      </c>
      <c r="P70" s="411">
        <f>CHOOSE(CF!$G$1,'Capex Allocation'!K65,'Capex Allocation'!K127)</f>
        <v>0.25</v>
      </c>
      <c r="Q70" s="411">
        <f>CHOOSE(CF!$G$1,'Capex Allocation'!L65,'Capex Allocation'!L127)</f>
        <v>0.25</v>
      </c>
      <c r="R70" s="411">
        <f>CHOOSE(CF!$G$1,'Capex Allocation'!M65,'Capex Allocation'!M127)</f>
        <v>0.05</v>
      </c>
      <c r="S70" s="411">
        <f>CHOOSE(CF!$G$1,'Capex Allocation'!N65,'Capex Allocation'!N127)</f>
        <v>0</v>
      </c>
      <c r="T70" s="411">
        <f>CHOOSE(CF!$G$1,'Capex Allocation'!O65,'Capex Allocation'!O127)</f>
        <v>0</v>
      </c>
      <c r="U70" s="411">
        <f>CHOOSE(CF!$G$1,'Capex Allocation'!P65,'Capex Allocation'!P127)</f>
        <v>0</v>
      </c>
      <c r="V70" s="411">
        <f>CHOOSE(CF!$G$1,'Capex Allocation'!Q65,'Capex Allocation'!Q127)</f>
        <v>0</v>
      </c>
      <c r="W70" s="411">
        <f>CHOOSE(CF!$G$1,'Capex Allocation'!R65,'Capex Allocation'!R127)</f>
        <v>0</v>
      </c>
      <c r="X70" s="411">
        <f>CHOOSE(CF!$G$1,'Capex Allocation'!S65,'Capex Allocation'!S127)</f>
        <v>0</v>
      </c>
      <c r="Y70" s="411">
        <f>CHOOSE(CF!$G$1,'Capex Allocation'!T65,'Capex Allocation'!T127)</f>
        <v>0</v>
      </c>
      <c r="Z70" s="411">
        <f>CHOOSE(CF!$G$1,'Capex Allocation'!U65,'Capex Allocation'!U127)</f>
        <v>0</v>
      </c>
    </row>
    <row r="71" spans="2:26" ht="15" customHeight="1" x14ac:dyDescent="0.3">
      <c r="C71" s="8" t="s">
        <v>130</v>
      </c>
      <c r="K71" s="204">
        <f t="shared" si="6"/>
        <v>1</v>
      </c>
      <c r="M71" s="411">
        <f>CHOOSE(CF!$G$1,'Capex Allocation'!H66,'Capex Allocation'!H128)</f>
        <v>0.1</v>
      </c>
      <c r="N71" s="411">
        <f>CHOOSE(CF!$G$1,'Capex Allocation'!I66,'Capex Allocation'!I128)</f>
        <v>0.1</v>
      </c>
      <c r="O71" s="411">
        <f>CHOOSE(CF!$G$1,'Capex Allocation'!J66,'Capex Allocation'!J128)</f>
        <v>0.25</v>
      </c>
      <c r="P71" s="411">
        <f>CHOOSE(CF!$G$1,'Capex Allocation'!K66,'Capex Allocation'!K128)</f>
        <v>0.25</v>
      </c>
      <c r="Q71" s="411">
        <f>CHOOSE(CF!$G$1,'Capex Allocation'!L66,'Capex Allocation'!L128)</f>
        <v>0.25</v>
      </c>
      <c r="R71" s="411">
        <f>CHOOSE(CF!$G$1,'Capex Allocation'!M66,'Capex Allocation'!M128)</f>
        <v>0.05</v>
      </c>
      <c r="S71" s="411">
        <f>CHOOSE(CF!$G$1,'Capex Allocation'!N66,'Capex Allocation'!N128)</f>
        <v>0</v>
      </c>
      <c r="T71" s="411">
        <f>CHOOSE(CF!$G$1,'Capex Allocation'!O66,'Capex Allocation'!O128)</f>
        <v>0</v>
      </c>
      <c r="U71" s="411">
        <f>CHOOSE(CF!$G$1,'Capex Allocation'!P66,'Capex Allocation'!P128)</f>
        <v>0</v>
      </c>
      <c r="V71" s="411">
        <f>CHOOSE(CF!$G$1,'Capex Allocation'!Q66,'Capex Allocation'!Q128)</f>
        <v>0</v>
      </c>
      <c r="W71" s="411">
        <f>CHOOSE(CF!$G$1,'Capex Allocation'!R66,'Capex Allocation'!R128)</f>
        <v>0</v>
      </c>
      <c r="X71" s="411">
        <f>CHOOSE(CF!$G$1,'Capex Allocation'!S66,'Capex Allocation'!S128)</f>
        <v>0</v>
      </c>
      <c r="Y71" s="411">
        <f>CHOOSE(CF!$G$1,'Capex Allocation'!T66,'Capex Allocation'!T128)</f>
        <v>0</v>
      </c>
      <c r="Z71" s="411">
        <f>CHOOSE(CF!$G$1,'Capex Allocation'!U66,'Capex Allocation'!U128)</f>
        <v>0</v>
      </c>
    </row>
    <row r="72" spans="2:26" ht="15" customHeight="1" x14ac:dyDescent="0.3">
      <c r="C72" s="141" t="s">
        <v>134</v>
      </c>
    </row>
    <row r="73" spans="2:26" ht="15" customHeight="1" x14ac:dyDescent="0.3"/>
    <row r="74" spans="2:26" ht="15" customHeight="1" x14ac:dyDescent="0.3">
      <c r="B74" s="52" t="s">
        <v>141</v>
      </c>
      <c r="C74" s="52"/>
      <c r="D74" s="52"/>
      <c r="E74" s="52"/>
      <c r="F74" s="52"/>
      <c r="G74" s="52"/>
      <c r="H74" s="52"/>
      <c r="I74" s="52"/>
      <c r="J74" s="52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spans="2:26" ht="15" customHeight="1" x14ac:dyDescent="0.3">
      <c r="C75" s="8" t="s">
        <v>92</v>
      </c>
      <c r="F75" s="141" t="s">
        <v>102</v>
      </c>
      <c r="G75" s="370">
        <f>'Land Summary'!E36</f>
        <v>5718.4129999999996</v>
      </c>
      <c r="H75" s="370">
        <f>'Land Summary'!F36</f>
        <v>98450.587000129512</v>
      </c>
      <c r="I75" s="371">
        <v>1</v>
      </c>
      <c r="K75" s="23">
        <f>G75*H75*I75/1000</f>
        <v>562981.11655917158</v>
      </c>
      <c r="L75" s="67">
        <f t="shared" ref="L75:Z75" si="7">L$9*$K75</f>
        <v>0</v>
      </c>
      <c r="M75" s="67">
        <f>M$9*$K75</f>
        <v>562981.11655917158</v>
      </c>
      <c r="N75" s="67">
        <f t="shared" si="7"/>
        <v>0</v>
      </c>
      <c r="O75" s="67">
        <f t="shared" si="7"/>
        <v>0</v>
      </c>
      <c r="P75" s="67">
        <f t="shared" si="7"/>
        <v>0</v>
      </c>
      <c r="Q75" s="67">
        <f t="shared" si="7"/>
        <v>0</v>
      </c>
      <c r="R75" s="67">
        <f t="shared" si="7"/>
        <v>0</v>
      </c>
      <c r="S75" s="67">
        <f t="shared" si="7"/>
        <v>0</v>
      </c>
      <c r="T75" s="67">
        <f t="shared" si="7"/>
        <v>0</v>
      </c>
      <c r="U75" s="67">
        <f t="shared" si="7"/>
        <v>0</v>
      </c>
      <c r="V75" s="67">
        <f t="shared" si="7"/>
        <v>0</v>
      </c>
      <c r="W75" s="67">
        <f t="shared" si="7"/>
        <v>0</v>
      </c>
      <c r="X75" s="67">
        <f t="shared" si="7"/>
        <v>0</v>
      </c>
      <c r="Y75" s="67">
        <f t="shared" si="7"/>
        <v>0</v>
      </c>
      <c r="Z75" s="67">
        <f t="shared" si="7"/>
        <v>0</v>
      </c>
    </row>
    <row r="76" spans="2:26" ht="15" customHeight="1" x14ac:dyDescent="0.3">
      <c r="C76" s="206" t="s">
        <v>142</v>
      </c>
    </row>
    <row r="77" spans="2:26" ht="15" customHeight="1" x14ac:dyDescent="0.3">
      <c r="C77" s="8" t="s">
        <v>108</v>
      </c>
      <c r="F77" s="141" t="s">
        <v>109</v>
      </c>
      <c r="G77" s="60">
        <v>47800</v>
      </c>
      <c r="H77" s="60">
        <v>6750</v>
      </c>
      <c r="K77" s="23">
        <f>G77*H77/1000</f>
        <v>322650</v>
      </c>
    </row>
    <row r="78" spans="2:26" ht="15" customHeight="1" x14ac:dyDescent="0.3">
      <c r="C78" s="8" t="s">
        <v>110</v>
      </c>
      <c r="F78" s="141" t="s">
        <v>109</v>
      </c>
      <c r="G78" s="372">
        <v>36497</v>
      </c>
      <c r="H78" s="372">
        <v>6750</v>
      </c>
      <c r="K78" s="23">
        <f>G78*H78/1000</f>
        <v>246354.75</v>
      </c>
    </row>
    <row r="79" spans="2:26" ht="15" customHeight="1" x14ac:dyDescent="0.3">
      <c r="C79" s="8" t="s">
        <v>111</v>
      </c>
      <c r="F79" s="141" t="s">
        <v>109</v>
      </c>
      <c r="G79" s="60">
        <v>46577</v>
      </c>
      <c r="H79" s="60">
        <v>6750</v>
      </c>
      <c r="K79" s="23">
        <f>G79*H79/1000</f>
        <v>314394.75</v>
      </c>
    </row>
    <row r="80" spans="2:26" ht="15" customHeight="1" x14ac:dyDescent="0.3">
      <c r="C80" s="137" t="s">
        <v>112</v>
      </c>
      <c r="D80" s="91"/>
      <c r="E80" s="91"/>
      <c r="F80" s="91"/>
      <c r="G80" s="375">
        <f>SUM(G77:G79)</f>
        <v>130874</v>
      </c>
      <c r="H80" s="91"/>
      <c r="I80" s="91"/>
      <c r="J80" s="91"/>
      <c r="K80" s="207">
        <f>SUM(K77:K79)</f>
        <v>883399.5</v>
      </c>
      <c r="L80" s="67">
        <f t="shared" ref="L80:Z81" si="8">L$10*$K80</f>
        <v>0</v>
      </c>
      <c r="M80" s="67">
        <f t="shared" si="8"/>
        <v>88339.950000000012</v>
      </c>
      <c r="N80" s="67">
        <f t="shared" si="8"/>
        <v>220849.875</v>
      </c>
      <c r="O80" s="67">
        <f t="shared" si="8"/>
        <v>265019.84999999998</v>
      </c>
      <c r="P80" s="67">
        <f t="shared" si="8"/>
        <v>220849.875</v>
      </c>
      <c r="Q80" s="67">
        <f t="shared" si="8"/>
        <v>88339.950000000012</v>
      </c>
      <c r="R80" s="67">
        <f t="shared" si="8"/>
        <v>0</v>
      </c>
      <c r="S80" s="67">
        <f t="shared" si="8"/>
        <v>0</v>
      </c>
      <c r="T80" s="67">
        <f t="shared" si="8"/>
        <v>0</v>
      </c>
      <c r="U80" s="67">
        <f t="shared" si="8"/>
        <v>0</v>
      </c>
      <c r="V80" s="67">
        <f t="shared" si="8"/>
        <v>0</v>
      </c>
      <c r="W80" s="67">
        <f t="shared" si="8"/>
        <v>0</v>
      </c>
      <c r="X80" s="67">
        <f t="shared" si="8"/>
        <v>0</v>
      </c>
      <c r="Y80" s="67">
        <f t="shared" si="8"/>
        <v>0</v>
      </c>
      <c r="Z80" s="67">
        <f t="shared" si="8"/>
        <v>0</v>
      </c>
    </row>
    <row r="81" spans="2:26" ht="15" customHeight="1" x14ac:dyDescent="0.3">
      <c r="C81" s="8" t="s">
        <v>94</v>
      </c>
      <c r="F81" s="141" t="s">
        <v>103</v>
      </c>
      <c r="G81" s="60">
        <v>26259</v>
      </c>
      <c r="H81" s="60">
        <v>2500</v>
      </c>
      <c r="K81" s="23">
        <f>G81*H81/1000</f>
        <v>65647.5</v>
      </c>
      <c r="L81" s="67">
        <f t="shared" si="8"/>
        <v>0</v>
      </c>
      <c r="M81" s="67">
        <f t="shared" si="8"/>
        <v>6564.75</v>
      </c>
      <c r="N81" s="67">
        <f t="shared" si="8"/>
        <v>16411.875</v>
      </c>
      <c r="O81" s="67">
        <f t="shared" si="8"/>
        <v>19694.25</v>
      </c>
      <c r="P81" s="67">
        <f t="shared" si="8"/>
        <v>16411.875</v>
      </c>
      <c r="Q81" s="67">
        <f t="shared" si="8"/>
        <v>6564.75</v>
      </c>
      <c r="R81" s="67">
        <f t="shared" si="8"/>
        <v>0</v>
      </c>
      <c r="S81" s="67">
        <f t="shared" si="8"/>
        <v>0</v>
      </c>
      <c r="T81" s="67">
        <f t="shared" si="8"/>
        <v>0</v>
      </c>
      <c r="U81" s="67">
        <f t="shared" si="8"/>
        <v>0</v>
      </c>
      <c r="V81" s="67">
        <f t="shared" si="8"/>
        <v>0</v>
      </c>
      <c r="W81" s="67">
        <f t="shared" si="8"/>
        <v>0</v>
      </c>
      <c r="X81" s="67">
        <f t="shared" si="8"/>
        <v>0</v>
      </c>
      <c r="Y81" s="67">
        <f t="shared" si="8"/>
        <v>0</v>
      </c>
      <c r="Z81" s="67">
        <f t="shared" si="8"/>
        <v>0</v>
      </c>
    </row>
    <row r="82" spans="2:26" ht="15" customHeight="1" x14ac:dyDescent="0.3">
      <c r="C82" s="8" t="s">
        <v>95</v>
      </c>
      <c r="F82" s="141" t="s">
        <v>104</v>
      </c>
      <c r="G82" s="377">
        <f>G75</f>
        <v>5718.4129999999996</v>
      </c>
      <c r="H82" s="60">
        <v>3000</v>
      </c>
      <c r="I82" s="378">
        <v>1</v>
      </c>
      <c r="K82" s="23">
        <f>G82*H82*I82/1000</f>
        <v>17155.239000000001</v>
      </c>
      <c r="L82" s="67">
        <f t="shared" ref="L82:Z82" si="9">L$11*$K82</f>
        <v>0</v>
      </c>
      <c r="M82" s="67">
        <f t="shared" si="9"/>
        <v>1715.5239000000001</v>
      </c>
      <c r="N82" s="67">
        <f t="shared" si="9"/>
        <v>4288.8097500000003</v>
      </c>
      <c r="O82" s="67">
        <f t="shared" si="9"/>
        <v>5146.5717000000004</v>
      </c>
      <c r="P82" s="67">
        <f t="shared" si="9"/>
        <v>4288.8097500000003</v>
      </c>
      <c r="Q82" s="67">
        <f t="shared" si="9"/>
        <v>1715.5239000000001</v>
      </c>
      <c r="R82" s="67">
        <f t="shared" si="9"/>
        <v>0</v>
      </c>
      <c r="S82" s="67">
        <f t="shared" si="9"/>
        <v>0</v>
      </c>
      <c r="T82" s="67">
        <f t="shared" si="9"/>
        <v>0</v>
      </c>
      <c r="U82" s="67">
        <f t="shared" si="9"/>
        <v>0</v>
      </c>
      <c r="V82" s="67">
        <f t="shared" si="9"/>
        <v>0</v>
      </c>
      <c r="W82" s="67">
        <f t="shared" si="9"/>
        <v>0</v>
      </c>
      <c r="X82" s="67">
        <f t="shared" si="9"/>
        <v>0</v>
      </c>
      <c r="Y82" s="67">
        <f t="shared" si="9"/>
        <v>0</v>
      </c>
      <c r="Z82" s="67">
        <f t="shared" si="9"/>
        <v>0</v>
      </c>
    </row>
    <row r="83" spans="2:26" ht="15" customHeight="1" x14ac:dyDescent="0.3">
      <c r="C83" s="8" t="s">
        <v>96</v>
      </c>
      <c r="F83" s="141" t="s">
        <v>104</v>
      </c>
      <c r="G83" s="376">
        <f>G75</f>
        <v>5718.4129999999996</v>
      </c>
      <c r="H83" s="373">
        <v>1700</v>
      </c>
      <c r="I83" s="5">
        <v>0.36331999999999998</v>
      </c>
      <c r="K83" s="23">
        <f>G83*H83*I83/1000</f>
        <v>3531.9434789719994</v>
      </c>
      <c r="L83" s="67">
        <f t="shared" ref="L83:Z83" si="10">L$12*$K83</f>
        <v>0</v>
      </c>
      <c r="M83" s="67">
        <f t="shared" si="10"/>
        <v>353.19434789719998</v>
      </c>
      <c r="N83" s="67">
        <f t="shared" si="10"/>
        <v>882.98586974299985</v>
      </c>
      <c r="O83" s="67">
        <f t="shared" si="10"/>
        <v>1059.5830436915999</v>
      </c>
      <c r="P83" s="67">
        <f t="shared" si="10"/>
        <v>882.98586974299985</v>
      </c>
      <c r="Q83" s="67">
        <f t="shared" si="10"/>
        <v>353.19434789719998</v>
      </c>
      <c r="R83" s="67">
        <f t="shared" si="10"/>
        <v>0</v>
      </c>
      <c r="S83" s="67">
        <f t="shared" si="10"/>
        <v>0</v>
      </c>
      <c r="T83" s="67">
        <f t="shared" si="10"/>
        <v>0</v>
      </c>
      <c r="U83" s="67">
        <f t="shared" si="10"/>
        <v>0</v>
      </c>
      <c r="V83" s="67">
        <f t="shared" si="10"/>
        <v>0</v>
      </c>
      <c r="W83" s="67">
        <f t="shared" si="10"/>
        <v>0</v>
      </c>
      <c r="X83" s="67">
        <f t="shared" si="10"/>
        <v>0</v>
      </c>
      <c r="Y83" s="67">
        <f t="shared" si="10"/>
        <v>0</v>
      </c>
      <c r="Z83" s="67">
        <f t="shared" si="10"/>
        <v>0</v>
      </c>
    </row>
    <row r="84" spans="2:26" ht="15" customHeight="1" x14ac:dyDescent="0.3">
      <c r="C84" s="8" t="s">
        <v>105</v>
      </c>
      <c r="F84" s="141" t="s">
        <v>106</v>
      </c>
      <c r="G84" s="377">
        <f>K80+K81+K82+K83</f>
        <v>969734.18247897201</v>
      </c>
      <c r="I84" s="5">
        <v>1.7999999999999999E-2</v>
      </c>
      <c r="K84" s="23">
        <f>G84*I84</f>
        <v>17455.215284621496</v>
      </c>
      <c r="L84" s="67">
        <f t="shared" ref="L84:Z84" si="11">L$13*$K84</f>
        <v>0</v>
      </c>
      <c r="M84" s="67">
        <f t="shared" si="11"/>
        <v>1745.5215284621497</v>
      </c>
      <c r="N84" s="67">
        <f t="shared" si="11"/>
        <v>4363.803821155374</v>
      </c>
      <c r="O84" s="67">
        <f t="shared" si="11"/>
        <v>5236.5645853864489</v>
      </c>
      <c r="P84" s="67">
        <f t="shared" si="11"/>
        <v>4363.803821155374</v>
      </c>
      <c r="Q84" s="67">
        <f t="shared" si="11"/>
        <v>1745.5215284621497</v>
      </c>
      <c r="R84" s="67">
        <f t="shared" si="11"/>
        <v>0</v>
      </c>
      <c r="S84" s="67">
        <f t="shared" si="11"/>
        <v>0</v>
      </c>
      <c r="T84" s="67">
        <f t="shared" si="11"/>
        <v>0</v>
      </c>
      <c r="U84" s="67">
        <f t="shared" si="11"/>
        <v>0</v>
      </c>
      <c r="V84" s="67">
        <f t="shared" si="11"/>
        <v>0</v>
      </c>
      <c r="W84" s="67">
        <f t="shared" si="11"/>
        <v>0</v>
      </c>
      <c r="X84" s="67">
        <f t="shared" si="11"/>
        <v>0</v>
      </c>
      <c r="Y84" s="67">
        <f t="shared" si="11"/>
        <v>0</v>
      </c>
      <c r="Z84" s="67">
        <f t="shared" si="11"/>
        <v>0</v>
      </c>
    </row>
    <row r="85" spans="2:26" ht="15" customHeight="1" x14ac:dyDescent="0.3">
      <c r="C85" s="8" t="s">
        <v>97</v>
      </c>
      <c r="F85" s="141" t="s">
        <v>107</v>
      </c>
      <c r="G85" s="377">
        <f>K80+K81</f>
        <v>949047</v>
      </c>
      <c r="I85" s="5">
        <v>0.15</v>
      </c>
      <c r="K85" s="23">
        <f>G85*I85</f>
        <v>142357.04999999999</v>
      </c>
      <c r="L85" s="67">
        <f t="shared" ref="L85:Z85" si="12">L$14*$K85</f>
        <v>0</v>
      </c>
      <c r="M85" s="67">
        <f t="shared" si="12"/>
        <v>14235.705</v>
      </c>
      <c r="N85" s="67">
        <f t="shared" si="12"/>
        <v>35589.262499999997</v>
      </c>
      <c r="O85" s="67">
        <f t="shared" si="12"/>
        <v>42707.114999999998</v>
      </c>
      <c r="P85" s="67">
        <f t="shared" si="12"/>
        <v>35589.262499999997</v>
      </c>
      <c r="Q85" s="67">
        <f t="shared" si="12"/>
        <v>14235.705</v>
      </c>
      <c r="R85" s="67">
        <f t="shared" si="12"/>
        <v>0</v>
      </c>
      <c r="S85" s="67">
        <f t="shared" si="12"/>
        <v>0</v>
      </c>
      <c r="T85" s="67">
        <f t="shared" si="12"/>
        <v>0</v>
      </c>
      <c r="U85" s="67">
        <f t="shared" si="12"/>
        <v>0</v>
      </c>
      <c r="V85" s="67">
        <f t="shared" si="12"/>
        <v>0</v>
      </c>
      <c r="W85" s="67">
        <f t="shared" si="12"/>
        <v>0</v>
      </c>
      <c r="X85" s="67">
        <f t="shared" si="12"/>
        <v>0</v>
      </c>
      <c r="Y85" s="67">
        <f t="shared" si="12"/>
        <v>0</v>
      </c>
      <c r="Z85" s="67">
        <f t="shared" si="12"/>
        <v>0</v>
      </c>
    </row>
    <row r="86" spans="2:26" ht="15" customHeight="1" x14ac:dyDescent="0.3">
      <c r="C86" s="8" t="s">
        <v>98</v>
      </c>
      <c r="F86" s="141" t="s">
        <v>131</v>
      </c>
      <c r="G86" s="370">
        <f>Revenue!J164+Revenue!J167</f>
        <v>2822041.0494751623</v>
      </c>
      <c r="I86" s="5">
        <v>0.04</v>
      </c>
      <c r="K86" s="23">
        <f>G86*I86</f>
        <v>112881.6419790065</v>
      </c>
      <c r="L86" s="67">
        <f t="shared" ref="L86:Z86" si="13">L$15*$K86</f>
        <v>0</v>
      </c>
      <c r="M86" s="67">
        <f t="shared" si="13"/>
        <v>11288.164197900651</v>
      </c>
      <c r="N86" s="67">
        <f t="shared" si="13"/>
        <v>28220.410494751624</v>
      </c>
      <c r="O86" s="67">
        <f t="shared" si="13"/>
        <v>33864.492593701951</v>
      </c>
      <c r="P86" s="67">
        <f t="shared" si="13"/>
        <v>28220.410494751624</v>
      </c>
      <c r="Q86" s="67">
        <f t="shared" si="13"/>
        <v>11288.164197900651</v>
      </c>
      <c r="R86" s="67">
        <f t="shared" si="13"/>
        <v>0</v>
      </c>
      <c r="S86" s="67">
        <f t="shared" si="13"/>
        <v>0</v>
      </c>
      <c r="T86" s="67">
        <f t="shared" si="13"/>
        <v>0</v>
      </c>
      <c r="U86" s="67">
        <f t="shared" si="13"/>
        <v>0</v>
      </c>
      <c r="V86" s="67">
        <f t="shared" si="13"/>
        <v>0</v>
      </c>
      <c r="W86" s="67">
        <f t="shared" si="13"/>
        <v>0</v>
      </c>
      <c r="X86" s="67">
        <f t="shared" si="13"/>
        <v>0</v>
      </c>
      <c r="Y86" s="67">
        <f t="shared" si="13"/>
        <v>0</v>
      </c>
      <c r="Z86" s="67">
        <f t="shared" si="13"/>
        <v>0</v>
      </c>
    </row>
    <row r="87" spans="2:26" ht="15" customHeight="1" x14ac:dyDescent="0.3">
      <c r="C87" s="8" t="s">
        <v>99</v>
      </c>
      <c r="F87" s="141" t="s">
        <v>107</v>
      </c>
      <c r="G87" s="377">
        <f>K80+K81</f>
        <v>949047</v>
      </c>
      <c r="I87" s="5">
        <v>7.4999999999999997E-2</v>
      </c>
      <c r="K87" s="23">
        <f>G87*I87</f>
        <v>71178.524999999994</v>
      </c>
      <c r="L87" s="67">
        <f t="shared" ref="L87:Z87" si="14">L$16*$K87</f>
        <v>0</v>
      </c>
      <c r="M87" s="67">
        <f t="shared" si="14"/>
        <v>7117.8525</v>
      </c>
      <c r="N87" s="67">
        <f t="shared" si="14"/>
        <v>17794.631249999999</v>
      </c>
      <c r="O87" s="67">
        <f t="shared" si="14"/>
        <v>21353.557499999999</v>
      </c>
      <c r="P87" s="67">
        <f t="shared" si="14"/>
        <v>17794.631249999999</v>
      </c>
      <c r="Q87" s="67">
        <f t="shared" si="14"/>
        <v>7117.8525</v>
      </c>
      <c r="R87" s="67">
        <f t="shared" si="14"/>
        <v>0</v>
      </c>
      <c r="S87" s="67">
        <f t="shared" si="14"/>
        <v>0</v>
      </c>
      <c r="T87" s="67">
        <f t="shared" si="14"/>
        <v>0</v>
      </c>
      <c r="U87" s="67">
        <f t="shared" si="14"/>
        <v>0</v>
      </c>
      <c r="V87" s="67">
        <f t="shared" si="14"/>
        <v>0</v>
      </c>
      <c r="W87" s="67">
        <f t="shared" si="14"/>
        <v>0</v>
      </c>
      <c r="X87" s="67">
        <f t="shared" si="14"/>
        <v>0</v>
      </c>
      <c r="Y87" s="67">
        <f t="shared" si="14"/>
        <v>0</v>
      </c>
      <c r="Z87" s="67">
        <f t="shared" si="14"/>
        <v>0</v>
      </c>
    </row>
    <row r="88" spans="2:26" ht="15" customHeight="1" x14ac:dyDescent="0.3">
      <c r="B88" s="49"/>
      <c r="C88" s="49" t="s">
        <v>288</v>
      </c>
      <c r="D88" s="49"/>
      <c r="E88" s="49"/>
      <c r="F88" s="49"/>
      <c r="G88" s="49"/>
      <c r="H88" s="49"/>
      <c r="I88" s="49"/>
      <c r="J88" s="49"/>
      <c r="K88" s="54">
        <f t="shared" ref="K88:Z88" si="15">SUM(K80:K87)</f>
        <v>1313606.6147425999</v>
      </c>
      <c r="L88" s="54">
        <f t="shared" si="15"/>
        <v>0</v>
      </c>
      <c r="M88" s="54">
        <f t="shared" si="15"/>
        <v>131360.66147426001</v>
      </c>
      <c r="N88" s="54">
        <f t="shared" si="15"/>
        <v>328401.65368564997</v>
      </c>
      <c r="O88" s="54">
        <f t="shared" si="15"/>
        <v>394081.98442277987</v>
      </c>
      <c r="P88" s="54">
        <f t="shared" si="15"/>
        <v>328401.65368564997</v>
      </c>
      <c r="Q88" s="54">
        <f t="shared" si="15"/>
        <v>131360.66147426001</v>
      </c>
      <c r="R88" s="54">
        <f t="shared" si="15"/>
        <v>0</v>
      </c>
      <c r="S88" s="54">
        <f t="shared" si="15"/>
        <v>0</v>
      </c>
      <c r="T88" s="54">
        <f t="shared" si="15"/>
        <v>0</v>
      </c>
      <c r="U88" s="54">
        <f t="shared" si="15"/>
        <v>0</v>
      </c>
      <c r="V88" s="54">
        <f t="shared" si="15"/>
        <v>0</v>
      </c>
      <c r="W88" s="54">
        <f t="shared" si="15"/>
        <v>0</v>
      </c>
      <c r="X88" s="54">
        <f t="shared" si="15"/>
        <v>0</v>
      </c>
      <c r="Y88" s="54">
        <f t="shared" si="15"/>
        <v>0</v>
      </c>
      <c r="Z88" s="54">
        <f t="shared" si="15"/>
        <v>0</v>
      </c>
    </row>
    <row r="89" spans="2:26" ht="15" customHeight="1" x14ac:dyDescent="0.3"/>
    <row r="90" spans="2:26" ht="15" customHeight="1" x14ac:dyDescent="0.3">
      <c r="B90" s="49"/>
      <c r="C90" s="49" t="s">
        <v>289</v>
      </c>
      <c r="D90" s="49"/>
      <c r="E90" s="49"/>
      <c r="F90" s="49"/>
      <c r="G90" s="49"/>
      <c r="H90" s="49"/>
      <c r="I90" s="49"/>
      <c r="J90" s="49"/>
      <c r="K90" s="54">
        <f t="shared" ref="K90:Z90" si="16">SUM(K75,K88)</f>
        <v>1876587.7313017715</v>
      </c>
      <c r="L90" s="54">
        <f t="shared" si="16"/>
        <v>0</v>
      </c>
      <c r="M90" s="54">
        <f t="shared" si="16"/>
        <v>694341.77803343162</v>
      </c>
      <c r="N90" s="54">
        <f t="shared" si="16"/>
        <v>328401.65368564997</v>
      </c>
      <c r="O90" s="54">
        <f t="shared" si="16"/>
        <v>394081.98442277987</v>
      </c>
      <c r="P90" s="54">
        <f t="shared" si="16"/>
        <v>328401.65368564997</v>
      </c>
      <c r="Q90" s="54">
        <f t="shared" si="16"/>
        <v>131360.66147426001</v>
      </c>
      <c r="R90" s="54">
        <f t="shared" si="16"/>
        <v>0</v>
      </c>
      <c r="S90" s="54">
        <f t="shared" si="16"/>
        <v>0</v>
      </c>
      <c r="T90" s="54">
        <f t="shared" si="16"/>
        <v>0</v>
      </c>
      <c r="U90" s="54">
        <f t="shared" si="16"/>
        <v>0</v>
      </c>
      <c r="V90" s="54">
        <f t="shared" si="16"/>
        <v>0</v>
      </c>
      <c r="W90" s="54">
        <f t="shared" si="16"/>
        <v>0</v>
      </c>
      <c r="X90" s="54">
        <f t="shared" si="16"/>
        <v>0</v>
      </c>
      <c r="Y90" s="54">
        <f t="shared" si="16"/>
        <v>0</v>
      </c>
      <c r="Z90" s="54">
        <f t="shared" si="16"/>
        <v>0</v>
      </c>
    </row>
    <row r="91" spans="2:26" ht="15" customHeight="1" x14ac:dyDescent="0.3"/>
    <row r="92" spans="2:26" ht="15" customHeight="1" x14ac:dyDescent="0.3">
      <c r="B92" s="52" t="s">
        <v>143</v>
      </c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spans="2:26" ht="15" customHeight="1" x14ac:dyDescent="0.3">
      <c r="C93" s="8" t="s">
        <v>92</v>
      </c>
      <c r="F93" s="141" t="s">
        <v>102</v>
      </c>
      <c r="G93" s="370">
        <f>'Land Summary'!E37</f>
        <v>6813.7370000000001</v>
      </c>
      <c r="H93" s="370">
        <f>'Land Summary'!F37</f>
        <v>61722.245199742873</v>
      </c>
      <c r="I93" s="371">
        <v>1</v>
      </c>
      <c r="K93" s="23">
        <f>G93*H93*I93/1000</f>
        <v>420559.14584056038</v>
      </c>
      <c r="L93" s="67">
        <f t="shared" ref="L93:Z93" si="17">L$20*$K93</f>
        <v>0</v>
      </c>
      <c r="M93" s="67">
        <f t="shared" si="17"/>
        <v>420559.14584056038</v>
      </c>
      <c r="N93" s="67">
        <f t="shared" si="17"/>
        <v>0</v>
      </c>
      <c r="O93" s="67">
        <f t="shared" si="17"/>
        <v>0</v>
      </c>
      <c r="P93" s="67">
        <f t="shared" si="17"/>
        <v>0</v>
      </c>
      <c r="Q93" s="67">
        <f t="shared" si="17"/>
        <v>0</v>
      </c>
      <c r="R93" s="67">
        <f t="shared" si="17"/>
        <v>0</v>
      </c>
      <c r="S93" s="67">
        <f t="shared" si="17"/>
        <v>0</v>
      </c>
      <c r="T93" s="67">
        <f t="shared" si="17"/>
        <v>0</v>
      </c>
      <c r="U93" s="67">
        <f t="shared" si="17"/>
        <v>0</v>
      </c>
      <c r="V93" s="67">
        <f t="shared" si="17"/>
        <v>0</v>
      </c>
      <c r="W93" s="67">
        <f t="shared" si="17"/>
        <v>0</v>
      </c>
      <c r="X93" s="67">
        <f t="shared" si="17"/>
        <v>0</v>
      </c>
      <c r="Y93" s="67">
        <f t="shared" si="17"/>
        <v>0</v>
      </c>
      <c r="Z93" s="67">
        <f t="shared" si="17"/>
        <v>0</v>
      </c>
    </row>
    <row r="94" spans="2:26" ht="15" customHeight="1" x14ac:dyDescent="0.3">
      <c r="C94" s="206" t="s">
        <v>142</v>
      </c>
    </row>
    <row r="95" spans="2:26" ht="15" customHeight="1" x14ac:dyDescent="0.3">
      <c r="C95" s="8" t="s">
        <v>113</v>
      </c>
      <c r="F95" s="141" t="s">
        <v>109</v>
      </c>
      <c r="G95" s="372">
        <v>28673</v>
      </c>
      <c r="H95" s="60">
        <v>6700</v>
      </c>
      <c r="K95" s="23">
        <f>G95*H95/1000</f>
        <v>192109.1</v>
      </c>
    </row>
    <row r="96" spans="2:26" ht="15" customHeight="1" x14ac:dyDescent="0.3">
      <c r="C96" s="8" t="s">
        <v>114</v>
      </c>
      <c r="F96" s="141" t="s">
        <v>109</v>
      </c>
      <c r="G96" s="60">
        <v>64513</v>
      </c>
      <c r="H96" s="60">
        <v>6700</v>
      </c>
      <c r="K96" s="23">
        <f>G96*H96/1000</f>
        <v>432237.1</v>
      </c>
    </row>
    <row r="97" spans="2:26" ht="15" customHeight="1" x14ac:dyDescent="0.3">
      <c r="C97" s="8" t="s">
        <v>115</v>
      </c>
      <c r="F97" s="141" t="s">
        <v>109</v>
      </c>
      <c r="G97" s="60">
        <v>50177</v>
      </c>
      <c r="H97" s="60">
        <v>6700</v>
      </c>
      <c r="K97" s="23">
        <f>G97*H97/1000</f>
        <v>336185.9</v>
      </c>
    </row>
    <row r="98" spans="2:26" ht="15" customHeight="1" x14ac:dyDescent="0.3">
      <c r="C98" s="137" t="s">
        <v>112</v>
      </c>
      <c r="D98" s="91"/>
      <c r="E98" s="91"/>
      <c r="F98" s="91"/>
      <c r="G98" s="374">
        <f>SUM(G95:G97)</f>
        <v>143363</v>
      </c>
      <c r="H98" s="91"/>
      <c r="I98" s="91"/>
      <c r="J98" s="91"/>
      <c r="K98" s="207">
        <f>SUM(K95:K97)</f>
        <v>960532.1</v>
      </c>
      <c r="L98" s="67">
        <f t="shared" ref="L98:Z99" si="18">L$21*$K98</f>
        <v>0</v>
      </c>
      <c r="M98" s="67">
        <f t="shared" si="18"/>
        <v>96053.21</v>
      </c>
      <c r="N98" s="67">
        <f t="shared" si="18"/>
        <v>96053.21</v>
      </c>
      <c r="O98" s="67">
        <f t="shared" si="18"/>
        <v>240133.02499999999</v>
      </c>
      <c r="P98" s="67">
        <f t="shared" si="18"/>
        <v>240133.02499999999</v>
      </c>
      <c r="Q98" s="67">
        <f t="shared" si="18"/>
        <v>240133.02499999999</v>
      </c>
      <c r="R98" s="67">
        <f t="shared" si="18"/>
        <v>48026.605000000003</v>
      </c>
      <c r="S98" s="67">
        <f t="shared" si="18"/>
        <v>0</v>
      </c>
      <c r="T98" s="67">
        <f t="shared" si="18"/>
        <v>0</v>
      </c>
      <c r="U98" s="67">
        <f t="shared" si="18"/>
        <v>0</v>
      </c>
      <c r="V98" s="67">
        <f t="shared" si="18"/>
        <v>0</v>
      </c>
      <c r="W98" s="67">
        <f t="shared" si="18"/>
        <v>0</v>
      </c>
      <c r="X98" s="67">
        <f t="shared" si="18"/>
        <v>0</v>
      </c>
      <c r="Y98" s="67">
        <f t="shared" si="18"/>
        <v>0</v>
      </c>
      <c r="Z98" s="67">
        <f t="shared" si="18"/>
        <v>0</v>
      </c>
    </row>
    <row r="99" spans="2:26" ht="15" customHeight="1" x14ac:dyDescent="0.3">
      <c r="C99" s="8" t="s">
        <v>94</v>
      </c>
      <c r="F99" s="141" t="s">
        <v>116</v>
      </c>
      <c r="G99" s="60">
        <v>40236</v>
      </c>
      <c r="H99" s="60">
        <v>2500</v>
      </c>
      <c r="K99" s="23">
        <f>G99*H99/1000</f>
        <v>100590</v>
      </c>
      <c r="L99" s="67">
        <f t="shared" si="18"/>
        <v>0</v>
      </c>
      <c r="M99" s="67">
        <f t="shared" si="18"/>
        <v>10059</v>
      </c>
      <c r="N99" s="67">
        <f t="shared" si="18"/>
        <v>10059</v>
      </c>
      <c r="O99" s="67">
        <f t="shared" si="18"/>
        <v>25147.5</v>
      </c>
      <c r="P99" s="67">
        <f t="shared" si="18"/>
        <v>25147.5</v>
      </c>
      <c r="Q99" s="67">
        <f t="shared" si="18"/>
        <v>25147.5</v>
      </c>
      <c r="R99" s="67">
        <f t="shared" si="18"/>
        <v>5029.5</v>
      </c>
      <c r="S99" s="67">
        <f t="shared" si="18"/>
        <v>0</v>
      </c>
      <c r="T99" s="67">
        <f t="shared" si="18"/>
        <v>0</v>
      </c>
      <c r="U99" s="67">
        <f t="shared" si="18"/>
        <v>0</v>
      </c>
      <c r="V99" s="67">
        <f t="shared" si="18"/>
        <v>0</v>
      </c>
      <c r="W99" s="67">
        <f t="shared" si="18"/>
        <v>0</v>
      </c>
      <c r="X99" s="67">
        <f t="shared" si="18"/>
        <v>0</v>
      </c>
      <c r="Y99" s="67">
        <f t="shared" si="18"/>
        <v>0</v>
      </c>
      <c r="Z99" s="67">
        <f t="shared" si="18"/>
        <v>0</v>
      </c>
    </row>
    <row r="100" spans="2:26" ht="15" customHeight="1" x14ac:dyDescent="0.3">
      <c r="C100" s="8" t="s">
        <v>95</v>
      </c>
      <c r="F100" s="141" t="s">
        <v>104</v>
      </c>
      <c r="G100" s="377">
        <f>G93</f>
        <v>6813.7370000000001</v>
      </c>
      <c r="H100" s="379">
        <v>3000</v>
      </c>
      <c r="I100" s="378">
        <v>1</v>
      </c>
      <c r="K100" s="23">
        <f>G100*H100*I100/1000</f>
        <v>20441.210999999999</v>
      </c>
      <c r="L100" s="67">
        <f t="shared" ref="L100:Z100" si="19">L$22*$K100</f>
        <v>0</v>
      </c>
      <c r="M100" s="67">
        <f t="shared" si="19"/>
        <v>2044.1211000000001</v>
      </c>
      <c r="N100" s="67">
        <f t="shared" si="19"/>
        <v>2044.1211000000001</v>
      </c>
      <c r="O100" s="67">
        <f t="shared" si="19"/>
        <v>5110.3027499999998</v>
      </c>
      <c r="P100" s="67">
        <f t="shared" si="19"/>
        <v>5110.3027499999998</v>
      </c>
      <c r="Q100" s="67">
        <f t="shared" si="19"/>
        <v>5110.3027499999998</v>
      </c>
      <c r="R100" s="67">
        <f t="shared" si="19"/>
        <v>1022.06055</v>
      </c>
      <c r="S100" s="67">
        <f t="shared" si="19"/>
        <v>0</v>
      </c>
      <c r="T100" s="67">
        <f t="shared" si="19"/>
        <v>0</v>
      </c>
      <c r="U100" s="67">
        <f t="shared" si="19"/>
        <v>0</v>
      </c>
      <c r="V100" s="67">
        <f t="shared" si="19"/>
        <v>0</v>
      </c>
      <c r="W100" s="67">
        <f t="shared" si="19"/>
        <v>0</v>
      </c>
      <c r="X100" s="67">
        <f t="shared" si="19"/>
        <v>0</v>
      </c>
      <c r="Y100" s="67">
        <f t="shared" si="19"/>
        <v>0</v>
      </c>
      <c r="Z100" s="67">
        <f t="shared" si="19"/>
        <v>0</v>
      </c>
    </row>
    <row r="101" spans="2:26" ht="15" customHeight="1" x14ac:dyDescent="0.3">
      <c r="C101" s="8" t="s">
        <v>96</v>
      </c>
      <c r="F101" s="141" t="s">
        <v>104</v>
      </c>
      <c r="G101" s="377">
        <f>G93</f>
        <v>6813.7370000000001</v>
      </c>
      <c r="H101" s="379">
        <v>1700</v>
      </c>
      <c r="I101" s="5">
        <v>0.36029</v>
      </c>
      <c r="K101" s="23">
        <f>G101*H101*I101/1000</f>
        <v>4173.3662163409999</v>
      </c>
      <c r="L101" s="67">
        <f t="shared" ref="L101:Z101" si="20">L$23*$K101</f>
        <v>0</v>
      </c>
      <c r="M101" s="67">
        <f t="shared" si="20"/>
        <v>417.33662163410003</v>
      </c>
      <c r="N101" s="67">
        <f t="shared" si="20"/>
        <v>417.33662163410003</v>
      </c>
      <c r="O101" s="67">
        <f t="shared" si="20"/>
        <v>1043.34155408525</v>
      </c>
      <c r="P101" s="67">
        <f t="shared" si="20"/>
        <v>1043.34155408525</v>
      </c>
      <c r="Q101" s="67">
        <f t="shared" si="20"/>
        <v>1043.34155408525</v>
      </c>
      <c r="R101" s="67">
        <f t="shared" si="20"/>
        <v>208.66831081705001</v>
      </c>
      <c r="S101" s="67">
        <f t="shared" si="20"/>
        <v>0</v>
      </c>
      <c r="T101" s="67">
        <f t="shared" si="20"/>
        <v>0</v>
      </c>
      <c r="U101" s="67">
        <f t="shared" si="20"/>
        <v>0</v>
      </c>
      <c r="V101" s="67">
        <f t="shared" si="20"/>
        <v>0</v>
      </c>
      <c r="W101" s="67">
        <f t="shared" si="20"/>
        <v>0</v>
      </c>
      <c r="X101" s="67">
        <f t="shared" si="20"/>
        <v>0</v>
      </c>
      <c r="Y101" s="67">
        <f t="shared" si="20"/>
        <v>0</v>
      </c>
      <c r="Z101" s="67">
        <f t="shared" si="20"/>
        <v>0</v>
      </c>
    </row>
    <row r="102" spans="2:26" ht="15" customHeight="1" x14ac:dyDescent="0.3">
      <c r="C102" s="8" t="s">
        <v>105</v>
      </c>
      <c r="F102" s="141" t="s">
        <v>106</v>
      </c>
      <c r="G102" s="377">
        <f>K98+K99+K100+K101</f>
        <v>1085736.677216341</v>
      </c>
      <c r="I102" s="5">
        <v>1.4999999999999999E-2</v>
      </c>
      <c r="K102" s="23">
        <f>G102*I102</f>
        <v>16286.050158245114</v>
      </c>
      <c r="L102" s="67">
        <f t="shared" ref="L102:Z102" si="21">L$24*$K102</f>
        <v>0</v>
      </c>
      <c r="M102" s="67">
        <f t="shared" si="21"/>
        <v>1628.6050158245116</v>
      </c>
      <c r="N102" s="67">
        <f t="shared" si="21"/>
        <v>1628.6050158245116</v>
      </c>
      <c r="O102" s="67">
        <f t="shared" si="21"/>
        <v>4071.5125395612786</v>
      </c>
      <c r="P102" s="67">
        <f t="shared" si="21"/>
        <v>4071.5125395612786</v>
      </c>
      <c r="Q102" s="67">
        <f t="shared" si="21"/>
        <v>4071.5125395612786</v>
      </c>
      <c r="R102" s="67">
        <f t="shared" si="21"/>
        <v>814.30250791225581</v>
      </c>
      <c r="S102" s="67">
        <f t="shared" si="21"/>
        <v>0</v>
      </c>
      <c r="T102" s="67">
        <f t="shared" si="21"/>
        <v>0</v>
      </c>
      <c r="U102" s="67">
        <f t="shared" si="21"/>
        <v>0</v>
      </c>
      <c r="V102" s="67">
        <f t="shared" si="21"/>
        <v>0</v>
      </c>
      <c r="W102" s="67">
        <f t="shared" si="21"/>
        <v>0</v>
      </c>
      <c r="X102" s="67">
        <f t="shared" si="21"/>
        <v>0</v>
      </c>
      <c r="Y102" s="67">
        <f t="shared" si="21"/>
        <v>0</v>
      </c>
      <c r="Z102" s="67">
        <f t="shared" si="21"/>
        <v>0</v>
      </c>
    </row>
    <row r="103" spans="2:26" ht="15" customHeight="1" x14ac:dyDescent="0.3">
      <c r="C103" s="8" t="s">
        <v>97</v>
      </c>
      <c r="F103" s="141" t="s">
        <v>107</v>
      </c>
      <c r="G103" s="377">
        <f>K98+K99</f>
        <v>1061122.1000000001</v>
      </c>
      <c r="I103" s="5">
        <v>0.15</v>
      </c>
      <c r="K103" s="23">
        <f>G103*I103</f>
        <v>159168.315</v>
      </c>
      <c r="L103" s="67">
        <f t="shared" ref="L103:Z103" si="22">L$25*$K103</f>
        <v>0</v>
      </c>
      <c r="M103" s="67">
        <f t="shared" si="22"/>
        <v>15916.8315</v>
      </c>
      <c r="N103" s="67">
        <f t="shared" si="22"/>
        <v>15916.8315</v>
      </c>
      <c r="O103" s="67">
        <f t="shared" si="22"/>
        <v>39792.078750000001</v>
      </c>
      <c r="P103" s="67">
        <f t="shared" si="22"/>
        <v>39792.078750000001</v>
      </c>
      <c r="Q103" s="67">
        <f t="shared" si="22"/>
        <v>39792.078750000001</v>
      </c>
      <c r="R103" s="67">
        <f t="shared" si="22"/>
        <v>7958.4157500000001</v>
      </c>
      <c r="S103" s="67">
        <f t="shared" si="22"/>
        <v>0</v>
      </c>
      <c r="T103" s="67">
        <f t="shared" si="22"/>
        <v>0</v>
      </c>
      <c r="U103" s="67">
        <f t="shared" si="22"/>
        <v>0</v>
      </c>
      <c r="V103" s="67">
        <f t="shared" si="22"/>
        <v>0</v>
      </c>
      <c r="W103" s="67">
        <f t="shared" si="22"/>
        <v>0</v>
      </c>
      <c r="X103" s="67">
        <f t="shared" si="22"/>
        <v>0</v>
      </c>
      <c r="Y103" s="67">
        <f t="shared" si="22"/>
        <v>0</v>
      </c>
      <c r="Z103" s="67">
        <f t="shared" si="22"/>
        <v>0</v>
      </c>
    </row>
    <row r="104" spans="2:26" ht="15" customHeight="1" x14ac:dyDescent="0.3">
      <c r="C104" s="8" t="s">
        <v>98</v>
      </c>
      <c r="F104" s="141" t="s">
        <v>131</v>
      </c>
      <c r="G104" s="370">
        <f>Revenue!J165+Revenue!J168</f>
        <v>2658024</v>
      </c>
      <c r="I104" s="5">
        <v>0.04</v>
      </c>
      <c r="K104" s="23">
        <f>G104*I104</f>
        <v>106320.96000000001</v>
      </c>
      <c r="L104" s="67">
        <f t="shared" ref="L104:Z104" si="23">L$26*$K104</f>
        <v>0</v>
      </c>
      <c r="M104" s="67">
        <f t="shared" si="23"/>
        <v>10632.096000000001</v>
      </c>
      <c r="N104" s="67">
        <f t="shared" si="23"/>
        <v>10632.096000000001</v>
      </c>
      <c r="O104" s="67">
        <f t="shared" si="23"/>
        <v>26580.240000000002</v>
      </c>
      <c r="P104" s="67">
        <f t="shared" si="23"/>
        <v>26580.240000000002</v>
      </c>
      <c r="Q104" s="67">
        <f t="shared" si="23"/>
        <v>26580.240000000002</v>
      </c>
      <c r="R104" s="67">
        <f t="shared" si="23"/>
        <v>5316.0480000000007</v>
      </c>
      <c r="S104" s="67">
        <f t="shared" si="23"/>
        <v>0</v>
      </c>
      <c r="T104" s="67">
        <f t="shared" si="23"/>
        <v>0</v>
      </c>
      <c r="U104" s="67">
        <f t="shared" si="23"/>
        <v>0</v>
      </c>
      <c r="V104" s="67">
        <f t="shared" si="23"/>
        <v>0</v>
      </c>
      <c r="W104" s="67">
        <f t="shared" si="23"/>
        <v>0</v>
      </c>
      <c r="X104" s="67">
        <f t="shared" si="23"/>
        <v>0</v>
      </c>
      <c r="Y104" s="67">
        <f t="shared" si="23"/>
        <v>0</v>
      </c>
      <c r="Z104" s="67">
        <f t="shared" si="23"/>
        <v>0</v>
      </c>
    </row>
    <row r="105" spans="2:26" ht="15" customHeight="1" x14ac:dyDescent="0.3">
      <c r="C105" s="8" t="s">
        <v>99</v>
      </c>
      <c r="F105" s="141" t="s">
        <v>107</v>
      </c>
      <c r="G105" s="377">
        <f>K98+K99</f>
        <v>1061122.1000000001</v>
      </c>
      <c r="I105" s="5">
        <v>7.4999999999999997E-2</v>
      </c>
      <c r="K105" s="23">
        <f>G105*I105</f>
        <v>79584.157500000001</v>
      </c>
      <c r="L105" s="67">
        <f t="shared" ref="L105:Z105" si="24">L$27*$K105</f>
        <v>0</v>
      </c>
      <c r="M105" s="67">
        <f t="shared" si="24"/>
        <v>7958.4157500000001</v>
      </c>
      <c r="N105" s="67">
        <f t="shared" si="24"/>
        <v>7958.4157500000001</v>
      </c>
      <c r="O105" s="67">
        <f t="shared" si="24"/>
        <v>19896.039375</v>
      </c>
      <c r="P105" s="67">
        <f t="shared" si="24"/>
        <v>19896.039375</v>
      </c>
      <c r="Q105" s="67">
        <f t="shared" si="24"/>
        <v>19896.039375</v>
      </c>
      <c r="R105" s="67">
        <f t="shared" si="24"/>
        <v>3979.2078750000001</v>
      </c>
      <c r="S105" s="67">
        <f t="shared" si="24"/>
        <v>0</v>
      </c>
      <c r="T105" s="67">
        <f t="shared" si="24"/>
        <v>0</v>
      </c>
      <c r="U105" s="67">
        <f t="shared" si="24"/>
        <v>0</v>
      </c>
      <c r="V105" s="67">
        <f t="shared" si="24"/>
        <v>0</v>
      </c>
      <c r="W105" s="67">
        <f t="shared" si="24"/>
        <v>0</v>
      </c>
      <c r="X105" s="67">
        <f t="shared" si="24"/>
        <v>0</v>
      </c>
      <c r="Y105" s="67">
        <f t="shared" si="24"/>
        <v>0</v>
      </c>
      <c r="Z105" s="67">
        <f t="shared" si="24"/>
        <v>0</v>
      </c>
    </row>
    <row r="106" spans="2:26" ht="15" customHeight="1" x14ac:dyDescent="0.3">
      <c r="B106" s="49"/>
      <c r="C106" s="49" t="s">
        <v>290</v>
      </c>
      <c r="D106" s="49"/>
      <c r="E106" s="49"/>
      <c r="F106" s="49"/>
      <c r="G106" s="49"/>
      <c r="H106" s="49"/>
      <c r="I106" s="49"/>
      <c r="J106" s="49"/>
      <c r="K106" s="54">
        <f t="shared" ref="K106:Z106" si="25">SUM(K98:K105)</f>
        <v>1447096.1598745859</v>
      </c>
      <c r="L106" s="54">
        <f t="shared" si="25"/>
        <v>0</v>
      </c>
      <c r="M106" s="54">
        <f t="shared" si="25"/>
        <v>144709.61598745862</v>
      </c>
      <c r="N106" s="54">
        <f t="shared" si="25"/>
        <v>144709.61598745862</v>
      </c>
      <c r="O106" s="54">
        <f t="shared" si="25"/>
        <v>361774.03996864648</v>
      </c>
      <c r="P106" s="54">
        <f t="shared" si="25"/>
        <v>361774.03996864648</v>
      </c>
      <c r="Q106" s="54">
        <f t="shared" si="25"/>
        <v>361774.03996864648</v>
      </c>
      <c r="R106" s="54">
        <f t="shared" si="25"/>
        <v>72354.807993729308</v>
      </c>
      <c r="S106" s="54">
        <f t="shared" si="25"/>
        <v>0</v>
      </c>
      <c r="T106" s="54">
        <f t="shared" si="25"/>
        <v>0</v>
      </c>
      <c r="U106" s="54">
        <f t="shared" si="25"/>
        <v>0</v>
      </c>
      <c r="V106" s="54">
        <f t="shared" si="25"/>
        <v>0</v>
      </c>
      <c r="W106" s="54">
        <f t="shared" si="25"/>
        <v>0</v>
      </c>
      <c r="X106" s="54">
        <f t="shared" si="25"/>
        <v>0</v>
      </c>
      <c r="Y106" s="54">
        <f t="shared" si="25"/>
        <v>0</v>
      </c>
      <c r="Z106" s="54">
        <f t="shared" si="25"/>
        <v>0</v>
      </c>
    </row>
    <row r="107" spans="2:26" ht="15" customHeight="1" x14ac:dyDescent="0.3"/>
    <row r="108" spans="2:26" ht="15" customHeight="1" x14ac:dyDescent="0.3">
      <c r="B108" s="49"/>
      <c r="C108" s="49" t="s">
        <v>291</v>
      </c>
      <c r="D108" s="49"/>
      <c r="E108" s="49"/>
      <c r="F108" s="49"/>
      <c r="G108" s="49"/>
      <c r="H108" s="49"/>
      <c r="I108" s="49"/>
      <c r="J108" s="49"/>
      <c r="K108" s="54">
        <f t="shared" ref="K108:Z108" si="26">SUM(K93,K106)</f>
        <v>1867655.3057151462</v>
      </c>
      <c r="L108" s="54">
        <f t="shared" si="26"/>
        <v>0</v>
      </c>
      <c r="M108" s="54">
        <f t="shared" si="26"/>
        <v>565268.76182801905</v>
      </c>
      <c r="N108" s="54">
        <f t="shared" si="26"/>
        <v>144709.61598745862</v>
      </c>
      <c r="O108" s="54">
        <f t="shared" si="26"/>
        <v>361774.03996864648</v>
      </c>
      <c r="P108" s="54">
        <f t="shared" si="26"/>
        <v>361774.03996864648</v>
      </c>
      <c r="Q108" s="54">
        <f t="shared" si="26"/>
        <v>361774.03996864648</v>
      </c>
      <c r="R108" s="54">
        <f t="shared" si="26"/>
        <v>72354.807993729308</v>
      </c>
      <c r="S108" s="54">
        <f t="shared" si="26"/>
        <v>0</v>
      </c>
      <c r="T108" s="54">
        <f t="shared" si="26"/>
        <v>0</v>
      </c>
      <c r="U108" s="54">
        <f t="shared" si="26"/>
        <v>0</v>
      </c>
      <c r="V108" s="54">
        <f t="shared" si="26"/>
        <v>0</v>
      </c>
      <c r="W108" s="54">
        <f t="shared" si="26"/>
        <v>0</v>
      </c>
      <c r="X108" s="54">
        <f t="shared" si="26"/>
        <v>0</v>
      </c>
      <c r="Y108" s="54">
        <f t="shared" si="26"/>
        <v>0</v>
      </c>
      <c r="Z108" s="54">
        <f t="shared" si="26"/>
        <v>0</v>
      </c>
    </row>
    <row r="109" spans="2:26" ht="15" customHeight="1" x14ac:dyDescent="0.3"/>
    <row r="110" spans="2:26" ht="15" customHeight="1" x14ac:dyDescent="0.3">
      <c r="B110" s="52" t="s">
        <v>144</v>
      </c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spans="2:26" ht="15" customHeight="1" x14ac:dyDescent="0.3">
      <c r="C111" s="8" t="s">
        <v>92</v>
      </c>
      <c r="F111" s="141" t="s">
        <v>102</v>
      </c>
      <c r="G111" s="370">
        <f>'Land Summary'!E39</f>
        <v>2088.9</v>
      </c>
      <c r="H111" s="370">
        <f>'Land Summary'!F39</f>
        <v>98450.587000129512</v>
      </c>
      <c r="I111" s="371">
        <v>1</v>
      </c>
      <c r="K111" s="23">
        <f>G111*H111*I111/1000</f>
        <v>205653.43118457054</v>
      </c>
      <c r="L111" s="67">
        <f t="shared" ref="L111:Z111" si="27">L$31*$K111</f>
        <v>0</v>
      </c>
      <c r="M111" s="67">
        <f t="shared" si="27"/>
        <v>205653.43118457054</v>
      </c>
      <c r="N111" s="67">
        <f t="shared" si="27"/>
        <v>0</v>
      </c>
      <c r="O111" s="67">
        <f t="shared" si="27"/>
        <v>0</v>
      </c>
      <c r="P111" s="67">
        <f t="shared" si="27"/>
        <v>0</v>
      </c>
      <c r="Q111" s="67">
        <f t="shared" si="27"/>
        <v>0</v>
      </c>
      <c r="R111" s="67">
        <f t="shared" si="27"/>
        <v>0</v>
      </c>
      <c r="S111" s="67">
        <f t="shared" si="27"/>
        <v>0</v>
      </c>
      <c r="T111" s="67">
        <f t="shared" si="27"/>
        <v>0</v>
      </c>
      <c r="U111" s="67">
        <f t="shared" si="27"/>
        <v>0</v>
      </c>
      <c r="V111" s="67">
        <f t="shared" si="27"/>
        <v>0</v>
      </c>
      <c r="W111" s="67">
        <f t="shared" si="27"/>
        <v>0</v>
      </c>
      <c r="X111" s="67">
        <f t="shared" si="27"/>
        <v>0</v>
      </c>
      <c r="Y111" s="67">
        <f t="shared" si="27"/>
        <v>0</v>
      </c>
      <c r="Z111" s="67">
        <f t="shared" si="27"/>
        <v>0</v>
      </c>
    </row>
    <row r="112" spans="2:26" ht="15" customHeight="1" x14ac:dyDescent="0.3">
      <c r="C112" s="206" t="s">
        <v>142</v>
      </c>
    </row>
    <row r="113" spans="2:26" ht="15" customHeight="1" x14ac:dyDescent="0.3">
      <c r="C113" s="8" t="s">
        <v>117</v>
      </c>
      <c r="F113" s="141" t="s">
        <v>109</v>
      </c>
      <c r="G113" s="60">
        <v>4900</v>
      </c>
      <c r="H113" s="60">
        <v>7200</v>
      </c>
      <c r="K113" s="23">
        <f>G113*H113/1000</f>
        <v>35280</v>
      </c>
    </row>
    <row r="114" spans="2:26" ht="15" customHeight="1" x14ac:dyDescent="0.3">
      <c r="C114" s="8" t="s">
        <v>118</v>
      </c>
      <c r="F114" s="141" t="s">
        <v>109</v>
      </c>
      <c r="G114" s="60">
        <v>11700</v>
      </c>
      <c r="H114" s="60">
        <v>7200</v>
      </c>
      <c r="K114" s="23">
        <f>G114*H114/1000</f>
        <v>84240</v>
      </c>
    </row>
    <row r="115" spans="2:26" ht="15" customHeight="1" x14ac:dyDescent="0.3">
      <c r="C115" s="8" t="s">
        <v>119</v>
      </c>
      <c r="F115" s="141" t="s">
        <v>109</v>
      </c>
      <c r="G115" s="60">
        <v>8742</v>
      </c>
      <c r="H115" s="60">
        <v>7200</v>
      </c>
      <c r="K115" s="23">
        <f>G115*H115/1000</f>
        <v>62942.400000000001</v>
      </c>
    </row>
    <row r="116" spans="2:26" ht="15" customHeight="1" x14ac:dyDescent="0.3">
      <c r="C116" s="8" t="s">
        <v>120</v>
      </c>
      <c r="F116" s="141" t="s">
        <v>109</v>
      </c>
      <c r="G116" s="60">
        <v>16456</v>
      </c>
      <c r="H116" s="60">
        <v>7200</v>
      </c>
      <c r="K116" s="23">
        <f>G116*H116/1000</f>
        <v>118483.2</v>
      </c>
    </row>
    <row r="117" spans="2:26" ht="15" customHeight="1" x14ac:dyDescent="0.3">
      <c r="C117" s="137" t="s">
        <v>112</v>
      </c>
      <c r="D117" s="91"/>
      <c r="E117" s="91"/>
      <c r="F117" s="91"/>
      <c r="G117" s="374">
        <f>SUM(G113:G116)</f>
        <v>41798</v>
      </c>
      <c r="H117" s="91"/>
      <c r="I117" s="91"/>
      <c r="J117" s="91"/>
      <c r="K117" s="207">
        <f>SUM(K113:K116)</f>
        <v>300945.59999999998</v>
      </c>
      <c r="L117" s="67">
        <f t="shared" ref="L117:Z118" si="28">L$32*$K117</f>
        <v>0</v>
      </c>
      <c r="M117" s="67">
        <f t="shared" si="28"/>
        <v>30094.559999999998</v>
      </c>
      <c r="N117" s="67">
        <f t="shared" si="28"/>
        <v>75236.399999999994</v>
      </c>
      <c r="O117" s="67">
        <f t="shared" si="28"/>
        <v>90283.68</v>
      </c>
      <c r="P117" s="67">
        <f t="shared" si="28"/>
        <v>75236.399999999994</v>
      </c>
      <c r="Q117" s="67">
        <f t="shared" si="28"/>
        <v>30094.559999999998</v>
      </c>
      <c r="R117" s="67">
        <f t="shared" si="28"/>
        <v>0</v>
      </c>
      <c r="S117" s="67">
        <f t="shared" si="28"/>
        <v>0</v>
      </c>
      <c r="T117" s="67">
        <f t="shared" si="28"/>
        <v>0</v>
      </c>
      <c r="U117" s="67">
        <f t="shared" si="28"/>
        <v>0</v>
      </c>
      <c r="V117" s="67">
        <f t="shared" si="28"/>
        <v>0</v>
      </c>
      <c r="W117" s="67">
        <f t="shared" si="28"/>
        <v>0</v>
      </c>
      <c r="X117" s="67">
        <f t="shared" si="28"/>
        <v>0</v>
      </c>
      <c r="Y117" s="67">
        <f t="shared" si="28"/>
        <v>0</v>
      </c>
      <c r="Z117" s="67">
        <f t="shared" si="28"/>
        <v>0</v>
      </c>
    </row>
    <row r="118" spans="2:26" ht="15" customHeight="1" x14ac:dyDescent="0.3">
      <c r="C118" s="8" t="s">
        <v>94</v>
      </c>
      <c r="F118" s="141" t="s">
        <v>103</v>
      </c>
      <c r="G118" s="60">
        <v>8736</v>
      </c>
      <c r="H118" s="60">
        <v>2500</v>
      </c>
      <c r="K118" s="23">
        <f>G118*H118/1000</f>
        <v>21840</v>
      </c>
      <c r="L118" s="67">
        <f t="shared" si="28"/>
        <v>0</v>
      </c>
      <c r="M118" s="67">
        <f t="shared" si="28"/>
        <v>2184</v>
      </c>
      <c r="N118" s="67">
        <f t="shared" si="28"/>
        <v>5460</v>
      </c>
      <c r="O118" s="67">
        <f t="shared" si="28"/>
        <v>6552</v>
      </c>
      <c r="P118" s="67">
        <f t="shared" si="28"/>
        <v>5460</v>
      </c>
      <c r="Q118" s="67">
        <f t="shared" si="28"/>
        <v>2184</v>
      </c>
      <c r="R118" s="67">
        <f t="shared" si="28"/>
        <v>0</v>
      </c>
      <c r="S118" s="67">
        <f t="shared" si="28"/>
        <v>0</v>
      </c>
      <c r="T118" s="67">
        <f t="shared" si="28"/>
        <v>0</v>
      </c>
      <c r="U118" s="67">
        <f t="shared" si="28"/>
        <v>0</v>
      </c>
      <c r="V118" s="67">
        <f t="shared" si="28"/>
        <v>0</v>
      </c>
      <c r="W118" s="67">
        <f t="shared" si="28"/>
        <v>0</v>
      </c>
      <c r="X118" s="67">
        <f t="shared" si="28"/>
        <v>0</v>
      </c>
      <c r="Y118" s="67">
        <f t="shared" si="28"/>
        <v>0</v>
      </c>
      <c r="Z118" s="67">
        <f t="shared" si="28"/>
        <v>0</v>
      </c>
    </row>
    <row r="119" spans="2:26" ht="15" customHeight="1" x14ac:dyDescent="0.3">
      <c r="C119" s="8" t="s">
        <v>95</v>
      </c>
      <c r="F119" s="141" t="s">
        <v>104</v>
      </c>
      <c r="G119" s="377">
        <f>G111</f>
        <v>2088.9</v>
      </c>
      <c r="H119" s="379">
        <v>3000</v>
      </c>
      <c r="I119" s="378">
        <v>1</v>
      </c>
      <c r="K119" s="23">
        <f>G119*H119*I119/1000</f>
        <v>6266.7</v>
      </c>
      <c r="L119" s="67">
        <f t="shared" ref="L119:Z119" si="29">L$33*$K119</f>
        <v>0</v>
      </c>
      <c r="M119" s="67">
        <f t="shared" si="29"/>
        <v>626.67000000000007</v>
      </c>
      <c r="N119" s="67">
        <f t="shared" si="29"/>
        <v>1566.675</v>
      </c>
      <c r="O119" s="67">
        <f t="shared" si="29"/>
        <v>1880.0099999999998</v>
      </c>
      <c r="P119" s="67">
        <f t="shared" si="29"/>
        <v>1566.675</v>
      </c>
      <c r="Q119" s="67">
        <f t="shared" si="29"/>
        <v>626.67000000000007</v>
      </c>
      <c r="R119" s="67">
        <f t="shared" si="29"/>
        <v>0</v>
      </c>
      <c r="S119" s="67">
        <f t="shared" si="29"/>
        <v>0</v>
      </c>
      <c r="T119" s="67">
        <f t="shared" si="29"/>
        <v>0</v>
      </c>
      <c r="U119" s="67">
        <f t="shared" si="29"/>
        <v>0</v>
      </c>
      <c r="V119" s="67">
        <f t="shared" si="29"/>
        <v>0</v>
      </c>
      <c r="W119" s="67">
        <f t="shared" si="29"/>
        <v>0</v>
      </c>
      <c r="X119" s="67">
        <f t="shared" si="29"/>
        <v>0</v>
      </c>
      <c r="Y119" s="67">
        <f t="shared" si="29"/>
        <v>0</v>
      </c>
      <c r="Z119" s="67">
        <f t="shared" si="29"/>
        <v>0</v>
      </c>
    </row>
    <row r="120" spans="2:26" ht="15" customHeight="1" x14ac:dyDescent="0.3">
      <c r="C120" s="8" t="s">
        <v>96</v>
      </c>
      <c r="F120" s="141" t="s">
        <v>104</v>
      </c>
      <c r="G120" s="377">
        <f>G111</f>
        <v>2088.9</v>
      </c>
      <c r="H120" s="379">
        <v>1700</v>
      </c>
      <c r="I120" s="5">
        <v>0.36029</v>
      </c>
      <c r="K120" s="23">
        <f>G120*H120*I120/1000</f>
        <v>1279.4366277000001</v>
      </c>
      <c r="L120" s="67">
        <f t="shared" ref="L120:Z120" si="30">L$34*$K120</f>
        <v>0</v>
      </c>
      <c r="M120" s="67">
        <f t="shared" si="30"/>
        <v>127.94366277000002</v>
      </c>
      <c r="N120" s="67">
        <f t="shared" si="30"/>
        <v>319.85915692500004</v>
      </c>
      <c r="O120" s="67">
        <f t="shared" si="30"/>
        <v>383.83098831000001</v>
      </c>
      <c r="P120" s="67">
        <f t="shared" si="30"/>
        <v>319.85915692500004</v>
      </c>
      <c r="Q120" s="67">
        <f t="shared" si="30"/>
        <v>127.94366277000002</v>
      </c>
      <c r="R120" s="67">
        <f t="shared" si="30"/>
        <v>0</v>
      </c>
      <c r="S120" s="67">
        <f t="shared" si="30"/>
        <v>0</v>
      </c>
      <c r="T120" s="67">
        <f t="shared" si="30"/>
        <v>0</v>
      </c>
      <c r="U120" s="67">
        <f t="shared" si="30"/>
        <v>0</v>
      </c>
      <c r="V120" s="67">
        <f t="shared" si="30"/>
        <v>0</v>
      </c>
      <c r="W120" s="67">
        <f t="shared" si="30"/>
        <v>0</v>
      </c>
      <c r="X120" s="67">
        <f t="shared" si="30"/>
        <v>0</v>
      </c>
      <c r="Y120" s="67">
        <f t="shared" si="30"/>
        <v>0</v>
      </c>
      <c r="Z120" s="67">
        <f t="shared" si="30"/>
        <v>0</v>
      </c>
    </row>
    <row r="121" spans="2:26" ht="15" customHeight="1" x14ac:dyDescent="0.3">
      <c r="C121" s="8" t="s">
        <v>105</v>
      </c>
      <c r="F121" s="141" t="s">
        <v>106</v>
      </c>
      <c r="G121" s="377">
        <f>K117+K118+K119+K120</f>
        <v>330331.73662769998</v>
      </c>
      <c r="I121" s="5">
        <v>0.01</v>
      </c>
      <c r="K121" s="23">
        <f>G121*I121</f>
        <v>3303.317366277</v>
      </c>
      <c r="L121" s="67">
        <f t="shared" ref="L121:Z121" si="31">L$35*$K121</f>
        <v>0</v>
      </c>
      <c r="M121" s="67">
        <f t="shared" si="31"/>
        <v>330.33173662770002</v>
      </c>
      <c r="N121" s="67">
        <f t="shared" si="31"/>
        <v>825.82934156925</v>
      </c>
      <c r="O121" s="67">
        <f t="shared" si="31"/>
        <v>990.99520988309996</v>
      </c>
      <c r="P121" s="67">
        <f t="shared" si="31"/>
        <v>825.82934156925</v>
      </c>
      <c r="Q121" s="67">
        <f t="shared" si="31"/>
        <v>330.33173662770002</v>
      </c>
      <c r="R121" s="67">
        <f t="shared" si="31"/>
        <v>0</v>
      </c>
      <c r="S121" s="67">
        <f t="shared" si="31"/>
        <v>0</v>
      </c>
      <c r="T121" s="67">
        <f t="shared" si="31"/>
        <v>0</v>
      </c>
      <c r="U121" s="67">
        <f t="shared" si="31"/>
        <v>0</v>
      </c>
      <c r="V121" s="67">
        <f t="shared" si="31"/>
        <v>0</v>
      </c>
      <c r="W121" s="67">
        <f t="shared" si="31"/>
        <v>0</v>
      </c>
      <c r="X121" s="67">
        <f t="shared" si="31"/>
        <v>0</v>
      </c>
      <c r="Y121" s="67">
        <f t="shared" si="31"/>
        <v>0</v>
      </c>
      <c r="Z121" s="67">
        <f t="shared" si="31"/>
        <v>0</v>
      </c>
    </row>
    <row r="122" spans="2:26" ht="15" customHeight="1" x14ac:dyDescent="0.3">
      <c r="C122" s="8" t="s">
        <v>97</v>
      </c>
      <c r="F122" s="141" t="s">
        <v>107</v>
      </c>
      <c r="G122" s="377">
        <f>K117+K118</f>
        <v>322785.59999999998</v>
      </c>
      <c r="I122" s="5">
        <v>0.15</v>
      </c>
      <c r="K122" s="23">
        <f>G122*I122</f>
        <v>48417.84</v>
      </c>
      <c r="L122" s="67">
        <f t="shared" ref="L122:Z122" si="32">L$36*$K122</f>
        <v>0</v>
      </c>
      <c r="M122" s="67">
        <f t="shared" si="32"/>
        <v>4841.7839999999997</v>
      </c>
      <c r="N122" s="67">
        <f t="shared" si="32"/>
        <v>12104.46</v>
      </c>
      <c r="O122" s="67">
        <f t="shared" si="32"/>
        <v>14525.351999999999</v>
      </c>
      <c r="P122" s="67">
        <f t="shared" si="32"/>
        <v>12104.46</v>
      </c>
      <c r="Q122" s="67">
        <f t="shared" si="32"/>
        <v>4841.7839999999997</v>
      </c>
      <c r="R122" s="67">
        <f t="shared" si="32"/>
        <v>0</v>
      </c>
      <c r="S122" s="67">
        <f t="shared" si="32"/>
        <v>0</v>
      </c>
      <c r="T122" s="67">
        <f t="shared" si="32"/>
        <v>0</v>
      </c>
      <c r="U122" s="67">
        <f t="shared" si="32"/>
        <v>0</v>
      </c>
      <c r="V122" s="67">
        <f t="shared" si="32"/>
        <v>0</v>
      </c>
      <c r="W122" s="67">
        <f t="shared" si="32"/>
        <v>0</v>
      </c>
      <c r="X122" s="67">
        <f t="shared" si="32"/>
        <v>0</v>
      </c>
      <c r="Y122" s="67">
        <f t="shared" si="32"/>
        <v>0</v>
      </c>
      <c r="Z122" s="67">
        <f t="shared" si="32"/>
        <v>0</v>
      </c>
    </row>
    <row r="123" spans="2:26" ht="15" customHeight="1" x14ac:dyDescent="0.3">
      <c r="C123" s="8" t="s">
        <v>98</v>
      </c>
      <c r="F123" s="141" t="s">
        <v>131</v>
      </c>
      <c r="G123" s="370">
        <f>Revenue!J166+Revenue!J169</f>
        <v>928912</v>
      </c>
      <c r="I123" s="5">
        <v>0.04</v>
      </c>
      <c r="K123" s="23">
        <f>G123*I123</f>
        <v>37156.480000000003</v>
      </c>
      <c r="L123" s="67">
        <f t="shared" ref="L123:Z123" si="33">L$37*$K123</f>
        <v>0</v>
      </c>
      <c r="M123" s="67">
        <f t="shared" si="33"/>
        <v>3715.6480000000006</v>
      </c>
      <c r="N123" s="67">
        <f t="shared" si="33"/>
        <v>9289.1200000000008</v>
      </c>
      <c r="O123" s="67">
        <f t="shared" si="33"/>
        <v>11146.944000000001</v>
      </c>
      <c r="P123" s="67">
        <f t="shared" si="33"/>
        <v>9289.1200000000008</v>
      </c>
      <c r="Q123" s="67">
        <f t="shared" si="33"/>
        <v>3715.6480000000006</v>
      </c>
      <c r="R123" s="67">
        <f t="shared" si="33"/>
        <v>0</v>
      </c>
      <c r="S123" s="67">
        <f t="shared" si="33"/>
        <v>0</v>
      </c>
      <c r="T123" s="67">
        <f t="shared" si="33"/>
        <v>0</v>
      </c>
      <c r="U123" s="67">
        <f t="shared" si="33"/>
        <v>0</v>
      </c>
      <c r="V123" s="67">
        <f t="shared" si="33"/>
        <v>0</v>
      </c>
      <c r="W123" s="67">
        <f t="shared" si="33"/>
        <v>0</v>
      </c>
      <c r="X123" s="67">
        <f t="shared" si="33"/>
        <v>0</v>
      </c>
      <c r="Y123" s="67">
        <f t="shared" si="33"/>
        <v>0</v>
      </c>
      <c r="Z123" s="67">
        <f t="shared" si="33"/>
        <v>0</v>
      </c>
    </row>
    <row r="124" spans="2:26" ht="15" customHeight="1" x14ac:dyDescent="0.3">
      <c r="C124" s="8" t="s">
        <v>99</v>
      </c>
      <c r="F124" s="141" t="s">
        <v>107</v>
      </c>
      <c r="G124" s="377">
        <f>K117+K118</f>
        <v>322785.59999999998</v>
      </c>
      <c r="I124" s="5">
        <v>7.4999999999999997E-2</v>
      </c>
      <c r="K124" s="23">
        <f>G124*I124</f>
        <v>24208.92</v>
      </c>
      <c r="L124" s="67">
        <f t="shared" ref="L124:Z124" si="34">L$38*$K124</f>
        <v>0</v>
      </c>
      <c r="M124" s="67">
        <f t="shared" si="34"/>
        <v>2420.8919999999998</v>
      </c>
      <c r="N124" s="67">
        <f t="shared" si="34"/>
        <v>6052.23</v>
      </c>
      <c r="O124" s="67">
        <f t="shared" si="34"/>
        <v>7262.6759999999995</v>
      </c>
      <c r="P124" s="67">
        <f t="shared" si="34"/>
        <v>6052.23</v>
      </c>
      <c r="Q124" s="67">
        <f t="shared" si="34"/>
        <v>2420.8919999999998</v>
      </c>
      <c r="R124" s="67">
        <f t="shared" si="34"/>
        <v>0</v>
      </c>
      <c r="S124" s="67">
        <f t="shared" si="34"/>
        <v>0</v>
      </c>
      <c r="T124" s="67">
        <f t="shared" si="34"/>
        <v>0</v>
      </c>
      <c r="U124" s="67">
        <f t="shared" si="34"/>
        <v>0</v>
      </c>
      <c r="V124" s="67">
        <f t="shared" si="34"/>
        <v>0</v>
      </c>
      <c r="W124" s="67">
        <f t="shared" si="34"/>
        <v>0</v>
      </c>
      <c r="X124" s="67">
        <f t="shared" si="34"/>
        <v>0</v>
      </c>
      <c r="Y124" s="67">
        <f t="shared" si="34"/>
        <v>0</v>
      </c>
      <c r="Z124" s="67">
        <f t="shared" si="34"/>
        <v>0</v>
      </c>
    </row>
    <row r="125" spans="2:26" ht="15" customHeight="1" x14ac:dyDescent="0.3">
      <c r="B125" s="49"/>
      <c r="C125" s="49" t="s">
        <v>292</v>
      </c>
      <c r="D125" s="49"/>
      <c r="E125" s="49"/>
      <c r="F125" s="49"/>
      <c r="G125" s="49"/>
      <c r="H125" s="49"/>
      <c r="I125" s="49"/>
      <c r="J125" s="49"/>
      <c r="K125" s="54">
        <f t="shared" ref="K125:Z125" si="35">SUM(K117:K124)</f>
        <v>443418.29399397696</v>
      </c>
      <c r="L125" s="54">
        <f t="shared" si="35"/>
        <v>0</v>
      </c>
      <c r="M125" s="54">
        <f t="shared" si="35"/>
        <v>44341.829399397691</v>
      </c>
      <c r="N125" s="54">
        <f t="shared" si="35"/>
        <v>110854.57349849424</v>
      </c>
      <c r="O125" s="54">
        <f t="shared" si="35"/>
        <v>133025.48819819308</v>
      </c>
      <c r="P125" s="54">
        <f t="shared" si="35"/>
        <v>110854.57349849424</v>
      </c>
      <c r="Q125" s="54">
        <f t="shared" si="35"/>
        <v>44341.829399397691</v>
      </c>
      <c r="R125" s="54">
        <f t="shared" si="35"/>
        <v>0</v>
      </c>
      <c r="S125" s="54">
        <f t="shared" si="35"/>
        <v>0</v>
      </c>
      <c r="T125" s="54">
        <f t="shared" si="35"/>
        <v>0</v>
      </c>
      <c r="U125" s="54">
        <f t="shared" si="35"/>
        <v>0</v>
      </c>
      <c r="V125" s="54">
        <f t="shared" si="35"/>
        <v>0</v>
      </c>
      <c r="W125" s="54">
        <f t="shared" si="35"/>
        <v>0</v>
      </c>
      <c r="X125" s="54">
        <f t="shared" si="35"/>
        <v>0</v>
      </c>
      <c r="Y125" s="54">
        <f t="shared" si="35"/>
        <v>0</v>
      </c>
      <c r="Z125" s="54">
        <f t="shared" si="35"/>
        <v>0</v>
      </c>
    </row>
    <row r="126" spans="2:26" ht="15" customHeight="1" x14ac:dyDescent="0.3"/>
    <row r="127" spans="2:26" ht="15" customHeight="1" x14ac:dyDescent="0.3">
      <c r="B127" s="49"/>
      <c r="C127" s="49" t="s">
        <v>293</v>
      </c>
      <c r="D127" s="49"/>
      <c r="E127" s="49"/>
      <c r="F127" s="49"/>
      <c r="G127" s="49"/>
      <c r="H127" s="49"/>
      <c r="I127" s="49"/>
      <c r="J127" s="49"/>
      <c r="K127" s="54">
        <f t="shared" ref="K127:Z127" si="36">SUM(K111,K125)</f>
        <v>649071.72517854744</v>
      </c>
      <c r="L127" s="54">
        <f t="shared" si="36"/>
        <v>0</v>
      </c>
      <c r="M127" s="54">
        <f t="shared" si="36"/>
        <v>249995.26058396822</v>
      </c>
      <c r="N127" s="54">
        <f t="shared" si="36"/>
        <v>110854.57349849424</v>
      </c>
      <c r="O127" s="54">
        <f t="shared" si="36"/>
        <v>133025.48819819308</v>
      </c>
      <c r="P127" s="54">
        <f t="shared" si="36"/>
        <v>110854.57349849424</v>
      </c>
      <c r="Q127" s="54">
        <f t="shared" si="36"/>
        <v>44341.829399397691</v>
      </c>
      <c r="R127" s="54">
        <f t="shared" si="36"/>
        <v>0</v>
      </c>
      <c r="S127" s="54">
        <f t="shared" si="36"/>
        <v>0</v>
      </c>
      <c r="T127" s="54">
        <f t="shared" si="36"/>
        <v>0</v>
      </c>
      <c r="U127" s="54">
        <f t="shared" si="36"/>
        <v>0</v>
      </c>
      <c r="V127" s="54">
        <f t="shared" si="36"/>
        <v>0</v>
      </c>
      <c r="W127" s="54">
        <f t="shared" si="36"/>
        <v>0</v>
      </c>
      <c r="X127" s="54">
        <f t="shared" si="36"/>
        <v>0</v>
      </c>
      <c r="Y127" s="54">
        <f t="shared" si="36"/>
        <v>0</v>
      </c>
      <c r="Z127" s="54">
        <f t="shared" si="36"/>
        <v>0</v>
      </c>
    </row>
    <row r="128" spans="2:26" ht="15" customHeight="1" x14ac:dyDescent="0.3"/>
    <row r="129" spans="2:26" ht="15" customHeight="1" x14ac:dyDescent="0.3">
      <c r="B129" s="52" t="s">
        <v>145</v>
      </c>
      <c r="C129" s="52"/>
      <c r="D129" s="52"/>
      <c r="E129" s="52"/>
      <c r="F129" s="52"/>
      <c r="G129" s="203">
        <v>1031</v>
      </c>
      <c r="H129" s="52"/>
      <c r="I129" s="52"/>
      <c r="J129" s="52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spans="2:26" ht="15" customHeight="1" x14ac:dyDescent="0.3">
      <c r="C130" s="8" t="s">
        <v>92</v>
      </c>
      <c r="F130" s="141" t="s">
        <v>102</v>
      </c>
      <c r="G130" s="370">
        <f>'Land Summary'!E40</f>
        <v>1030.8499999999999</v>
      </c>
      <c r="H130" s="370">
        <f>'Land Summary'!F40</f>
        <v>98450.587000129512</v>
      </c>
      <c r="I130" s="371">
        <v>1</v>
      </c>
      <c r="K130" s="23">
        <f>G130*H130*I130/1000</f>
        <v>101487.78760908351</v>
      </c>
      <c r="L130" s="67">
        <f t="shared" ref="L130:Z130" si="37">L$42*$K130</f>
        <v>0</v>
      </c>
      <c r="M130" s="67">
        <f t="shared" si="37"/>
        <v>101487.78760908351</v>
      </c>
      <c r="N130" s="67">
        <f t="shared" si="37"/>
        <v>0</v>
      </c>
      <c r="O130" s="67">
        <f t="shared" si="37"/>
        <v>0</v>
      </c>
      <c r="P130" s="67">
        <f t="shared" si="37"/>
        <v>0</v>
      </c>
      <c r="Q130" s="67">
        <f t="shared" si="37"/>
        <v>0</v>
      </c>
      <c r="R130" s="67">
        <f t="shared" si="37"/>
        <v>0</v>
      </c>
      <c r="S130" s="67">
        <f t="shared" si="37"/>
        <v>0</v>
      </c>
      <c r="T130" s="67">
        <f t="shared" si="37"/>
        <v>0</v>
      </c>
      <c r="U130" s="67">
        <f t="shared" si="37"/>
        <v>0</v>
      </c>
      <c r="V130" s="67">
        <f t="shared" si="37"/>
        <v>0</v>
      </c>
      <c r="W130" s="67">
        <f t="shared" si="37"/>
        <v>0</v>
      </c>
      <c r="X130" s="67">
        <f t="shared" si="37"/>
        <v>0</v>
      </c>
      <c r="Y130" s="67">
        <f t="shared" si="37"/>
        <v>0</v>
      </c>
      <c r="Z130" s="67">
        <f t="shared" si="37"/>
        <v>0</v>
      </c>
    </row>
    <row r="131" spans="2:26" ht="15" customHeight="1" x14ac:dyDescent="0.3">
      <c r="C131" s="206" t="s">
        <v>142</v>
      </c>
    </row>
    <row r="132" spans="2:26" ht="15" customHeight="1" x14ac:dyDescent="0.3">
      <c r="C132" s="8" t="s">
        <v>121</v>
      </c>
      <c r="F132" s="141" t="s">
        <v>109</v>
      </c>
      <c r="G132" s="60">
        <v>7043</v>
      </c>
      <c r="H132" s="60">
        <v>8000</v>
      </c>
      <c r="K132" s="23">
        <f>G132*H132/1000</f>
        <v>56344</v>
      </c>
    </row>
    <row r="133" spans="2:26" ht="15" customHeight="1" x14ac:dyDescent="0.3">
      <c r="C133" s="8" t="s">
        <v>122</v>
      </c>
      <c r="F133" s="141" t="s">
        <v>109</v>
      </c>
      <c r="G133" s="60">
        <v>5040</v>
      </c>
      <c r="H133" s="60">
        <v>8000</v>
      </c>
      <c r="K133" s="23">
        <f>G133*H133/1000</f>
        <v>40320</v>
      </c>
    </row>
    <row r="134" spans="2:26" ht="15" customHeight="1" x14ac:dyDescent="0.3">
      <c r="C134" s="8" t="s">
        <v>111</v>
      </c>
      <c r="F134" s="141" t="s">
        <v>109</v>
      </c>
      <c r="G134" s="60">
        <v>12356</v>
      </c>
      <c r="H134" s="60">
        <v>8000</v>
      </c>
      <c r="K134" s="23">
        <f>G134*H134/1000</f>
        <v>98848</v>
      </c>
    </row>
    <row r="135" spans="2:26" ht="15" customHeight="1" x14ac:dyDescent="0.3">
      <c r="C135" s="137" t="s">
        <v>112</v>
      </c>
      <c r="D135" s="91"/>
      <c r="E135" s="91"/>
      <c r="F135" s="91"/>
      <c r="G135" s="374">
        <f>SUM(G132:G134)</f>
        <v>24439</v>
      </c>
      <c r="H135" s="91"/>
      <c r="I135" s="91"/>
      <c r="J135" s="91"/>
      <c r="K135" s="207">
        <f>SUM(K132:K134)</f>
        <v>195512</v>
      </c>
      <c r="L135" s="67">
        <f t="shared" ref="L135:Z136" si="38">L$43*$K135</f>
        <v>0</v>
      </c>
      <c r="M135" s="67">
        <f t="shared" si="38"/>
        <v>19551.2</v>
      </c>
      <c r="N135" s="67">
        <f t="shared" si="38"/>
        <v>48878</v>
      </c>
      <c r="O135" s="67">
        <f t="shared" si="38"/>
        <v>58653.599999999999</v>
      </c>
      <c r="P135" s="67">
        <f t="shared" si="38"/>
        <v>48878</v>
      </c>
      <c r="Q135" s="67">
        <f t="shared" si="38"/>
        <v>19551.2</v>
      </c>
      <c r="R135" s="67">
        <f t="shared" si="38"/>
        <v>0</v>
      </c>
      <c r="S135" s="67">
        <f t="shared" si="38"/>
        <v>0</v>
      </c>
      <c r="T135" s="67">
        <f t="shared" si="38"/>
        <v>0</v>
      </c>
      <c r="U135" s="67">
        <f t="shared" si="38"/>
        <v>0</v>
      </c>
      <c r="V135" s="67">
        <f t="shared" si="38"/>
        <v>0</v>
      </c>
      <c r="W135" s="67">
        <f t="shared" si="38"/>
        <v>0</v>
      </c>
      <c r="X135" s="67">
        <f t="shared" si="38"/>
        <v>0</v>
      </c>
      <c r="Y135" s="67">
        <f t="shared" si="38"/>
        <v>0</v>
      </c>
      <c r="Z135" s="67">
        <f t="shared" si="38"/>
        <v>0</v>
      </c>
    </row>
    <row r="136" spans="2:26" ht="15" customHeight="1" x14ac:dyDescent="0.3">
      <c r="C136" s="8" t="s">
        <v>146</v>
      </c>
      <c r="F136" s="141" t="s">
        <v>103</v>
      </c>
      <c r="G136" s="60">
        <v>0</v>
      </c>
      <c r="H136" s="60">
        <v>2500</v>
      </c>
      <c r="K136" s="23">
        <f>G136*H136/1000</f>
        <v>0</v>
      </c>
      <c r="L136" s="67">
        <f t="shared" si="38"/>
        <v>0</v>
      </c>
      <c r="M136" s="67">
        <f t="shared" si="38"/>
        <v>0</v>
      </c>
      <c r="N136" s="67">
        <f t="shared" si="38"/>
        <v>0</v>
      </c>
      <c r="O136" s="67">
        <f t="shared" si="38"/>
        <v>0</v>
      </c>
      <c r="P136" s="67">
        <f t="shared" si="38"/>
        <v>0</v>
      </c>
      <c r="Q136" s="67">
        <f t="shared" si="38"/>
        <v>0</v>
      </c>
      <c r="R136" s="67">
        <f t="shared" si="38"/>
        <v>0</v>
      </c>
      <c r="S136" s="67">
        <f t="shared" si="38"/>
        <v>0</v>
      </c>
      <c r="T136" s="67">
        <f t="shared" si="38"/>
        <v>0</v>
      </c>
      <c r="U136" s="67">
        <f t="shared" si="38"/>
        <v>0</v>
      </c>
      <c r="V136" s="67">
        <f t="shared" si="38"/>
        <v>0</v>
      </c>
      <c r="W136" s="67">
        <f t="shared" si="38"/>
        <v>0</v>
      </c>
      <c r="X136" s="67">
        <f t="shared" si="38"/>
        <v>0</v>
      </c>
      <c r="Y136" s="67">
        <f t="shared" si="38"/>
        <v>0</v>
      </c>
      <c r="Z136" s="67">
        <f t="shared" si="38"/>
        <v>0</v>
      </c>
    </row>
    <row r="137" spans="2:26" ht="15" customHeight="1" x14ac:dyDescent="0.3">
      <c r="C137" s="8" t="s">
        <v>95</v>
      </c>
      <c r="F137" s="141" t="s">
        <v>104</v>
      </c>
      <c r="G137" s="377">
        <f>G130</f>
        <v>1030.8499999999999</v>
      </c>
      <c r="H137" s="379">
        <v>3000</v>
      </c>
      <c r="I137" s="378">
        <v>1</v>
      </c>
      <c r="K137" s="23">
        <f>G137*H137*I137/1000</f>
        <v>3092.5499999999997</v>
      </c>
      <c r="L137" s="67">
        <f t="shared" ref="L137:Z137" si="39">L$44*$K137</f>
        <v>0</v>
      </c>
      <c r="M137" s="67">
        <f t="shared" si="39"/>
        <v>309.255</v>
      </c>
      <c r="N137" s="67">
        <f t="shared" si="39"/>
        <v>773.13749999999993</v>
      </c>
      <c r="O137" s="67">
        <f t="shared" si="39"/>
        <v>927.76499999999987</v>
      </c>
      <c r="P137" s="67">
        <f t="shared" si="39"/>
        <v>773.13749999999993</v>
      </c>
      <c r="Q137" s="67">
        <f t="shared" si="39"/>
        <v>309.255</v>
      </c>
      <c r="R137" s="67">
        <f t="shared" si="39"/>
        <v>0</v>
      </c>
      <c r="S137" s="67">
        <f t="shared" si="39"/>
        <v>0</v>
      </c>
      <c r="T137" s="67">
        <f t="shared" si="39"/>
        <v>0</v>
      </c>
      <c r="U137" s="67">
        <f t="shared" si="39"/>
        <v>0</v>
      </c>
      <c r="V137" s="67">
        <f t="shared" si="39"/>
        <v>0</v>
      </c>
      <c r="W137" s="67">
        <f t="shared" si="39"/>
        <v>0</v>
      </c>
      <c r="X137" s="67">
        <f t="shared" si="39"/>
        <v>0</v>
      </c>
      <c r="Y137" s="67">
        <f t="shared" si="39"/>
        <v>0</v>
      </c>
      <c r="Z137" s="67">
        <f t="shared" si="39"/>
        <v>0</v>
      </c>
    </row>
    <row r="138" spans="2:26" ht="15" customHeight="1" x14ac:dyDescent="0.3">
      <c r="C138" s="8" t="s">
        <v>96</v>
      </c>
      <c r="F138" s="141" t="s">
        <v>104</v>
      </c>
      <c r="G138" s="377">
        <f>G130</f>
        <v>1030.8499999999999</v>
      </c>
      <c r="H138" s="379">
        <v>1700</v>
      </c>
      <c r="I138" s="5">
        <v>0.36029</v>
      </c>
      <c r="K138" s="23">
        <f>G138*H138*I138/1000</f>
        <v>631.38840904999995</v>
      </c>
      <c r="L138" s="67">
        <f t="shared" ref="L138:Z138" si="40">L$45*$K138</f>
        <v>0</v>
      </c>
      <c r="M138" s="67">
        <f t="shared" si="40"/>
        <v>63.138840904999995</v>
      </c>
      <c r="N138" s="67">
        <f t="shared" si="40"/>
        <v>157.84710226249999</v>
      </c>
      <c r="O138" s="67">
        <f t="shared" si="40"/>
        <v>189.41652271499999</v>
      </c>
      <c r="P138" s="67">
        <f t="shared" si="40"/>
        <v>157.84710226249999</v>
      </c>
      <c r="Q138" s="67">
        <f t="shared" si="40"/>
        <v>63.138840904999995</v>
      </c>
      <c r="R138" s="67">
        <f t="shared" si="40"/>
        <v>0</v>
      </c>
      <c r="S138" s="67">
        <f t="shared" si="40"/>
        <v>0</v>
      </c>
      <c r="T138" s="67">
        <f t="shared" si="40"/>
        <v>0</v>
      </c>
      <c r="U138" s="67">
        <f t="shared" si="40"/>
        <v>0</v>
      </c>
      <c r="V138" s="67">
        <f t="shared" si="40"/>
        <v>0</v>
      </c>
      <c r="W138" s="67">
        <f t="shared" si="40"/>
        <v>0</v>
      </c>
      <c r="X138" s="67">
        <f t="shared" si="40"/>
        <v>0</v>
      </c>
      <c r="Y138" s="67">
        <f t="shared" si="40"/>
        <v>0</v>
      </c>
      <c r="Z138" s="67">
        <f t="shared" si="40"/>
        <v>0</v>
      </c>
    </row>
    <row r="139" spans="2:26" ht="15" customHeight="1" x14ac:dyDescent="0.3">
      <c r="C139" s="8" t="s">
        <v>105</v>
      </c>
      <c r="F139" s="141" t="s">
        <v>106</v>
      </c>
      <c r="G139" s="377">
        <f>K135+K136+K137+K138</f>
        <v>199235.93840905</v>
      </c>
      <c r="I139" s="5">
        <v>0.01</v>
      </c>
      <c r="K139" s="23">
        <f>G139*I139</f>
        <v>1992.3593840905</v>
      </c>
      <c r="L139" s="67">
        <f t="shared" ref="L139:Z139" si="41">L$46*$K139</f>
        <v>0</v>
      </c>
      <c r="M139" s="67">
        <f t="shared" si="41"/>
        <v>199.23593840905002</v>
      </c>
      <c r="N139" s="67">
        <f t="shared" si="41"/>
        <v>498.08984602262501</v>
      </c>
      <c r="O139" s="67">
        <f t="shared" si="41"/>
        <v>597.70781522715004</v>
      </c>
      <c r="P139" s="67">
        <f t="shared" si="41"/>
        <v>498.08984602262501</v>
      </c>
      <c r="Q139" s="67">
        <f t="shared" si="41"/>
        <v>199.23593840905002</v>
      </c>
      <c r="R139" s="67">
        <f t="shared" si="41"/>
        <v>0</v>
      </c>
      <c r="S139" s="67">
        <f t="shared" si="41"/>
        <v>0</v>
      </c>
      <c r="T139" s="67">
        <f t="shared" si="41"/>
        <v>0</v>
      </c>
      <c r="U139" s="67">
        <f t="shared" si="41"/>
        <v>0</v>
      </c>
      <c r="V139" s="67">
        <f t="shared" si="41"/>
        <v>0</v>
      </c>
      <c r="W139" s="67">
        <f t="shared" si="41"/>
        <v>0</v>
      </c>
      <c r="X139" s="67">
        <f t="shared" si="41"/>
        <v>0</v>
      </c>
      <c r="Y139" s="67">
        <f t="shared" si="41"/>
        <v>0</v>
      </c>
      <c r="Z139" s="67">
        <f t="shared" si="41"/>
        <v>0</v>
      </c>
    </row>
    <row r="140" spans="2:26" ht="15" customHeight="1" x14ac:dyDescent="0.3">
      <c r="C140" s="8" t="s">
        <v>97</v>
      </c>
      <c r="F140" s="141" t="s">
        <v>107</v>
      </c>
      <c r="G140" s="380">
        <f>K135+K136</f>
        <v>195512</v>
      </c>
      <c r="I140" s="5">
        <v>0.15</v>
      </c>
      <c r="K140" s="23">
        <f>G140*I140</f>
        <v>29326.799999999999</v>
      </c>
      <c r="L140" s="67">
        <f t="shared" ref="L140:Z140" si="42">L$47*$K140</f>
        <v>0</v>
      </c>
      <c r="M140" s="67">
        <f t="shared" si="42"/>
        <v>2932.6800000000003</v>
      </c>
      <c r="N140" s="67">
        <f t="shared" si="42"/>
        <v>7331.7</v>
      </c>
      <c r="O140" s="67">
        <f t="shared" si="42"/>
        <v>8798.0399999999991</v>
      </c>
      <c r="P140" s="67">
        <f t="shared" si="42"/>
        <v>7331.7</v>
      </c>
      <c r="Q140" s="67">
        <f t="shared" si="42"/>
        <v>2932.6800000000003</v>
      </c>
      <c r="R140" s="67">
        <f t="shared" si="42"/>
        <v>0</v>
      </c>
      <c r="S140" s="67">
        <f t="shared" si="42"/>
        <v>0</v>
      </c>
      <c r="T140" s="67">
        <f t="shared" si="42"/>
        <v>0</v>
      </c>
      <c r="U140" s="67">
        <f t="shared" si="42"/>
        <v>0</v>
      </c>
      <c r="V140" s="67">
        <f t="shared" si="42"/>
        <v>0</v>
      </c>
      <c r="W140" s="67">
        <f t="shared" si="42"/>
        <v>0</v>
      </c>
      <c r="X140" s="67">
        <f t="shared" si="42"/>
        <v>0</v>
      </c>
      <c r="Y140" s="67">
        <f t="shared" si="42"/>
        <v>0</v>
      </c>
      <c r="Z140" s="67">
        <f t="shared" si="42"/>
        <v>0</v>
      </c>
    </row>
    <row r="141" spans="2:26" ht="15" customHeight="1" x14ac:dyDescent="0.3">
      <c r="C141" s="8" t="s">
        <v>98</v>
      </c>
      <c r="F141" s="141" t="s">
        <v>131</v>
      </c>
      <c r="G141" s="370">
        <v>0</v>
      </c>
      <c r="I141" s="5">
        <v>0</v>
      </c>
      <c r="K141" s="23">
        <f>G141*I141</f>
        <v>0</v>
      </c>
      <c r="L141" s="67">
        <f t="shared" ref="L141:Z141" si="43">L$48*$K141</f>
        <v>0</v>
      </c>
      <c r="M141" s="67">
        <f t="shared" si="43"/>
        <v>0</v>
      </c>
      <c r="N141" s="67">
        <f t="shared" si="43"/>
        <v>0</v>
      </c>
      <c r="O141" s="67">
        <f t="shared" si="43"/>
        <v>0</v>
      </c>
      <c r="P141" s="67">
        <f t="shared" si="43"/>
        <v>0</v>
      </c>
      <c r="Q141" s="67">
        <f t="shared" si="43"/>
        <v>0</v>
      </c>
      <c r="R141" s="67">
        <f t="shared" si="43"/>
        <v>0</v>
      </c>
      <c r="S141" s="67">
        <f t="shared" si="43"/>
        <v>0</v>
      </c>
      <c r="T141" s="67">
        <f t="shared" si="43"/>
        <v>0</v>
      </c>
      <c r="U141" s="67">
        <f t="shared" si="43"/>
        <v>0</v>
      </c>
      <c r="V141" s="67">
        <f t="shared" si="43"/>
        <v>0</v>
      </c>
      <c r="W141" s="67">
        <f t="shared" si="43"/>
        <v>0</v>
      </c>
      <c r="X141" s="67">
        <f t="shared" si="43"/>
        <v>0</v>
      </c>
      <c r="Y141" s="67">
        <f t="shared" si="43"/>
        <v>0</v>
      </c>
      <c r="Z141" s="67">
        <f t="shared" si="43"/>
        <v>0</v>
      </c>
    </row>
    <row r="142" spans="2:26" ht="15" customHeight="1" x14ac:dyDescent="0.3">
      <c r="C142" s="8" t="s">
        <v>99</v>
      </c>
      <c r="F142" s="141" t="s">
        <v>107</v>
      </c>
      <c r="G142" s="377">
        <f>K135+K136</f>
        <v>195512</v>
      </c>
      <c r="I142" s="5">
        <v>7.4999999999999997E-2</v>
      </c>
      <c r="K142" s="23">
        <f>G142*I142</f>
        <v>14663.4</v>
      </c>
      <c r="L142" s="67">
        <f t="shared" ref="L142:Z142" si="44">L$49*$K142</f>
        <v>0</v>
      </c>
      <c r="M142" s="67">
        <f t="shared" si="44"/>
        <v>1466.3400000000001</v>
      </c>
      <c r="N142" s="67">
        <f t="shared" si="44"/>
        <v>3665.85</v>
      </c>
      <c r="O142" s="67">
        <f t="shared" si="44"/>
        <v>4399.0199999999995</v>
      </c>
      <c r="P142" s="67">
        <f t="shared" si="44"/>
        <v>3665.85</v>
      </c>
      <c r="Q142" s="67">
        <f t="shared" si="44"/>
        <v>1466.3400000000001</v>
      </c>
      <c r="R142" s="67">
        <f t="shared" si="44"/>
        <v>0</v>
      </c>
      <c r="S142" s="67">
        <f t="shared" si="44"/>
        <v>0</v>
      </c>
      <c r="T142" s="67">
        <f t="shared" si="44"/>
        <v>0</v>
      </c>
      <c r="U142" s="67">
        <f t="shared" si="44"/>
        <v>0</v>
      </c>
      <c r="V142" s="67">
        <f t="shared" si="44"/>
        <v>0</v>
      </c>
      <c r="W142" s="67">
        <f t="shared" si="44"/>
        <v>0</v>
      </c>
      <c r="X142" s="67">
        <f t="shared" si="44"/>
        <v>0</v>
      </c>
      <c r="Y142" s="67">
        <f t="shared" si="44"/>
        <v>0</v>
      </c>
      <c r="Z142" s="67">
        <f t="shared" si="44"/>
        <v>0</v>
      </c>
    </row>
    <row r="143" spans="2:26" ht="15" customHeight="1" x14ac:dyDescent="0.3">
      <c r="B143" s="49"/>
      <c r="C143" s="49" t="s">
        <v>294</v>
      </c>
      <c r="D143" s="49"/>
      <c r="E143" s="49"/>
      <c r="F143" s="49"/>
      <c r="G143" s="49"/>
      <c r="H143" s="49"/>
      <c r="I143" s="49"/>
      <c r="J143" s="49"/>
      <c r="K143" s="54">
        <f t="shared" ref="K143:Z143" si="45">SUM(K135:K142)</f>
        <v>245218.49779314047</v>
      </c>
      <c r="L143" s="54">
        <f t="shared" si="45"/>
        <v>0</v>
      </c>
      <c r="M143" s="54">
        <f t="shared" si="45"/>
        <v>24521.849779314052</v>
      </c>
      <c r="N143" s="54">
        <f t="shared" si="45"/>
        <v>61304.624448285118</v>
      </c>
      <c r="O143" s="54">
        <f t="shared" si="45"/>
        <v>73565.549337942153</v>
      </c>
      <c r="P143" s="54">
        <f t="shared" si="45"/>
        <v>61304.624448285118</v>
      </c>
      <c r="Q143" s="54">
        <f t="shared" si="45"/>
        <v>24521.849779314052</v>
      </c>
      <c r="R143" s="54">
        <f t="shared" si="45"/>
        <v>0</v>
      </c>
      <c r="S143" s="54">
        <f t="shared" si="45"/>
        <v>0</v>
      </c>
      <c r="T143" s="54">
        <f t="shared" si="45"/>
        <v>0</v>
      </c>
      <c r="U143" s="54">
        <f t="shared" si="45"/>
        <v>0</v>
      </c>
      <c r="V143" s="54">
        <f t="shared" si="45"/>
        <v>0</v>
      </c>
      <c r="W143" s="54">
        <f t="shared" si="45"/>
        <v>0</v>
      </c>
      <c r="X143" s="54">
        <f t="shared" si="45"/>
        <v>0</v>
      </c>
      <c r="Y143" s="54">
        <f t="shared" si="45"/>
        <v>0</v>
      </c>
      <c r="Z143" s="54">
        <f t="shared" si="45"/>
        <v>0</v>
      </c>
    </row>
    <row r="144" spans="2:26" ht="15" customHeight="1" x14ac:dyDescent="0.3"/>
    <row r="145" spans="2:26" ht="15" customHeight="1" x14ac:dyDescent="0.3">
      <c r="B145" s="49"/>
      <c r="C145" s="49" t="s">
        <v>295</v>
      </c>
      <c r="D145" s="49"/>
      <c r="E145" s="49"/>
      <c r="F145" s="49"/>
      <c r="G145" s="49"/>
      <c r="H145" s="49"/>
      <c r="I145" s="49"/>
      <c r="J145" s="49"/>
      <c r="K145" s="54">
        <f t="shared" ref="K145:Z145" si="46">SUM(K130,K143)</f>
        <v>346706.28540222399</v>
      </c>
      <c r="L145" s="54">
        <f t="shared" si="46"/>
        <v>0</v>
      </c>
      <c r="M145" s="54">
        <f t="shared" si="46"/>
        <v>126009.63738839756</v>
      </c>
      <c r="N145" s="54">
        <f t="shared" si="46"/>
        <v>61304.624448285118</v>
      </c>
      <c r="O145" s="54">
        <f t="shared" si="46"/>
        <v>73565.549337942153</v>
      </c>
      <c r="P145" s="54">
        <f t="shared" si="46"/>
        <v>61304.624448285118</v>
      </c>
      <c r="Q145" s="54">
        <f t="shared" si="46"/>
        <v>24521.849779314052</v>
      </c>
      <c r="R145" s="54">
        <f t="shared" si="46"/>
        <v>0</v>
      </c>
      <c r="S145" s="54">
        <f t="shared" si="46"/>
        <v>0</v>
      </c>
      <c r="T145" s="54">
        <f t="shared" si="46"/>
        <v>0</v>
      </c>
      <c r="U145" s="54">
        <f t="shared" si="46"/>
        <v>0</v>
      </c>
      <c r="V145" s="54">
        <f t="shared" si="46"/>
        <v>0</v>
      </c>
      <c r="W145" s="54">
        <f t="shared" si="46"/>
        <v>0</v>
      </c>
      <c r="X145" s="54">
        <f t="shared" si="46"/>
        <v>0</v>
      </c>
      <c r="Y145" s="54">
        <f t="shared" si="46"/>
        <v>0</v>
      </c>
      <c r="Z145" s="54">
        <f t="shared" si="46"/>
        <v>0</v>
      </c>
    </row>
    <row r="146" spans="2:26" ht="15" customHeight="1" x14ac:dyDescent="0.3"/>
    <row r="147" spans="2:26" ht="15" customHeight="1" x14ac:dyDescent="0.3">
      <c r="B147" s="52" t="s">
        <v>301</v>
      </c>
      <c r="C147" s="52"/>
      <c r="D147" s="52"/>
      <c r="E147" s="52"/>
      <c r="F147" s="52"/>
      <c r="G147" s="52"/>
      <c r="H147" s="52"/>
      <c r="I147" s="52"/>
      <c r="J147" s="52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spans="2:26" ht="15" customHeight="1" x14ac:dyDescent="0.3">
      <c r="C148" s="8" t="s">
        <v>92</v>
      </c>
      <c r="F148" s="141" t="s">
        <v>102</v>
      </c>
      <c r="G148" s="370">
        <f>'Land Summary'!E32</f>
        <v>463.83499999999998</v>
      </c>
      <c r="H148" s="370">
        <f>'Land Summary'!F32</f>
        <v>98450.587000129512</v>
      </c>
      <c r="I148" s="371">
        <v>1</v>
      </c>
      <c r="K148" s="23">
        <f>G148*H148*I148/1000</f>
        <v>45664.828021205067</v>
      </c>
      <c r="L148" s="67">
        <f t="shared" ref="L148:Z148" si="47">L$53*$K148</f>
        <v>0</v>
      </c>
      <c r="M148" s="67">
        <f t="shared" si="47"/>
        <v>45664.828021205067</v>
      </c>
      <c r="N148" s="67">
        <f t="shared" si="47"/>
        <v>0</v>
      </c>
      <c r="O148" s="67">
        <f t="shared" si="47"/>
        <v>0</v>
      </c>
      <c r="P148" s="67">
        <f t="shared" si="47"/>
        <v>0</v>
      </c>
      <c r="Q148" s="67">
        <f t="shared" si="47"/>
        <v>0</v>
      </c>
      <c r="R148" s="67">
        <f t="shared" si="47"/>
        <v>0</v>
      </c>
      <c r="S148" s="67">
        <f t="shared" si="47"/>
        <v>0</v>
      </c>
      <c r="T148" s="67">
        <f t="shared" si="47"/>
        <v>0</v>
      </c>
      <c r="U148" s="67">
        <f t="shared" si="47"/>
        <v>0</v>
      </c>
      <c r="V148" s="67">
        <f t="shared" si="47"/>
        <v>0</v>
      </c>
      <c r="W148" s="67">
        <f t="shared" si="47"/>
        <v>0</v>
      </c>
      <c r="X148" s="67">
        <f t="shared" si="47"/>
        <v>0</v>
      </c>
      <c r="Y148" s="67">
        <f t="shared" si="47"/>
        <v>0</v>
      </c>
      <c r="Z148" s="67">
        <f t="shared" si="47"/>
        <v>0</v>
      </c>
    </row>
    <row r="149" spans="2:26" ht="15" customHeight="1" x14ac:dyDescent="0.3">
      <c r="C149" s="206" t="s">
        <v>142</v>
      </c>
    </row>
    <row r="150" spans="2:26" ht="15" customHeight="1" x14ac:dyDescent="0.3">
      <c r="C150" s="8" t="s">
        <v>123</v>
      </c>
      <c r="E150" s="28"/>
      <c r="F150" s="141" t="s">
        <v>109</v>
      </c>
      <c r="G150" s="60">
        <v>7500</v>
      </c>
      <c r="H150" s="60">
        <v>8000</v>
      </c>
      <c r="K150" s="23">
        <f>G150*H150/1000</f>
        <v>60000</v>
      </c>
    </row>
    <row r="151" spans="2:26" ht="15" customHeight="1" x14ac:dyDescent="0.3">
      <c r="C151" s="137" t="s">
        <v>112</v>
      </c>
      <c r="D151" s="91"/>
      <c r="E151" s="91"/>
      <c r="F151" s="91"/>
      <c r="G151" s="374">
        <f>SUM(G150:G150)</f>
        <v>7500</v>
      </c>
      <c r="H151" s="91"/>
      <c r="I151" s="91"/>
      <c r="J151" s="91"/>
      <c r="K151" s="207">
        <f>SUM(K150:K150)</f>
        <v>60000</v>
      </c>
      <c r="L151" s="67">
        <f t="shared" ref="L151:Z152" si="48">L$54*$K151</f>
        <v>0</v>
      </c>
      <c r="M151" s="67">
        <f t="shared" si="48"/>
        <v>6000</v>
      </c>
      <c r="N151" s="67">
        <f t="shared" si="48"/>
        <v>15000</v>
      </c>
      <c r="O151" s="67">
        <f t="shared" si="48"/>
        <v>18000</v>
      </c>
      <c r="P151" s="67">
        <f t="shared" si="48"/>
        <v>15000</v>
      </c>
      <c r="Q151" s="67">
        <f t="shared" si="48"/>
        <v>6000</v>
      </c>
      <c r="R151" s="67">
        <f t="shared" si="48"/>
        <v>0</v>
      </c>
      <c r="S151" s="67">
        <f t="shared" si="48"/>
        <v>0</v>
      </c>
      <c r="T151" s="67">
        <f t="shared" si="48"/>
        <v>0</v>
      </c>
      <c r="U151" s="67">
        <f t="shared" si="48"/>
        <v>0</v>
      </c>
      <c r="V151" s="67">
        <f t="shared" si="48"/>
        <v>0</v>
      </c>
      <c r="W151" s="67">
        <f t="shared" si="48"/>
        <v>0</v>
      </c>
      <c r="X151" s="67">
        <f t="shared" si="48"/>
        <v>0</v>
      </c>
      <c r="Y151" s="67">
        <f t="shared" si="48"/>
        <v>0</v>
      </c>
      <c r="Z151" s="67">
        <f t="shared" si="48"/>
        <v>0</v>
      </c>
    </row>
    <row r="152" spans="2:26" ht="15" customHeight="1" x14ac:dyDescent="0.3">
      <c r="C152" s="8" t="s">
        <v>146</v>
      </c>
      <c r="F152" s="141" t="s">
        <v>103</v>
      </c>
      <c r="G152" s="60">
        <v>0</v>
      </c>
      <c r="H152" s="60">
        <v>2500</v>
      </c>
      <c r="K152" s="23">
        <f>G152*H152/1000</f>
        <v>0</v>
      </c>
      <c r="L152" s="67">
        <f t="shared" si="48"/>
        <v>0</v>
      </c>
      <c r="M152" s="67">
        <f t="shared" si="48"/>
        <v>0</v>
      </c>
      <c r="N152" s="67">
        <f t="shared" si="48"/>
        <v>0</v>
      </c>
      <c r="O152" s="67">
        <f t="shared" si="48"/>
        <v>0</v>
      </c>
      <c r="P152" s="67">
        <f t="shared" si="48"/>
        <v>0</v>
      </c>
      <c r="Q152" s="67">
        <f t="shared" si="48"/>
        <v>0</v>
      </c>
      <c r="R152" s="67">
        <f t="shared" si="48"/>
        <v>0</v>
      </c>
      <c r="S152" s="67">
        <f t="shared" si="48"/>
        <v>0</v>
      </c>
      <c r="T152" s="67">
        <f t="shared" si="48"/>
        <v>0</v>
      </c>
      <c r="U152" s="67">
        <f t="shared" si="48"/>
        <v>0</v>
      </c>
      <c r="V152" s="67">
        <f t="shared" si="48"/>
        <v>0</v>
      </c>
      <c r="W152" s="67">
        <f t="shared" si="48"/>
        <v>0</v>
      </c>
      <c r="X152" s="67">
        <f t="shared" si="48"/>
        <v>0</v>
      </c>
      <c r="Y152" s="67">
        <f t="shared" si="48"/>
        <v>0</v>
      </c>
      <c r="Z152" s="67">
        <f t="shared" si="48"/>
        <v>0</v>
      </c>
    </row>
    <row r="153" spans="2:26" ht="15" customHeight="1" x14ac:dyDescent="0.3">
      <c r="C153" s="8" t="s">
        <v>95</v>
      </c>
      <c r="F153" s="141" t="s">
        <v>104</v>
      </c>
      <c r="G153" s="377">
        <f>G148</f>
        <v>463.83499999999998</v>
      </c>
      <c r="H153" s="379">
        <v>3000</v>
      </c>
      <c r="I153" s="378">
        <v>1</v>
      </c>
      <c r="K153" s="23">
        <f>G153*H153*I153/1000</f>
        <v>1391.5050000000001</v>
      </c>
      <c r="L153" s="67">
        <f t="shared" ref="L153:Z153" si="49">L$55*$K153</f>
        <v>0</v>
      </c>
      <c r="M153" s="67">
        <f t="shared" si="49"/>
        <v>139.15050000000002</v>
      </c>
      <c r="N153" s="67">
        <f t="shared" si="49"/>
        <v>347.87625000000003</v>
      </c>
      <c r="O153" s="67">
        <f t="shared" si="49"/>
        <v>417.45150000000001</v>
      </c>
      <c r="P153" s="67">
        <f t="shared" si="49"/>
        <v>347.87625000000003</v>
      </c>
      <c r="Q153" s="67">
        <f t="shared" si="49"/>
        <v>139.15050000000002</v>
      </c>
      <c r="R153" s="67">
        <f t="shared" si="49"/>
        <v>0</v>
      </c>
      <c r="S153" s="67">
        <f t="shared" si="49"/>
        <v>0</v>
      </c>
      <c r="T153" s="67">
        <f t="shared" si="49"/>
        <v>0</v>
      </c>
      <c r="U153" s="67">
        <f t="shared" si="49"/>
        <v>0</v>
      </c>
      <c r="V153" s="67">
        <f t="shared" si="49"/>
        <v>0</v>
      </c>
      <c r="W153" s="67">
        <f t="shared" si="49"/>
        <v>0</v>
      </c>
      <c r="X153" s="67">
        <f t="shared" si="49"/>
        <v>0</v>
      </c>
      <c r="Y153" s="67">
        <f t="shared" si="49"/>
        <v>0</v>
      </c>
      <c r="Z153" s="67">
        <f t="shared" si="49"/>
        <v>0</v>
      </c>
    </row>
    <row r="154" spans="2:26" ht="15" customHeight="1" x14ac:dyDescent="0.3">
      <c r="C154" s="8" t="s">
        <v>96</v>
      </c>
      <c r="F154" s="141" t="s">
        <v>104</v>
      </c>
      <c r="G154" s="377">
        <f>G148</f>
        <v>463.83499999999998</v>
      </c>
      <c r="H154" s="379">
        <v>1700</v>
      </c>
      <c r="I154" s="5">
        <v>0.36029</v>
      </c>
      <c r="K154" s="23">
        <f>G154*H154*I154/1000</f>
        <v>284.095690655</v>
      </c>
      <c r="L154" s="67">
        <f t="shared" ref="L154:Z154" si="50">L$56*$K154</f>
        <v>0</v>
      </c>
      <c r="M154" s="67">
        <f t="shared" si="50"/>
        <v>28.409569065500001</v>
      </c>
      <c r="N154" s="67">
        <f t="shared" si="50"/>
        <v>71.02392266375</v>
      </c>
      <c r="O154" s="67">
        <f t="shared" si="50"/>
        <v>85.228707196499997</v>
      </c>
      <c r="P154" s="67">
        <f t="shared" si="50"/>
        <v>71.02392266375</v>
      </c>
      <c r="Q154" s="67">
        <f t="shared" si="50"/>
        <v>28.409569065500001</v>
      </c>
      <c r="R154" s="67">
        <f t="shared" si="50"/>
        <v>0</v>
      </c>
      <c r="S154" s="67">
        <f t="shared" si="50"/>
        <v>0</v>
      </c>
      <c r="T154" s="67">
        <f t="shared" si="50"/>
        <v>0</v>
      </c>
      <c r="U154" s="67">
        <f t="shared" si="50"/>
        <v>0</v>
      </c>
      <c r="V154" s="67">
        <f t="shared" si="50"/>
        <v>0</v>
      </c>
      <c r="W154" s="67">
        <f t="shared" si="50"/>
        <v>0</v>
      </c>
      <c r="X154" s="67">
        <f t="shared" si="50"/>
        <v>0</v>
      </c>
      <c r="Y154" s="67">
        <f t="shared" si="50"/>
        <v>0</v>
      </c>
      <c r="Z154" s="67">
        <f t="shared" si="50"/>
        <v>0</v>
      </c>
    </row>
    <row r="155" spans="2:26" ht="15" customHeight="1" x14ac:dyDescent="0.3">
      <c r="C155" s="8" t="s">
        <v>105</v>
      </c>
      <c r="F155" s="141" t="s">
        <v>106</v>
      </c>
      <c r="G155" s="377">
        <f>K151+K152+K153+K154</f>
        <v>61675.600690654996</v>
      </c>
      <c r="I155" s="5">
        <v>0.02</v>
      </c>
      <c r="K155" s="23">
        <f>G155*I155</f>
        <v>1233.5120138130999</v>
      </c>
      <c r="L155" s="67">
        <f t="shared" ref="L155:Z155" si="51">L$57*$K155</f>
        <v>0</v>
      </c>
      <c r="M155" s="67">
        <f t="shared" si="51"/>
        <v>123.35120138130999</v>
      </c>
      <c r="N155" s="67">
        <f t="shared" si="51"/>
        <v>308.37800345327497</v>
      </c>
      <c r="O155" s="67">
        <f t="shared" si="51"/>
        <v>370.05360414392993</v>
      </c>
      <c r="P155" s="67">
        <f t="shared" si="51"/>
        <v>308.37800345327497</v>
      </c>
      <c r="Q155" s="67">
        <f t="shared" si="51"/>
        <v>123.35120138130999</v>
      </c>
      <c r="R155" s="67">
        <f t="shared" si="51"/>
        <v>0</v>
      </c>
      <c r="S155" s="67">
        <f t="shared" si="51"/>
        <v>0</v>
      </c>
      <c r="T155" s="67">
        <f t="shared" si="51"/>
        <v>0</v>
      </c>
      <c r="U155" s="67">
        <f t="shared" si="51"/>
        <v>0</v>
      </c>
      <c r="V155" s="67">
        <f t="shared" si="51"/>
        <v>0</v>
      </c>
      <c r="W155" s="67">
        <f t="shared" si="51"/>
        <v>0</v>
      </c>
      <c r="X155" s="67">
        <f t="shared" si="51"/>
        <v>0</v>
      </c>
      <c r="Y155" s="67">
        <f t="shared" si="51"/>
        <v>0</v>
      </c>
      <c r="Z155" s="67">
        <f t="shared" si="51"/>
        <v>0</v>
      </c>
    </row>
    <row r="156" spans="2:26" ht="15" customHeight="1" x14ac:dyDescent="0.3">
      <c r="C156" s="8" t="s">
        <v>97</v>
      </c>
      <c r="F156" s="141" t="s">
        <v>107</v>
      </c>
      <c r="G156" s="377">
        <f>K151+K152</f>
        <v>60000</v>
      </c>
      <c r="I156" s="5">
        <v>0.15</v>
      </c>
      <c r="K156" s="23">
        <f>G156*I156</f>
        <v>9000</v>
      </c>
      <c r="L156" s="67">
        <f t="shared" ref="L156:Z156" si="52">L$58*$K156</f>
        <v>0</v>
      </c>
      <c r="M156" s="67">
        <f t="shared" si="52"/>
        <v>900</v>
      </c>
      <c r="N156" s="67">
        <f t="shared" si="52"/>
        <v>2250</v>
      </c>
      <c r="O156" s="67">
        <f t="shared" si="52"/>
        <v>2700</v>
      </c>
      <c r="P156" s="67">
        <f t="shared" si="52"/>
        <v>2250</v>
      </c>
      <c r="Q156" s="67">
        <f t="shared" si="52"/>
        <v>900</v>
      </c>
      <c r="R156" s="67">
        <f t="shared" si="52"/>
        <v>0</v>
      </c>
      <c r="S156" s="67">
        <f t="shared" si="52"/>
        <v>0</v>
      </c>
      <c r="T156" s="67">
        <f t="shared" si="52"/>
        <v>0</v>
      </c>
      <c r="U156" s="67">
        <f t="shared" si="52"/>
        <v>0</v>
      </c>
      <c r="V156" s="67">
        <f t="shared" si="52"/>
        <v>0</v>
      </c>
      <c r="W156" s="67">
        <f t="shared" si="52"/>
        <v>0</v>
      </c>
      <c r="X156" s="67">
        <f t="shared" si="52"/>
        <v>0</v>
      </c>
      <c r="Y156" s="67">
        <f t="shared" si="52"/>
        <v>0</v>
      </c>
      <c r="Z156" s="67">
        <f t="shared" si="52"/>
        <v>0</v>
      </c>
    </row>
    <row r="157" spans="2:26" ht="15" customHeight="1" x14ac:dyDescent="0.3">
      <c r="C157" s="8" t="s">
        <v>98</v>
      </c>
      <c r="F157" s="141" t="s">
        <v>131</v>
      </c>
      <c r="G157" s="370">
        <v>0</v>
      </c>
      <c r="I157" s="5">
        <v>0</v>
      </c>
      <c r="K157" s="23">
        <f>G157*I157</f>
        <v>0</v>
      </c>
      <c r="L157" s="67">
        <f t="shared" ref="L157:Z157" si="53">L$59*$K157</f>
        <v>0</v>
      </c>
      <c r="M157" s="67">
        <f t="shared" si="53"/>
        <v>0</v>
      </c>
      <c r="N157" s="67">
        <f t="shared" si="53"/>
        <v>0</v>
      </c>
      <c r="O157" s="67">
        <f t="shared" si="53"/>
        <v>0</v>
      </c>
      <c r="P157" s="67">
        <f t="shared" si="53"/>
        <v>0</v>
      </c>
      <c r="Q157" s="67">
        <f t="shared" si="53"/>
        <v>0</v>
      </c>
      <c r="R157" s="67">
        <f t="shared" si="53"/>
        <v>0</v>
      </c>
      <c r="S157" s="67">
        <f t="shared" si="53"/>
        <v>0</v>
      </c>
      <c r="T157" s="67">
        <f t="shared" si="53"/>
        <v>0</v>
      </c>
      <c r="U157" s="67">
        <f t="shared" si="53"/>
        <v>0</v>
      </c>
      <c r="V157" s="67">
        <f t="shared" si="53"/>
        <v>0</v>
      </c>
      <c r="W157" s="67">
        <f t="shared" si="53"/>
        <v>0</v>
      </c>
      <c r="X157" s="67">
        <f t="shared" si="53"/>
        <v>0</v>
      </c>
      <c r="Y157" s="67">
        <f t="shared" si="53"/>
        <v>0</v>
      </c>
      <c r="Z157" s="67">
        <f t="shared" si="53"/>
        <v>0</v>
      </c>
    </row>
    <row r="158" spans="2:26" ht="15" customHeight="1" x14ac:dyDescent="0.3">
      <c r="C158" s="8" t="s">
        <v>99</v>
      </c>
      <c r="F158" s="141" t="s">
        <v>107</v>
      </c>
      <c r="G158" s="377">
        <f>K151+K152</f>
        <v>60000</v>
      </c>
      <c r="I158" s="5">
        <v>7.4999999999999997E-2</v>
      </c>
      <c r="K158" s="23">
        <f>G158*I158</f>
        <v>4500</v>
      </c>
      <c r="L158" s="67">
        <f t="shared" ref="L158:Z158" si="54">L$60*$K158</f>
        <v>0</v>
      </c>
      <c r="M158" s="67">
        <f t="shared" si="54"/>
        <v>450</v>
      </c>
      <c r="N158" s="67">
        <f t="shared" si="54"/>
        <v>1125</v>
      </c>
      <c r="O158" s="67">
        <f t="shared" si="54"/>
        <v>1350</v>
      </c>
      <c r="P158" s="67">
        <f t="shared" si="54"/>
        <v>1125</v>
      </c>
      <c r="Q158" s="67">
        <f t="shared" si="54"/>
        <v>450</v>
      </c>
      <c r="R158" s="67">
        <f t="shared" si="54"/>
        <v>0</v>
      </c>
      <c r="S158" s="67">
        <f t="shared" si="54"/>
        <v>0</v>
      </c>
      <c r="T158" s="67">
        <f t="shared" si="54"/>
        <v>0</v>
      </c>
      <c r="U158" s="67">
        <f t="shared" si="54"/>
        <v>0</v>
      </c>
      <c r="V158" s="67">
        <f t="shared" si="54"/>
        <v>0</v>
      </c>
      <c r="W158" s="67">
        <f t="shared" si="54"/>
        <v>0</v>
      </c>
      <c r="X158" s="67">
        <f t="shared" si="54"/>
        <v>0</v>
      </c>
      <c r="Y158" s="67">
        <f t="shared" si="54"/>
        <v>0</v>
      </c>
      <c r="Z158" s="67">
        <f t="shared" si="54"/>
        <v>0</v>
      </c>
    </row>
    <row r="159" spans="2:26" ht="15" customHeight="1" x14ac:dyDescent="0.3">
      <c r="B159" s="49"/>
      <c r="C159" s="49" t="s">
        <v>296</v>
      </c>
      <c r="D159" s="49"/>
      <c r="E159" s="49"/>
      <c r="F159" s="49"/>
      <c r="G159" s="49"/>
      <c r="H159" s="49"/>
      <c r="I159" s="49"/>
      <c r="J159" s="49"/>
      <c r="K159" s="54">
        <f t="shared" ref="K159:Z159" si="55">SUM(K151:K158)</f>
        <v>76409.112704468105</v>
      </c>
      <c r="L159" s="54">
        <f t="shared" si="55"/>
        <v>0</v>
      </c>
      <c r="M159" s="54">
        <f t="shared" si="55"/>
        <v>7640.9112704468098</v>
      </c>
      <c r="N159" s="54">
        <f t="shared" si="55"/>
        <v>19102.278176117026</v>
      </c>
      <c r="O159" s="54">
        <f t="shared" si="55"/>
        <v>22922.733811340429</v>
      </c>
      <c r="P159" s="54">
        <f t="shared" si="55"/>
        <v>19102.278176117026</v>
      </c>
      <c r="Q159" s="54">
        <f t="shared" si="55"/>
        <v>7640.9112704468098</v>
      </c>
      <c r="R159" s="54">
        <f t="shared" si="55"/>
        <v>0</v>
      </c>
      <c r="S159" s="54">
        <f t="shared" si="55"/>
        <v>0</v>
      </c>
      <c r="T159" s="54">
        <f t="shared" si="55"/>
        <v>0</v>
      </c>
      <c r="U159" s="54">
        <f t="shared" si="55"/>
        <v>0</v>
      </c>
      <c r="V159" s="54">
        <f t="shared" si="55"/>
        <v>0</v>
      </c>
      <c r="W159" s="54">
        <f t="shared" si="55"/>
        <v>0</v>
      </c>
      <c r="X159" s="54">
        <f t="shared" si="55"/>
        <v>0</v>
      </c>
      <c r="Y159" s="54">
        <f t="shared" si="55"/>
        <v>0</v>
      </c>
      <c r="Z159" s="54">
        <f t="shared" si="55"/>
        <v>0</v>
      </c>
    </row>
    <row r="160" spans="2:26" ht="15" customHeight="1" x14ac:dyDescent="0.3"/>
    <row r="161" spans="2:26" ht="15" customHeight="1" x14ac:dyDescent="0.3">
      <c r="B161" s="49"/>
      <c r="C161" s="49" t="s">
        <v>297</v>
      </c>
      <c r="D161" s="49"/>
      <c r="E161" s="49"/>
      <c r="F161" s="49"/>
      <c r="G161" s="49"/>
      <c r="H161" s="49"/>
      <c r="I161" s="49"/>
      <c r="J161" s="49"/>
      <c r="K161" s="54">
        <f t="shared" ref="K161:Z161" si="56">SUM(K148,K159)</f>
        <v>122073.94072567316</v>
      </c>
      <c r="L161" s="54">
        <f t="shared" si="56"/>
        <v>0</v>
      </c>
      <c r="M161" s="54">
        <f t="shared" si="56"/>
        <v>53305.739291651873</v>
      </c>
      <c r="N161" s="54">
        <f t="shared" si="56"/>
        <v>19102.278176117026</v>
      </c>
      <c r="O161" s="54">
        <f t="shared" si="56"/>
        <v>22922.733811340429</v>
      </c>
      <c r="P161" s="54">
        <f t="shared" si="56"/>
        <v>19102.278176117026</v>
      </c>
      <c r="Q161" s="54">
        <f t="shared" si="56"/>
        <v>7640.9112704468098</v>
      </c>
      <c r="R161" s="54">
        <f t="shared" si="56"/>
        <v>0</v>
      </c>
      <c r="S161" s="54">
        <f t="shared" si="56"/>
        <v>0</v>
      </c>
      <c r="T161" s="54">
        <f t="shared" si="56"/>
        <v>0</v>
      </c>
      <c r="U161" s="54">
        <f t="shared" si="56"/>
        <v>0</v>
      </c>
      <c r="V161" s="54">
        <f t="shared" si="56"/>
        <v>0</v>
      </c>
      <c r="W161" s="54">
        <f t="shared" si="56"/>
        <v>0</v>
      </c>
      <c r="X161" s="54">
        <f t="shared" si="56"/>
        <v>0</v>
      </c>
      <c r="Y161" s="54">
        <f t="shared" si="56"/>
        <v>0</v>
      </c>
      <c r="Z161" s="54">
        <f t="shared" si="56"/>
        <v>0</v>
      </c>
    </row>
    <row r="162" spans="2:26" ht="15" customHeight="1" x14ac:dyDescent="0.3"/>
    <row r="163" spans="2:26" ht="15" customHeight="1" x14ac:dyDescent="0.3">
      <c r="B163" s="52" t="s">
        <v>302</v>
      </c>
      <c r="C163" s="52"/>
      <c r="D163" s="52"/>
      <c r="E163" s="52"/>
      <c r="F163" s="52"/>
      <c r="G163" s="52"/>
      <c r="H163" s="52"/>
      <c r="I163" s="52"/>
      <c r="J163" s="52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spans="2:26" ht="15" customHeight="1" x14ac:dyDescent="0.3">
      <c r="C164" s="8" t="s">
        <v>92</v>
      </c>
      <c r="F164" s="141" t="s">
        <v>102</v>
      </c>
      <c r="G164" s="369">
        <f>'Land Summary'!E33</f>
        <v>232.26</v>
      </c>
      <c r="H164" s="370">
        <f>'Land Summary'!F33</f>
        <v>61722.245199742873</v>
      </c>
      <c r="I164" s="371">
        <v>1</v>
      </c>
      <c r="K164" s="23">
        <f>G164*H164*I164/1000</f>
        <v>14335.608670092279</v>
      </c>
      <c r="L164" s="67">
        <f>L$64*$K164</f>
        <v>0</v>
      </c>
      <c r="M164" s="67">
        <f>M$64*$K164</f>
        <v>14335.608670092279</v>
      </c>
      <c r="N164" s="67">
        <f t="shared" ref="N164:Z164" si="57">N$64*$K164</f>
        <v>0</v>
      </c>
      <c r="O164" s="67">
        <f t="shared" si="57"/>
        <v>0</v>
      </c>
      <c r="P164" s="67">
        <f t="shared" si="57"/>
        <v>0</v>
      </c>
      <c r="Q164" s="67">
        <f t="shared" si="57"/>
        <v>0</v>
      </c>
      <c r="R164" s="67">
        <f t="shared" si="57"/>
        <v>0</v>
      </c>
      <c r="S164" s="67">
        <f t="shared" si="57"/>
        <v>0</v>
      </c>
      <c r="T164" s="67">
        <f t="shared" si="57"/>
        <v>0</v>
      </c>
      <c r="U164" s="67">
        <f t="shared" si="57"/>
        <v>0</v>
      </c>
      <c r="V164" s="67">
        <f t="shared" si="57"/>
        <v>0</v>
      </c>
      <c r="W164" s="67">
        <f t="shared" si="57"/>
        <v>0</v>
      </c>
      <c r="X164" s="67">
        <f t="shared" si="57"/>
        <v>0</v>
      </c>
      <c r="Y164" s="67">
        <f t="shared" si="57"/>
        <v>0</v>
      </c>
      <c r="Z164" s="67">
        <f t="shared" si="57"/>
        <v>0</v>
      </c>
    </row>
    <row r="165" spans="2:26" ht="15" customHeight="1" x14ac:dyDescent="0.3">
      <c r="C165" s="206" t="s">
        <v>142</v>
      </c>
    </row>
    <row r="166" spans="2:26" ht="15" customHeight="1" x14ac:dyDescent="0.3">
      <c r="C166" s="8" t="s">
        <v>124</v>
      </c>
      <c r="E166" s="28"/>
      <c r="F166" s="141" t="s">
        <v>109</v>
      </c>
      <c r="G166" s="60">
        <v>3500</v>
      </c>
      <c r="H166" s="60">
        <v>8000</v>
      </c>
      <c r="K166" s="23">
        <f>G166*H166/1000</f>
        <v>28000</v>
      </c>
    </row>
    <row r="167" spans="2:26" ht="15" customHeight="1" x14ac:dyDescent="0.3">
      <c r="C167" s="137" t="s">
        <v>112</v>
      </c>
      <c r="D167" s="91"/>
      <c r="E167" s="91"/>
      <c r="F167" s="91"/>
      <c r="G167" s="374">
        <f>SUM(G166:G166)</f>
        <v>3500</v>
      </c>
      <c r="H167" s="91"/>
      <c r="I167" s="91"/>
      <c r="J167" s="91"/>
      <c r="K167" s="207">
        <f>SUM(K166:K166)</f>
        <v>28000</v>
      </c>
      <c r="L167" s="67">
        <f t="shared" ref="L167:Z168" si="58">L$54*$K167</f>
        <v>0</v>
      </c>
      <c r="M167" s="67">
        <f t="shared" si="58"/>
        <v>2800</v>
      </c>
      <c r="N167" s="67">
        <f t="shared" si="58"/>
        <v>7000</v>
      </c>
      <c r="O167" s="67">
        <f t="shared" si="58"/>
        <v>8400</v>
      </c>
      <c r="P167" s="67">
        <f t="shared" si="58"/>
        <v>7000</v>
      </c>
      <c r="Q167" s="67">
        <f t="shared" si="58"/>
        <v>2800</v>
      </c>
      <c r="R167" s="67">
        <f t="shared" si="58"/>
        <v>0</v>
      </c>
      <c r="S167" s="67">
        <f t="shared" si="58"/>
        <v>0</v>
      </c>
      <c r="T167" s="67">
        <f t="shared" si="58"/>
        <v>0</v>
      </c>
      <c r="U167" s="67">
        <f t="shared" si="58"/>
        <v>0</v>
      </c>
      <c r="V167" s="67">
        <f t="shared" si="58"/>
        <v>0</v>
      </c>
      <c r="W167" s="67">
        <f t="shared" si="58"/>
        <v>0</v>
      </c>
      <c r="X167" s="67">
        <f t="shared" si="58"/>
        <v>0</v>
      </c>
      <c r="Y167" s="67">
        <f t="shared" si="58"/>
        <v>0</v>
      </c>
      <c r="Z167" s="67">
        <f t="shared" si="58"/>
        <v>0</v>
      </c>
    </row>
    <row r="168" spans="2:26" ht="15" customHeight="1" x14ac:dyDescent="0.3">
      <c r="C168" s="8" t="s">
        <v>146</v>
      </c>
      <c r="F168" s="141" t="s">
        <v>103</v>
      </c>
      <c r="G168" s="60">
        <v>0</v>
      </c>
      <c r="H168" s="60">
        <v>2500</v>
      </c>
      <c r="K168" s="23">
        <f>G168*H168/1000</f>
        <v>0</v>
      </c>
      <c r="L168" s="67">
        <f t="shared" si="58"/>
        <v>0</v>
      </c>
      <c r="M168" s="67">
        <f t="shared" si="58"/>
        <v>0</v>
      </c>
      <c r="N168" s="67">
        <f t="shared" si="58"/>
        <v>0</v>
      </c>
      <c r="O168" s="67">
        <f t="shared" si="58"/>
        <v>0</v>
      </c>
      <c r="P168" s="67">
        <f t="shared" si="58"/>
        <v>0</v>
      </c>
      <c r="Q168" s="67">
        <f t="shared" si="58"/>
        <v>0</v>
      </c>
      <c r="R168" s="67">
        <f t="shared" si="58"/>
        <v>0</v>
      </c>
      <c r="S168" s="67">
        <f t="shared" si="58"/>
        <v>0</v>
      </c>
      <c r="T168" s="67">
        <f t="shared" si="58"/>
        <v>0</v>
      </c>
      <c r="U168" s="67">
        <f t="shared" si="58"/>
        <v>0</v>
      </c>
      <c r="V168" s="67">
        <f t="shared" si="58"/>
        <v>0</v>
      </c>
      <c r="W168" s="67">
        <f t="shared" si="58"/>
        <v>0</v>
      </c>
      <c r="X168" s="67">
        <f t="shared" si="58"/>
        <v>0</v>
      </c>
      <c r="Y168" s="67">
        <f t="shared" si="58"/>
        <v>0</v>
      </c>
      <c r="Z168" s="67">
        <f t="shared" si="58"/>
        <v>0</v>
      </c>
    </row>
    <row r="169" spans="2:26" ht="15" customHeight="1" x14ac:dyDescent="0.3">
      <c r="C169" s="8" t="s">
        <v>95</v>
      </c>
      <c r="F169" s="141" t="s">
        <v>104</v>
      </c>
      <c r="G169" s="377">
        <f>G164</f>
        <v>232.26</v>
      </c>
      <c r="H169" s="379">
        <v>3000</v>
      </c>
      <c r="I169" s="378">
        <v>1</v>
      </c>
      <c r="K169" s="23">
        <f>G169*H169*I169/1000</f>
        <v>696.78</v>
      </c>
      <c r="L169" s="67">
        <f t="shared" ref="L169:Z169" si="59">L$55*$K169</f>
        <v>0</v>
      </c>
      <c r="M169" s="67">
        <f t="shared" si="59"/>
        <v>69.677999999999997</v>
      </c>
      <c r="N169" s="67">
        <f t="shared" si="59"/>
        <v>174.19499999999999</v>
      </c>
      <c r="O169" s="67">
        <f t="shared" si="59"/>
        <v>209.03399999999999</v>
      </c>
      <c r="P169" s="67">
        <f t="shared" si="59"/>
        <v>174.19499999999999</v>
      </c>
      <c r="Q169" s="67">
        <f t="shared" si="59"/>
        <v>69.677999999999997</v>
      </c>
      <c r="R169" s="67">
        <f t="shared" si="59"/>
        <v>0</v>
      </c>
      <c r="S169" s="67">
        <f t="shared" si="59"/>
        <v>0</v>
      </c>
      <c r="T169" s="67">
        <f t="shared" si="59"/>
        <v>0</v>
      </c>
      <c r="U169" s="67">
        <f t="shared" si="59"/>
        <v>0</v>
      </c>
      <c r="V169" s="67">
        <f t="shared" si="59"/>
        <v>0</v>
      </c>
      <c r="W169" s="67">
        <f t="shared" si="59"/>
        <v>0</v>
      </c>
      <c r="X169" s="67">
        <f t="shared" si="59"/>
        <v>0</v>
      </c>
      <c r="Y169" s="67">
        <f t="shared" si="59"/>
        <v>0</v>
      </c>
      <c r="Z169" s="67">
        <f t="shared" si="59"/>
        <v>0</v>
      </c>
    </row>
    <row r="170" spans="2:26" ht="15" customHeight="1" x14ac:dyDescent="0.3">
      <c r="C170" s="8" t="s">
        <v>96</v>
      </c>
      <c r="F170" s="141" t="s">
        <v>104</v>
      </c>
      <c r="G170" s="377">
        <f>G164</f>
        <v>232.26</v>
      </c>
      <c r="H170" s="379">
        <v>1700</v>
      </c>
      <c r="I170" s="5">
        <v>0.36029</v>
      </c>
      <c r="K170" s="23">
        <f>G170*H170*I170/1000</f>
        <v>142.25762418000002</v>
      </c>
      <c r="L170" s="67">
        <f t="shared" ref="L170:Z170" si="60">L$56*$K170</f>
        <v>0</v>
      </c>
      <c r="M170" s="67">
        <f t="shared" si="60"/>
        <v>14.225762418000002</v>
      </c>
      <c r="N170" s="67">
        <f t="shared" si="60"/>
        <v>35.564406045000005</v>
      </c>
      <c r="O170" s="67">
        <f t="shared" si="60"/>
        <v>42.677287254000007</v>
      </c>
      <c r="P170" s="67">
        <f t="shared" si="60"/>
        <v>35.564406045000005</v>
      </c>
      <c r="Q170" s="67">
        <f t="shared" si="60"/>
        <v>14.225762418000002</v>
      </c>
      <c r="R170" s="67">
        <f t="shared" si="60"/>
        <v>0</v>
      </c>
      <c r="S170" s="67">
        <f t="shared" si="60"/>
        <v>0</v>
      </c>
      <c r="T170" s="67">
        <f t="shared" si="60"/>
        <v>0</v>
      </c>
      <c r="U170" s="67">
        <f t="shared" si="60"/>
        <v>0</v>
      </c>
      <c r="V170" s="67">
        <f t="shared" si="60"/>
        <v>0</v>
      </c>
      <c r="W170" s="67">
        <f t="shared" si="60"/>
        <v>0</v>
      </c>
      <c r="X170" s="67">
        <f t="shared" si="60"/>
        <v>0</v>
      </c>
      <c r="Y170" s="67">
        <f t="shared" si="60"/>
        <v>0</v>
      </c>
      <c r="Z170" s="67">
        <f t="shared" si="60"/>
        <v>0</v>
      </c>
    </row>
    <row r="171" spans="2:26" ht="15" customHeight="1" x14ac:dyDescent="0.3">
      <c r="C171" s="8" t="s">
        <v>105</v>
      </c>
      <c r="F171" s="141" t="s">
        <v>106</v>
      </c>
      <c r="G171" s="377">
        <f>K167+K168+K169+K170</f>
        <v>28839.03762418</v>
      </c>
      <c r="I171" s="5">
        <v>0.02</v>
      </c>
      <c r="K171" s="23">
        <f>G171*I171</f>
        <v>576.78075248360005</v>
      </c>
      <c r="L171" s="67">
        <f t="shared" ref="L171:Z171" si="61">L$57*$K171</f>
        <v>0</v>
      </c>
      <c r="M171" s="67">
        <f t="shared" si="61"/>
        <v>57.67807524836001</v>
      </c>
      <c r="N171" s="67">
        <f t="shared" si="61"/>
        <v>144.19518812090001</v>
      </c>
      <c r="O171" s="67">
        <f t="shared" si="61"/>
        <v>173.03422574508002</v>
      </c>
      <c r="P171" s="67">
        <f t="shared" si="61"/>
        <v>144.19518812090001</v>
      </c>
      <c r="Q171" s="67">
        <f t="shared" si="61"/>
        <v>57.67807524836001</v>
      </c>
      <c r="R171" s="67">
        <f t="shared" si="61"/>
        <v>0</v>
      </c>
      <c r="S171" s="67">
        <f t="shared" si="61"/>
        <v>0</v>
      </c>
      <c r="T171" s="67">
        <f t="shared" si="61"/>
        <v>0</v>
      </c>
      <c r="U171" s="67">
        <f t="shared" si="61"/>
        <v>0</v>
      </c>
      <c r="V171" s="67">
        <f t="shared" si="61"/>
        <v>0</v>
      </c>
      <c r="W171" s="67">
        <f t="shared" si="61"/>
        <v>0</v>
      </c>
      <c r="X171" s="67">
        <f t="shared" si="61"/>
        <v>0</v>
      </c>
      <c r="Y171" s="67">
        <f t="shared" si="61"/>
        <v>0</v>
      </c>
      <c r="Z171" s="67">
        <f t="shared" si="61"/>
        <v>0</v>
      </c>
    </row>
    <row r="172" spans="2:26" ht="15" customHeight="1" x14ac:dyDescent="0.3">
      <c r="C172" s="8" t="s">
        <v>97</v>
      </c>
      <c r="F172" s="141" t="s">
        <v>107</v>
      </c>
      <c r="G172" s="377">
        <f>K167+K168</f>
        <v>28000</v>
      </c>
      <c r="I172" s="5">
        <v>0.15</v>
      </c>
      <c r="K172" s="23">
        <f>G172*I172</f>
        <v>4200</v>
      </c>
      <c r="L172" s="67">
        <f t="shared" ref="L172:Z172" si="62">L$58*$K172</f>
        <v>0</v>
      </c>
      <c r="M172" s="67">
        <f t="shared" si="62"/>
        <v>420</v>
      </c>
      <c r="N172" s="67">
        <f t="shared" si="62"/>
        <v>1050</v>
      </c>
      <c r="O172" s="67">
        <f t="shared" si="62"/>
        <v>1260</v>
      </c>
      <c r="P172" s="67">
        <f t="shared" si="62"/>
        <v>1050</v>
      </c>
      <c r="Q172" s="67">
        <f t="shared" si="62"/>
        <v>420</v>
      </c>
      <c r="R172" s="67">
        <f t="shared" si="62"/>
        <v>0</v>
      </c>
      <c r="S172" s="67">
        <f t="shared" si="62"/>
        <v>0</v>
      </c>
      <c r="T172" s="67">
        <f t="shared" si="62"/>
        <v>0</v>
      </c>
      <c r="U172" s="67">
        <f t="shared" si="62"/>
        <v>0</v>
      </c>
      <c r="V172" s="67">
        <f t="shared" si="62"/>
        <v>0</v>
      </c>
      <c r="W172" s="67">
        <f t="shared" si="62"/>
        <v>0</v>
      </c>
      <c r="X172" s="67">
        <f t="shared" si="62"/>
        <v>0</v>
      </c>
      <c r="Y172" s="67">
        <f t="shared" si="62"/>
        <v>0</v>
      </c>
      <c r="Z172" s="67">
        <f t="shared" si="62"/>
        <v>0</v>
      </c>
    </row>
    <row r="173" spans="2:26" ht="15" customHeight="1" x14ac:dyDescent="0.3">
      <c r="C173" s="8" t="s">
        <v>98</v>
      </c>
      <c r="F173" s="141" t="s">
        <v>131</v>
      </c>
      <c r="G173" s="370">
        <v>0</v>
      </c>
      <c r="I173" s="5">
        <v>0</v>
      </c>
      <c r="K173" s="23">
        <f>G173*I173</f>
        <v>0</v>
      </c>
      <c r="L173" s="67">
        <f t="shared" ref="L173:Z173" si="63">L$59*$K173</f>
        <v>0</v>
      </c>
      <c r="M173" s="67">
        <f t="shared" si="63"/>
        <v>0</v>
      </c>
      <c r="N173" s="67">
        <f t="shared" si="63"/>
        <v>0</v>
      </c>
      <c r="O173" s="67">
        <f t="shared" si="63"/>
        <v>0</v>
      </c>
      <c r="P173" s="67">
        <f t="shared" si="63"/>
        <v>0</v>
      </c>
      <c r="Q173" s="67">
        <f t="shared" si="63"/>
        <v>0</v>
      </c>
      <c r="R173" s="67">
        <f t="shared" si="63"/>
        <v>0</v>
      </c>
      <c r="S173" s="67">
        <f t="shared" si="63"/>
        <v>0</v>
      </c>
      <c r="T173" s="67">
        <f t="shared" si="63"/>
        <v>0</v>
      </c>
      <c r="U173" s="67">
        <f t="shared" si="63"/>
        <v>0</v>
      </c>
      <c r="V173" s="67">
        <f t="shared" si="63"/>
        <v>0</v>
      </c>
      <c r="W173" s="67">
        <f t="shared" si="63"/>
        <v>0</v>
      </c>
      <c r="X173" s="67">
        <f t="shared" si="63"/>
        <v>0</v>
      </c>
      <c r="Y173" s="67">
        <f t="shared" si="63"/>
        <v>0</v>
      </c>
      <c r="Z173" s="67">
        <f t="shared" si="63"/>
        <v>0</v>
      </c>
    </row>
    <row r="174" spans="2:26" ht="15" customHeight="1" x14ac:dyDescent="0.3">
      <c r="C174" s="8" t="s">
        <v>99</v>
      </c>
      <c r="F174" s="141" t="s">
        <v>107</v>
      </c>
      <c r="G174" s="377">
        <f>K167+K168</f>
        <v>28000</v>
      </c>
      <c r="I174" s="5">
        <v>7.4999999999999997E-2</v>
      </c>
      <c r="K174" s="23">
        <f>G174*I174</f>
        <v>2100</v>
      </c>
      <c r="L174" s="67">
        <f t="shared" ref="L174:Z174" si="64">L$60*$K174</f>
        <v>0</v>
      </c>
      <c r="M174" s="67">
        <f t="shared" si="64"/>
        <v>210</v>
      </c>
      <c r="N174" s="67">
        <f t="shared" si="64"/>
        <v>525</v>
      </c>
      <c r="O174" s="67">
        <f t="shared" si="64"/>
        <v>630</v>
      </c>
      <c r="P174" s="67">
        <f t="shared" si="64"/>
        <v>525</v>
      </c>
      <c r="Q174" s="67">
        <f t="shared" si="64"/>
        <v>210</v>
      </c>
      <c r="R174" s="67">
        <f t="shared" si="64"/>
        <v>0</v>
      </c>
      <c r="S174" s="67">
        <f t="shared" si="64"/>
        <v>0</v>
      </c>
      <c r="T174" s="67">
        <f t="shared" si="64"/>
        <v>0</v>
      </c>
      <c r="U174" s="67">
        <f t="shared" si="64"/>
        <v>0</v>
      </c>
      <c r="V174" s="67">
        <f t="shared" si="64"/>
        <v>0</v>
      </c>
      <c r="W174" s="67">
        <f t="shared" si="64"/>
        <v>0</v>
      </c>
      <c r="X174" s="67">
        <f t="shared" si="64"/>
        <v>0</v>
      </c>
      <c r="Y174" s="67">
        <f t="shared" si="64"/>
        <v>0</v>
      </c>
      <c r="Z174" s="67">
        <f t="shared" si="64"/>
        <v>0</v>
      </c>
    </row>
    <row r="175" spans="2:26" ht="15" customHeight="1" x14ac:dyDescent="0.3">
      <c r="B175" s="49"/>
      <c r="C175" s="49" t="s">
        <v>296</v>
      </c>
      <c r="D175" s="49"/>
      <c r="E175" s="49"/>
      <c r="F175" s="49"/>
      <c r="G175" s="49"/>
      <c r="H175" s="49"/>
      <c r="I175" s="49"/>
      <c r="J175" s="49"/>
      <c r="K175" s="54">
        <f t="shared" ref="K175:Z175" si="65">SUM(K167:K174)</f>
        <v>35715.818376663599</v>
      </c>
      <c r="L175" s="54">
        <f t="shared" si="65"/>
        <v>0</v>
      </c>
      <c r="M175" s="54">
        <f t="shared" si="65"/>
        <v>3571.5818376663601</v>
      </c>
      <c r="N175" s="54">
        <f t="shared" si="65"/>
        <v>8928.9545941658998</v>
      </c>
      <c r="O175" s="54">
        <f t="shared" si="65"/>
        <v>10714.745512999079</v>
      </c>
      <c r="P175" s="54">
        <f t="shared" si="65"/>
        <v>8928.9545941658998</v>
      </c>
      <c r="Q175" s="54">
        <f t="shared" si="65"/>
        <v>3571.5818376663601</v>
      </c>
      <c r="R175" s="54">
        <f t="shared" si="65"/>
        <v>0</v>
      </c>
      <c r="S175" s="54">
        <f t="shared" si="65"/>
        <v>0</v>
      </c>
      <c r="T175" s="54">
        <f t="shared" si="65"/>
        <v>0</v>
      </c>
      <c r="U175" s="54">
        <f t="shared" si="65"/>
        <v>0</v>
      </c>
      <c r="V175" s="54">
        <f t="shared" si="65"/>
        <v>0</v>
      </c>
      <c r="W175" s="54">
        <f t="shared" si="65"/>
        <v>0</v>
      </c>
      <c r="X175" s="54">
        <f t="shared" si="65"/>
        <v>0</v>
      </c>
      <c r="Y175" s="54">
        <f t="shared" si="65"/>
        <v>0</v>
      </c>
      <c r="Z175" s="54">
        <f t="shared" si="65"/>
        <v>0</v>
      </c>
    </row>
    <row r="176" spans="2:26" ht="15" customHeight="1" x14ac:dyDescent="0.3"/>
    <row r="177" spans="2:26" ht="15" customHeight="1" x14ac:dyDescent="0.3">
      <c r="B177" s="49"/>
      <c r="C177" s="49" t="s">
        <v>297</v>
      </c>
      <c r="D177" s="49"/>
      <c r="E177" s="49"/>
      <c r="F177" s="49"/>
      <c r="G177" s="49"/>
      <c r="H177" s="49"/>
      <c r="I177" s="49"/>
      <c r="J177" s="49"/>
      <c r="K177" s="54">
        <f t="shared" ref="K177:Z177" si="66">SUM(K164,K175)</f>
        <v>50051.427046755882</v>
      </c>
      <c r="L177" s="54">
        <f t="shared" si="66"/>
        <v>0</v>
      </c>
      <c r="M177" s="54">
        <f t="shared" si="66"/>
        <v>17907.190507758638</v>
      </c>
      <c r="N177" s="54">
        <f t="shared" si="66"/>
        <v>8928.9545941658998</v>
      </c>
      <c r="O177" s="54">
        <f t="shared" si="66"/>
        <v>10714.745512999079</v>
      </c>
      <c r="P177" s="54">
        <f t="shared" si="66"/>
        <v>8928.9545941658998</v>
      </c>
      <c r="Q177" s="54">
        <f t="shared" si="66"/>
        <v>3571.5818376663601</v>
      </c>
      <c r="R177" s="54">
        <f t="shared" si="66"/>
        <v>0</v>
      </c>
      <c r="S177" s="54">
        <f t="shared" si="66"/>
        <v>0</v>
      </c>
      <c r="T177" s="54">
        <f t="shared" si="66"/>
        <v>0</v>
      </c>
      <c r="U177" s="54">
        <f t="shared" si="66"/>
        <v>0</v>
      </c>
      <c r="V177" s="54">
        <f t="shared" si="66"/>
        <v>0</v>
      </c>
      <c r="W177" s="54">
        <f t="shared" si="66"/>
        <v>0</v>
      </c>
      <c r="X177" s="54">
        <f t="shared" si="66"/>
        <v>0</v>
      </c>
      <c r="Y177" s="54">
        <f t="shared" si="66"/>
        <v>0</v>
      </c>
      <c r="Z177" s="54">
        <f t="shared" si="66"/>
        <v>0</v>
      </c>
    </row>
    <row r="178" spans="2:26" ht="15" customHeight="1" x14ac:dyDescent="0.3"/>
    <row r="179" spans="2:26" ht="15" customHeight="1" x14ac:dyDescent="0.3">
      <c r="B179" s="52" t="s">
        <v>298</v>
      </c>
      <c r="C179" s="52"/>
      <c r="D179" s="52"/>
      <c r="E179" s="52"/>
      <c r="F179" s="52"/>
      <c r="G179" s="52"/>
      <c r="H179" s="52"/>
      <c r="I179" s="52"/>
      <c r="J179" s="52"/>
      <c r="K179" s="203">
        <f>SUM(K88,K106,K125,K143,K159,K175)</f>
        <v>3561464.4974854346</v>
      </c>
      <c r="L179" s="203">
        <f t="shared" ref="L179:Z179" si="67">SUM(L88,L106,L125,L143,L159)</f>
        <v>0</v>
      </c>
      <c r="M179" s="203">
        <f t="shared" si="67"/>
        <v>352574.86791087722</v>
      </c>
      <c r="N179" s="203">
        <f t="shared" si="67"/>
        <v>664372.74579600489</v>
      </c>
      <c r="O179" s="203">
        <f t="shared" si="67"/>
        <v>985369.79573890206</v>
      </c>
      <c r="P179" s="203">
        <f t="shared" si="67"/>
        <v>881437.16977719276</v>
      </c>
      <c r="Q179" s="203">
        <f t="shared" si="67"/>
        <v>569639.29189206508</v>
      </c>
      <c r="R179" s="203">
        <f t="shared" si="67"/>
        <v>72354.807993729308</v>
      </c>
      <c r="S179" s="203">
        <f t="shared" si="67"/>
        <v>0</v>
      </c>
      <c r="T179" s="203">
        <f t="shared" si="67"/>
        <v>0</v>
      </c>
      <c r="U179" s="203">
        <f t="shared" si="67"/>
        <v>0</v>
      </c>
      <c r="V179" s="203">
        <f t="shared" si="67"/>
        <v>0</v>
      </c>
      <c r="W179" s="203">
        <f t="shared" si="67"/>
        <v>0</v>
      </c>
      <c r="X179" s="203">
        <f t="shared" si="67"/>
        <v>0</v>
      </c>
      <c r="Y179" s="203">
        <f t="shared" si="67"/>
        <v>0</v>
      </c>
      <c r="Z179" s="203">
        <f t="shared" si="67"/>
        <v>0</v>
      </c>
    </row>
    <row r="180" spans="2:26" ht="15" customHeight="1" x14ac:dyDescent="0.3"/>
    <row r="181" spans="2:26" ht="15" customHeight="1" x14ac:dyDescent="0.3">
      <c r="B181" s="49" t="s">
        <v>300</v>
      </c>
      <c r="C181" s="49"/>
      <c r="D181" s="49"/>
      <c r="E181" s="49"/>
      <c r="F181" s="49"/>
      <c r="G181" s="49"/>
      <c r="H181" s="49"/>
      <c r="I181" s="49"/>
      <c r="J181" s="49"/>
      <c r="K181" s="54">
        <f>SUM(K75,K93,K111,K130,K148,K164)</f>
        <v>1350681.9178846832</v>
      </c>
      <c r="L181" s="54">
        <f t="shared" ref="L181:Z181" si="68">SUM(L75,L93,L111,L130,L148)</f>
        <v>0</v>
      </c>
      <c r="M181" s="54">
        <f t="shared" si="68"/>
        <v>1336346.309214591</v>
      </c>
      <c r="N181" s="54">
        <f t="shared" si="68"/>
        <v>0</v>
      </c>
      <c r="O181" s="54">
        <f t="shared" si="68"/>
        <v>0</v>
      </c>
      <c r="P181" s="54">
        <f t="shared" si="68"/>
        <v>0</v>
      </c>
      <c r="Q181" s="54">
        <f t="shared" si="68"/>
        <v>0</v>
      </c>
      <c r="R181" s="54">
        <f t="shared" si="68"/>
        <v>0</v>
      </c>
      <c r="S181" s="54">
        <f t="shared" si="68"/>
        <v>0</v>
      </c>
      <c r="T181" s="54">
        <f t="shared" si="68"/>
        <v>0</v>
      </c>
      <c r="U181" s="54">
        <f t="shared" si="68"/>
        <v>0</v>
      </c>
      <c r="V181" s="54">
        <f t="shared" si="68"/>
        <v>0</v>
      </c>
      <c r="W181" s="54">
        <f t="shared" si="68"/>
        <v>0</v>
      </c>
      <c r="X181" s="54">
        <f t="shared" si="68"/>
        <v>0</v>
      </c>
      <c r="Y181" s="54">
        <f t="shared" si="68"/>
        <v>0</v>
      </c>
      <c r="Z181" s="54">
        <f t="shared" si="68"/>
        <v>0</v>
      </c>
    </row>
    <row r="182" spans="2:26" ht="15" customHeight="1" x14ac:dyDescent="0.3"/>
    <row r="183" spans="2:26" ht="15" customHeight="1" x14ac:dyDescent="0.3">
      <c r="B183" s="52" t="s">
        <v>299</v>
      </c>
      <c r="C183" s="52"/>
      <c r="D183" s="52"/>
      <c r="E183" s="52"/>
      <c r="F183" s="52"/>
      <c r="G183" s="52"/>
      <c r="H183" s="52"/>
      <c r="I183" s="52"/>
      <c r="J183" s="52"/>
      <c r="K183" s="203">
        <f t="shared" ref="K183:Z183" si="69">SUM(K179,K181)</f>
        <v>4912146.4153701179</v>
      </c>
      <c r="L183" s="203">
        <f t="shared" si="69"/>
        <v>0</v>
      </c>
      <c r="M183" s="203">
        <f t="shared" si="69"/>
        <v>1688921.1771254684</v>
      </c>
      <c r="N183" s="203">
        <f t="shared" si="69"/>
        <v>664372.74579600489</v>
      </c>
      <c r="O183" s="203">
        <f t="shared" si="69"/>
        <v>985369.79573890206</v>
      </c>
      <c r="P183" s="203">
        <f t="shared" si="69"/>
        <v>881437.16977719276</v>
      </c>
      <c r="Q183" s="203">
        <f t="shared" si="69"/>
        <v>569639.29189206508</v>
      </c>
      <c r="R183" s="203">
        <f t="shared" si="69"/>
        <v>72354.807993729308</v>
      </c>
      <c r="S183" s="203">
        <f t="shared" si="69"/>
        <v>0</v>
      </c>
      <c r="T183" s="203">
        <f t="shared" si="69"/>
        <v>0</v>
      </c>
      <c r="U183" s="203">
        <f t="shared" si="69"/>
        <v>0</v>
      </c>
      <c r="V183" s="203">
        <f t="shared" si="69"/>
        <v>0</v>
      </c>
      <c r="W183" s="203">
        <f t="shared" si="69"/>
        <v>0</v>
      </c>
      <c r="X183" s="203">
        <f t="shared" si="69"/>
        <v>0</v>
      </c>
      <c r="Y183" s="203">
        <f t="shared" si="69"/>
        <v>0</v>
      </c>
      <c r="Z183" s="203">
        <f t="shared" si="69"/>
        <v>0</v>
      </c>
    </row>
    <row r="184" spans="2:26" ht="15" customHeight="1" x14ac:dyDescent="0.3"/>
    <row r="185" spans="2:26" ht="15" customHeight="1" x14ac:dyDescent="0.3">
      <c r="B185" s="52" t="s">
        <v>305</v>
      </c>
      <c r="C185" s="52"/>
      <c r="D185" s="52"/>
      <c r="E185" s="52"/>
      <c r="F185" s="52"/>
      <c r="G185" s="52"/>
      <c r="H185" s="52"/>
      <c r="I185" s="52"/>
      <c r="J185" s="52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spans="2:26" ht="15" customHeight="1" x14ac:dyDescent="0.3"/>
    <row r="187" spans="2:26" ht="15" customHeight="1" x14ac:dyDescent="0.3">
      <c r="C187" s="52" t="s">
        <v>303</v>
      </c>
      <c r="D187" s="52"/>
      <c r="E187" s="52"/>
      <c r="F187" s="52"/>
      <c r="G187" s="52"/>
      <c r="H187" s="52"/>
      <c r="I187" s="52"/>
      <c r="J187" s="52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spans="2:26" ht="15" customHeight="1" x14ac:dyDescent="0.3">
      <c r="C188" s="37" t="s">
        <v>34</v>
      </c>
    </row>
    <row r="189" spans="2:26" ht="15" customHeight="1" x14ac:dyDescent="0.3">
      <c r="C189" s="8" t="s">
        <v>48</v>
      </c>
      <c r="D189" s="180">
        <v>2</v>
      </c>
      <c r="K189" s="23">
        <f t="shared" ref="K189:K196" si="70">SUM(L189:Z189)</f>
        <v>1313606.6147425999</v>
      </c>
      <c r="L189" s="23">
        <f t="shared" ref="L189:Z189" si="71">L88</f>
        <v>0</v>
      </c>
      <c r="M189" s="23">
        <f t="shared" si="71"/>
        <v>131360.66147426001</v>
      </c>
      <c r="N189" s="23">
        <f t="shared" si="71"/>
        <v>328401.65368564997</v>
      </c>
      <c r="O189" s="23">
        <f t="shared" si="71"/>
        <v>394081.98442277987</v>
      </c>
      <c r="P189" s="23">
        <f t="shared" si="71"/>
        <v>328401.65368564997</v>
      </c>
      <c r="Q189" s="23">
        <f t="shared" si="71"/>
        <v>131360.66147426001</v>
      </c>
      <c r="R189" s="23">
        <f t="shared" si="71"/>
        <v>0</v>
      </c>
      <c r="S189" s="23">
        <f t="shared" si="71"/>
        <v>0</v>
      </c>
      <c r="T189" s="23">
        <f t="shared" si="71"/>
        <v>0</v>
      </c>
      <c r="U189" s="23">
        <f t="shared" si="71"/>
        <v>0</v>
      </c>
      <c r="V189" s="23">
        <f t="shared" si="71"/>
        <v>0</v>
      </c>
      <c r="W189" s="23">
        <f t="shared" si="71"/>
        <v>0</v>
      </c>
      <c r="X189" s="23">
        <f t="shared" si="71"/>
        <v>0</v>
      </c>
      <c r="Y189" s="23">
        <f t="shared" si="71"/>
        <v>0</v>
      </c>
      <c r="Z189" s="23">
        <f t="shared" si="71"/>
        <v>0</v>
      </c>
    </row>
    <row r="190" spans="2:26" ht="15" customHeight="1" x14ac:dyDescent="0.3">
      <c r="C190" s="8" t="s">
        <v>49</v>
      </c>
      <c r="D190" s="180">
        <v>3</v>
      </c>
      <c r="K190" s="23">
        <f t="shared" si="70"/>
        <v>1447096.1598745862</v>
      </c>
      <c r="L190" s="23">
        <f t="shared" ref="L190:Z190" si="72">L106</f>
        <v>0</v>
      </c>
      <c r="M190" s="23">
        <f t="shared" si="72"/>
        <v>144709.61598745862</v>
      </c>
      <c r="N190" s="23">
        <f t="shared" si="72"/>
        <v>144709.61598745862</v>
      </c>
      <c r="O190" s="23">
        <f t="shared" si="72"/>
        <v>361774.03996864648</v>
      </c>
      <c r="P190" s="23">
        <f t="shared" si="72"/>
        <v>361774.03996864648</v>
      </c>
      <c r="Q190" s="23">
        <f t="shared" si="72"/>
        <v>361774.03996864648</v>
      </c>
      <c r="R190" s="23">
        <f t="shared" si="72"/>
        <v>72354.807993729308</v>
      </c>
      <c r="S190" s="23">
        <f t="shared" si="72"/>
        <v>0</v>
      </c>
      <c r="T190" s="23">
        <f t="shared" si="72"/>
        <v>0</v>
      </c>
      <c r="U190" s="23">
        <f t="shared" si="72"/>
        <v>0</v>
      </c>
      <c r="V190" s="23">
        <f t="shared" si="72"/>
        <v>0</v>
      </c>
      <c r="W190" s="23">
        <f t="shared" si="72"/>
        <v>0</v>
      </c>
      <c r="X190" s="23">
        <f t="shared" si="72"/>
        <v>0</v>
      </c>
      <c r="Y190" s="23">
        <f t="shared" si="72"/>
        <v>0</v>
      </c>
      <c r="Z190" s="23">
        <f t="shared" si="72"/>
        <v>0</v>
      </c>
    </row>
    <row r="191" spans="2:26" ht="15" customHeight="1" x14ac:dyDescent="0.3">
      <c r="C191" s="8" t="s">
        <v>50</v>
      </c>
      <c r="D191" s="180">
        <v>2</v>
      </c>
      <c r="K191" s="23">
        <f t="shared" si="70"/>
        <v>443418.29399397696</v>
      </c>
      <c r="L191" s="23">
        <f t="shared" ref="L191:Z191" si="73">L125</f>
        <v>0</v>
      </c>
      <c r="M191" s="23">
        <f t="shared" si="73"/>
        <v>44341.829399397691</v>
      </c>
      <c r="N191" s="23">
        <f t="shared" si="73"/>
        <v>110854.57349849424</v>
      </c>
      <c r="O191" s="23">
        <f t="shared" si="73"/>
        <v>133025.48819819308</v>
      </c>
      <c r="P191" s="23">
        <f t="shared" si="73"/>
        <v>110854.57349849424</v>
      </c>
      <c r="Q191" s="23">
        <f t="shared" si="73"/>
        <v>44341.829399397691</v>
      </c>
      <c r="R191" s="23">
        <f t="shared" si="73"/>
        <v>0</v>
      </c>
      <c r="S191" s="23">
        <f t="shared" si="73"/>
        <v>0</v>
      </c>
      <c r="T191" s="23">
        <f t="shared" si="73"/>
        <v>0</v>
      </c>
      <c r="U191" s="23">
        <f t="shared" si="73"/>
        <v>0</v>
      </c>
      <c r="V191" s="23">
        <f t="shared" si="73"/>
        <v>0</v>
      </c>
      <c r="W191" s="23">
        <f t="shared" si="73"/>
        <v>0</v>
      </c>
      <c r="X191" s="23">
        <f t="shared" si="73"/>
        <v>0</v>
      </c>
      <c r="Y191" s="23">
        <f t="shared" si="73"/>
        <v>0</v>
      </c>
      <c r="Z191" s="23">
        <f t="shared" si="73"/>
        <v>0</v>
      </c>
    </row>
    <row r="192" spans="2:26" ht="15" customHeight="1" x14ac:dyDescent="0.3">
      <c r="C192" s="37" t="s">
        <v>35</v>
      </c>
      <c r="D192" s="138"/>
      <c r="K192" s="23">
        <f t="shared" si="70"/>
        <v>0</v>
      </c>
    </row>
    <row r="193" spans="3:26" ht="15" customHeight="1" x14ac:dyDescent="0.3">
      <c r="C193" s="8" t="s">
        <v>51</v>
      </c>
      <c r="D193" s="180">
        <v>2</v>
      </c>
      <c r="K193" s="23">
        <f t="shared" si="70"/>
        <v>245218.49779314047</v>
      </c>
      <c r="L193" s="23">
        <f t="shared" ref="L193:Z193" si="74">L143</f>
        <v>0</v>
      </c>
      <c r="M193" s="23">
        <f t="shared" si="74"/>
        <v>24521.849779314052</v>
      </c>
      <c r="N193" s="23">
        <f t="shared" si="74"/>
        <v>61304.624448285118</v>
      </c>
      <c r="O193" s="23">
        <f t="shared" si="74"/>
        <v>73565.549337942153</v>
      </c>
      <c r="P193" s="23">
        <f t="shared" si="74"/>
        <v>61304.624448285118</v>
      </c>
      <c r="Q193" s="23">
        <f t="shared" si="74"/>
        <v>24521.849779314052</v>
      </c>
      <c r="R193" s="23">
        <f t="shared" si="74"/>
        <v>0</v>
      </c>
      <c r="S193" s="23">
        <f t="shared" si="74"/>
        <v>0</v>
      </c>
      <c r="T193" s="23">
        <f t="shared" si="74"/>
        <v>0</v>
      </c>
      <c r="U193" s="23">
        <f t="shared" si="74"/>
        <v>0</v>
      </c>
      <c r="V193" s="23">
        <f t="shared" si="74"/>
        <v>0</v>
      </c>
      <c r="W193" s="23">
        <f t="shared" si="74"/>
        <v>0</v>
      </c>
      <c r="X193" s="23">
        <f t="shared" si="74"/>
        <v>0</v>
      </c>
      <c r="Y193" s="23">
        <f t="shared" si="74"/>
        <v>0</v>
      </c>
      <c r="Z193" s="23">
        <f t="shared" si="74"/>
        <v>0</v>
      </c>
    </row>
    <row r="194" spans="3:26" ht="15" customHeight="1" x14ac:dyDescent="0.3">
      <c r="C194" s="37" t="s">
        <v>36</v>
      </c>
      <c r="D194" s="138"/>
      <c r="K194" s="23">
        <f t="shared" si="70"/>
        <v>0</v>
      </c>
    </row>
    <row r="195" spans="3:26" ht="15" customHeight="1" x14ac:dyDescent="0.3">
      <c r="C195" s="84" t="s">
        <v>44</v>
      </c>
      <c r="D195" s="180">
        <v>2</v>
      </c>
      <c r="K195" s="23">
        <f t="shared" si="70"/>
        <v>76409.112704468105</v>
      </c>
      <c r="L195" s="23">
        <f t="shared" ref="L195:Z195" si="75">L159</f>
        <v>0</v>
      </c>
      <c r="M195" s="23">
        <f t="shared" si="75"/>
        <v>7640.9112704468098</v>
      </c>
      <c r="N195" s="23">
        <f t="shared" si="75"/>
        <v>19102.278176117026</v>
      </c>
      <c r="O195" s="23">
        <f t="shared" si="75"/>
        <v>22922.733811340429</v>
      </c>
      <c r="P195" s="23">
        <f t="shared" si="75"/>
        <v>19102.278176117026</v>
      </c>
      <c r="Q195" s="23">
        <f t="shared" si="75"/>
        <v>7640.9112704468098</v>
      </c>
      <c r="R195" s="23">
        <f t="shared" si="75"/>
        <v>0</v>
      </c>
      <c r="S195" s="23">
        <f t="shared" si="75"/>
        <v>0</v>
      </c>
      <c r="T195" s="23">
        <f t="shared" si="75"/>
        <v>0</v>
      </c>
      <c r="U195" s="23">
        <f t="shared" si="75"/>
        <v>0</v>
      </c>
      <c r="V195" s="23">
        <f t="shared" si="75"/>
        <v>0</v>
      </c>
      <c r="W195" s="23">
        <f t="shared" si="75"/>
        <v>0</v>
      </c>
      <c r="X195" s="23">
        <f t="shared" si="75"/>
        <v>0</v>
      </c>
      <c r="Y195" s="23">
        <f t="shared" si="75"/>
        <v>0</v>
      </c>
      <c r="Z195" s="23">
        <f t="shared" si="75"/>
        <v>0</v>
      </c>
    </row>
    <row r="196" spans="3:26" ht="15" customHeight="1" x14ac:dyDescent="0.3">
      <c r="C196" s="84" t="s">
        <v>44</v>
      </c>
      <c r="D196" s="180">
        <v>3</v>
      </c>
      <c r="K196" s="23">
        <f t="shared" si="70"/>
        <v>35715.818376663599</v>
      </c>
      <c r="L196" s="23">
        <f t="shared" ref="L196:Z196" si="76">L175</f>
        <v>0</v>
      </c>
      <c r="M196" s="23">
        <f t="shared" si="76"/>
        <v>3571.5818376663601</v>
      </c>
      <c r="N196" s="23">
        <f t="shared" si="76"/>
        <v>8928.9545941658998</v>
      </c>
      <c r="O196" s="23">
        <f t="shared" si="76"/>
        <v>10714.745512999079</v>
      </c>
      <c r="P196" s="23">
        <f t="shared" si="76"/>
        <v>8928.9545941658998</v>
      </c>
      <c r="Q196" s="23">
        <f t="shared" si="76"/>
        <v>3571.5818376663601</v>
      </c>
      <c r="R196" s="23">
        <f t="shared" si="76"/>
        <v>0</v>
      </c>
      <c r="S196" s="23">
        <f t="shared" si="76"/>
        <v>0</v>
      </c>
      <c r="T196" s="23">
        <f t="shared" si="76"/>
        <v>0</v>
      </c>
      <c r="U196" s="23">
        <f t="shared" si="76"/>
        <v>0</v>
      </c>
      <c r="V196" s="23">
        <f t="shared" si="76"/>
        <v>0</v>
      </c>
      <c r="W196" s="23">
        <f t="shared" si="76"/>
        <v>0</v>
      </c>
      <c r="X196" s="23">
        <f t="shared" si="76"/>
        <v>0</v>
      </c>
      <c r="Y196" s="23">
        <f t="shared" si="76"/>
        <v>0</v>
      </c>
      <c r="Z196" s="23">
        <f t="shared" si="76"/>
        <v>0</v>
      </c>
    </row>
    <row r="197" spans="3:26" ht="15" customHeight="1" x14ac:dyDescent="0.3">
      <c r="C197" s="52" t="s">
        <v>298</v>
      </c>
      <c r="D197" s="52"/>
      <c r="E197" s="52"/>
      <c r="F197" s="52"/>
      <c r="G197" s="52"/>
      <c r="H197" s="52"/>
      <c r="I197" s="52"/>
      <c r="J197" s="52"/>
      <c r="K197" s="203">
        <f t="shared" ref="K197:Z197" si="77">SUM(K189:K196)</f>
        <v>3561464.4974854346</v>
      </c>
      <c r="L197" s="203">
        <f t="shared" si="77"/>
        <v>0</v>
      </c>
      <c r="M197" s="203">
        <f t="shared" si="77"/>
        <v>356146.44974854356</v>
      </c>
      <c r="N197" s="203">
        <f t="shared" si="77"/>
        <v>673301.70039017079</v>
      </c>
      <c r="O197" s="203">
        <f t="shared" si="77"/>
        <v>996084.54125190119</v>
      </c>
      <c r="P197" s="203">
        <f t="shared" si="77"/>
        <v>890366.12437135866</v>
      </c>
      <c r="Q197" s="203">
        <f t="shared" si="77"/>
        <v>573210.87372973142</v>
      </c>
      <c r="R197" s="203">
        <f t="shared" si="77"/>
        <v>72354.807993729308</v>
      </c>
      <c r="S197" s="203">
        <f t="shared" si="77"/>
        <v>0</v>
      </c>
      <c r="T197" s="203">
        <f t="shared" si="77"/>
        <v>0</v>
      </c>
      <c r="U197" s="203">
        <f t="shared" si="77"/>
        <v>0</v>
      </c>
      <c r="V197" s="203">
        <f t="shared" si="77"/>
        <v>0</v>
      </c>
      <c r="W197" s="203">
        <f t="shared" si="77"/>
        <v>0</v>
      </c>
      <c r="X197" s="203">
        <f t="shared" si="77"/>
        <v>0</v>
      </c>
      <c r="Y197" s="203">
        <f t="shared" si="77"/>
        <v>0</v>
      </c>
      <c r="Z197" s="203">
        <f t="shared" si="77"/>
        <v>0</v>
      </c>
    </row>
    <row r="198" spans="3:26" ht="15" customHeight="1" x14ac:dyDescent="0.3">
      <c r="M198" s="24"/>
      <c r="N198" s="24"/>
      <c r="O198" s="24"/>
      <c r="P198" s="24"/>
      <c r="Q198" s="24"/>
      <c r="R198" s="24"/>
      <c r="S198" s="24"/>
    </row>
    <row r="199" spans="3:26" ht="15" customHeight="1" x14ac:dyDescent="0.3">
      <c r="C199" s="52" t="s">
        <v>304</v>
      </c>
      <c r="D199" s="52"/>
      <c r="E199" s="52"/>
      <c r="F199" s="52"/>
      <c r="G199" s="52"/>
      <c r="H199" s="52"/>
      <c r="I199" s="52"/>
      <c r="J199" s="52"/>
      <c r="K199" s="203"/>
      <c r="L199" s="203"/>
      <c r="M199" s="208"/>
      <c r="N199" s="208"/>
      <c r="O199" s="208"/>
      <c r="P199" s="208"/>
      <c r="Q199" s="208"/>
      <c r="R199" s="208"/>
      <c r="S199" s="208"/>
      <c r="T199" s="203"/>
      <c r="U199" s="203"/>
      <c r="V199" s="203"/>
      <c r="W199" s="203"/>
      <c r="X199" s="203"/>
      <c r="Y199" s="203"/>
      <c r="Z199" s="203"/>
    </row>
    <row r="200" spans="3:26" ht="15" customHeight="1" x14ac:dyDescent="0.3"/>
    <row r="201" spans="3:26" ht="15" customHeight="1" x14ac:dyDescent="0.3">
      <c r="C201" s="37" t="s">
        <v>34</v>
      </c>
    </row>
    <row r="202" spans="3:26" ht="15" customHeight="1" x14ac:dyDescent="0.3">
      <c r="C202" s="8" t="s">
        <v>48</v>
      </c>
      <c r="D202" s="180">
        <v>2</v>
      </c>
      <c r="K202" s="23">
        <f t="shared" ref="K202:K209" si="78">SUM(L202:Z202)</f>
        <v>562981.11655917158</v>
      </c>
      <c r="L202" s="23">
        <f t="shared" ref="L202:Z202" si="79">L75</f>
        <v>0</v>
      </c>
      <c r="M202" s="23">
        <f t="shared" si="79"/>
        <v>562981.11655917158</v>
      </c>
      <c r="N202" s="23">
        <f t="shared" si="79"/>
        <v>0</v>
      </c>
      <c r="O202" s="23">
        <f t="shared" si="79"/>
        <v>0</v>
      </c>
      <c r="P202" s="23">
        <f t="shared" si="79"/>
        <v>0</v>
      </c>
      <c r="Q202" s="23">
        <f t="shared" si="79"/>
        <v>0</v>
      </c>
      <c r="R202" s="23">
        <f t="shared" si="79"/>
        <v>0</v>
      </c>
      <c r="S202" s="23">
        <f t="shared" si="79"/>
        <v>0</v>
      </c>
      <c r="T202" s="23">
        <f t="shared" si="79"/>
        <v>0</v>
      </c>
      <c r="U202" s="23">
        <f t="shared" si="79"/>
        <v>0</v>
      </c>
      <c r="V202" s="23">
        <f t="shared" si="79"/>
        <v>0</v>
      </c>
      <c r="W202" s="23">
        <f t="shared" si="79"/>
        <v>0</v>
      </c>
      <c r="X202" s="23">
        <f t="shared" si="79"/>
        <v>0</v>
      </c>
      <c r="Y202" s="23">
        <f t="shared" si="79"/>
        <v>0</v>
      </c>
      <c r="Z202" s="23">
        <f t="shared" si="79"/>
        <v>0</v>
      </c>
    </row>
    <row r="203" spans="3:26" ht="15" customHeight="1" x14ac:dyDescent="0.3">
      <c r="C203" s="8" t="s">
        <v>49</v>
      </c>
      <c r="D203" s="180">
        <v>3</v>
      </c>
      <c r="K203" s="23">
        <f t="shared" si="78"/>
        <v>420559.14584056038</v>
      </c>
      <c r="L203" s="23">
        <f t="shared" ref="L203:Z203" si="80">L93</f>
        <v>0</v>
      </c>
      <c r="M203" s="23">
        <f t="shared" si="80"/>
        <v>420559.14584056038</v>
      </c>
      <c r="N203" s="23">
        <f t="shared" si="80"/>
        <v>0</v>
      </c>
      <c r="O203" s="23">
        <f t="shared" si="80"/>
        <v>0</v>
      </c>
      <c r="P203" s="23">
        <f t="shared" si="80"/>
        <v>0</v>
      </c>
      <c r="Q203" s="23">
        <f t="shared" si="80"/>
        <v>0</v>
      </c>
      <c r="R203" s="23">
        <f t="shared" si="80"/>
        <v>0</v>
      </c>
      <c r="S203" s="23">
        <f t="shared" si="80"/>
        <v>0</v>
      </c>
      <c r="T203" s="23">
        <f t="shared" si="80"/>
        <v>0</v>
      </c>
      <c r="U203" s="23">
        <f t="shared" si="80"/>
        <v>0</v>
      </c>
      <c r="V203" s="23">
        <f t="shared" si="80"/>
        <v>0</v>
      </c>
      <c r="W203" s="23">
        <f t="shared" si="80"/>
        <v>0</v>
      </c>
      <c r="X203" s="23">
        <f t="shared" si="80"/>
        <v>0</v>
      </c>
      <c r="Y203" s="23">
        <f t="shared" si="80"/>
        <v>0</v>
      </c>
      <c r="Z203" s="23">
        <f t="shared" si="80"/>
        <v>0</v>
      </c>
    </row>
    <row r="204" spans="3:26" ht="15" customHeight="1" x14ac:dyDescent="0.3">
      <c r="C204" s="8" t="s">
        <v>50</v>
      </c>
      <c r="D204" s="180">
        <v>2</v>
      </c>
      <c r="K204" s="23">
        <f t="shared" si="78"/>
        <v>205653.43118457054</v>
      </c>
      <c r="L204" s="23">
        <f t="shared" ref="L204:Z204" si="81">L111</f>
        <v>0</v>
      </c>
      <c r="M204" s="23">
        <f t="shared" si="81"/>
        <v>205653.43118457054</v>
      </c>
      <c r="N204" s="23">
        <f t="shared" si="81"/>
        <v>0</v>
      </c>
      <c r="O204" s="23">
        <f t="shared" si="81"/>
        <v>0</v>
      </c>
      <c r="P204" s="23">
        <f t="shared" si="81"/>
        <v>0</v>
      </c>
      <c r="Q204" s="23">
        <f t="shared" si="81"/>
        <v>0</v>
      </c>
      <c r="R204" s="23">
        <f t="shared" si="81"/>
        <v>0</v>
      </c>
      <c r="S204" s="23">
        <f t="shared" si="81"/>
        <v>0</v>
      </c>
      <c r="T204" s="23">
        <f t="shared" si="81"/>
        <v>0</v>
      </c>
      <c r="U204" s="23">
        <f t="shared" si="81"/>
        <v>0</v>
      </c>
      <c r="V204" s="23">
        <f t="shared" si="81"/>
        <v>0</v>
      </c>
      <c r="W204" s="23">
        <f t="shared" si="81"/>
        <v>0</v>
      </c>
      <c r="X204" s="23">
        <f t="shared" si="81"/>
        <v>0</v>
      </c>
      <c r="Y204" s="23">
        <f t="shared" si="81"/>
        <v>0</v>
      </c>
      <c r="Z204" s="23">
        <f t="shared" si="81"/>
        <v>0</v>
      </c>
    </row>
    <row r="205" spans="3:26" ht="15" customHeight="1" x14ac:dyDescent="0.3">
      <c r="C205" s="37" t="s">
        <v>35</v>
      </c>
      <c r="D205" s="138"/>
      <c r="K205" s="23">
        <f t="shared" si="78"/>
        <v>0</v>
      </c>
    </row>
    <row r="206" spans="3:26" ht="15" customHeight="1" x14ac:dyDescent="0.3">
      <c r="C206" s="8" t="s">
        <v>51</v>
      </c>
      <c r="D206" s="180">
        <v>2</v>
      </c>
      <c r="K206" s="23">
        <f t="shared" si="78"/>
        <v>101487.78760908351</v>
      </c>
      <c r="L206" s="23">
        <f t="shared" ref="L206:Z206" si="82">L130</f>
        <v>0</v>
      </c>
      <c r="M206" s="23">
        <f t="shared" si="82"/>
        <v>101487.78760908351</v>
      </c>
      <c r="N206" s="23">
        <f t="shared" si="82"/>
        <v>0</v>
      </c>
      <c r="O206" s="23">
        <f t="shared" si="82"/>
        <v>0</v>
      </c>
      <c r="P206" s="23">
        <f t="shared" si="82"/>
        <v>0</v>
      </c>
      <c r="Q206" s="23">
        <f t="shared" si="82"/>
        <v>0</v>
      </c>
      <c r="R206" s="23">
        <f t="shared" si="82"/>
        <v>0</v>
      </c>
      <c r="S206" s="23">
        <f t="shared" si="82"/>
        <v>0</v>
      </c>
      <c r="T206" s="23">
        <f t="shared" si="82"/>
        <v>0</v>
      </c>
      <c r="U206" s="23">
        <f t="shared" si="82"/>
        <v>0</v>
      </c>
      <c r="V206" s="23">
        <f t="shared" si="82"/>
        <v>0</v>
      </c>
      <c r="W206" s="23">
        <f t="shared" si="82"/>
        <v>0</v>
      </c>
      <c r="X206" s="23">
        <f t="shared" si="82"/>
        <v>0</v>
      </c>
      <c r="Y206" s="23">
        <f t="shared" si="82"/>
        <v>0</v>
      </c>
      <c r="Z206" s="23">
        <f t="shared" si="82"/>
        <v>0</v>
      </c>
    </row>
    <row r="207" spans="3:26" ht="15" customHeight="1" x14ac:dyDescent="0.3">
      <c r="C207" s="37" t="s">
        <v>36</v>
      </c>
      <c r="D207" s="138"/>
      <c r="K207" s="23">
        <f t="shared" si="78"/>
        <v>0</v>
      </c>
    </row>
    <row r="208" spans="3:26" ht="15" customHeight="1" x14ac:dyDescent="0.3">
      <c r="C208" s="84" t="s">
        <v>44</v>
      </c>
      <c r="D208" s="180">
        <v>2</v>
      </c>
      <c r="K208" s="23">
        <f t="shared" si="78"/>
        <v>45664.828021205067</v>
      </c>
      <c r="L208" s="23">
        <f t="shared" ref="L208:Z208" si="83">L148</f>
        <v>0</v>
      </c>
      <c r="M208" s="23">
        <f t="shared" si="83"/>
        <v>45664.828021205067</v>
      </c>
      <c r="N208" s="23">
        <f t="shared" si="83"/>
        <v>0</v>
      </c>
      <c r="O208" s="23">
        <f t="shared" si="83"/>
        <v>0</v>
      </c>
      <c r="P208" s="23">
        <f t="shared" si="83"/>
        <v>0</v>
      </c>
      <c r="Q208" s="23">
        <f t="shared" si="83"/>
        <v>0</v>
      </c>
      <c r="R208" s="23">
        <f t="shared" si="83"/>
        <v>0</v>
      </c>
      <c r="S208" s="23">
        <f t="shared" si="83"/>
        <v>0</v>
      </c>
      <c r="T208" s="23">
        <f t="shared" si="83"/>
        <v>0</v>
      </c>
      <c r="U208" s="23">
        <f t="shared" si="83"/>
        <v>0</v>
      </c>
      <c r="V208" s="23">
        <f t="shared" si="83"/>
        <v>0</v>
      </c>
      <c r="W208" s="23">
        <f t="shared" si="83"/>
        <v>0</v>
      </c>
      <c r="X208" s="23">
        <f t="shared" si="83"/>
        <v>0</v>
      </c>
      <c r="Y208" s="23">
        <f t="shared" si="83"/>
        <v>0</v>
      </c>
      <c r="Z208" s="23">
        <f t="shared" si="83"/>
        <v>0</v>
      </c>
    </row>
    <row r="209" spans="3:26" ht="15" customHeight="1" x14ac:dyDescent="0.3">
      <c r="C209" s="84" t="s">
        <v>44</v>
      </c>
      <c r="D209" s="180">
        <v>3</v>
      </c>
      <c r="K209" s="23">
        <f t="shared" si="78"/>
        <v>14335.608670092279</v>
      </c>
      <c r="L209" s="23">
        <f t="shared" ref="L209:Z209" si="84">L164</f>
        <v>0</v>
      </c>
      <c r="M209" s="23">
        <f t="shared" si="84"/>
        <v>14335.608670092279</v>
      </c>
      <c r="N209" s="23">
        <f t="shared" si="84"/>
        <v>0</v>
      </c>
      <c r="O209" s="23">
        <f t="shared" si="84"/>
        <v>0</v>
      </c>
      <c r="P209" s="23">
        <f t="shared" si="84"/>
        <v>0</v>
      </c>
      <c r="Q209" s="23">
        <f t="shared" si="84"/>
        <v>0</v>
      </c>
      <c r="R209" s="23">
        <f t="shared" si="84"/>
        <v>0</v>
      </c>
      <c r="S209" s="23">
        <f t="shared" si="84"/>
        <v>0</v>
      </c>
      <c r="T209" s="23">
        <f t="shared" si="84"/>
        <v>0</v>
      </c>
      <c r="U209" s="23">
        <f t="shared" si="84"/>
        <v>0</v>
      </c>
      <c r="V209" s="23">
        <f t="shared" si="84"/>
        <v>0</v>
      </c>
      <c r="W209" s="23">
        <f t="shared" si="84"/>
        <v>0</v>
      </c>
      <c r="X209" s="23">
        <f t="shared" si="84"/>
        <v>0</v>
      </c>
      <c r="Y209" s="23">
        <f t="shared" si="84"/>
        <v>0</v>
      </c>
      <c r="Z209" s="23">
        <f t="shared" si="84"/>
        <v>0</v>
      </c>
    </row>
    <row r="210" spans="3:26" ht="15" customHeight="1" x14ac:dyDescent="0.3">
      <c r="C210" s="52" t="s">
        <v>306</v>
      </c>
      <c r="D210" s="52"/>
      <c r="E210" s="52"/>
      <c r="F210" s="52"/>
      <c r="G210" s="52"/>
      <c r="H210" s="52"/>
      <c r="I210" s="52"/>
      <c r="J210" s="52"/>
      <c r="K210" s="203">
        <f t="shared" ref="K210:Z210" si="85">SUM(K202:K209)</f>
        <v>1350681.9178846832</v>
      </c>
      <c r="L210" s="203">
        <f t="shared" si="85"/>
        <v>0</v>
      </c>
      <c r="M210" s="203">
        <f t="shared" si="85"/>
        <v>1350681.9178846832</v>
      </c>
      <c r="N210" s="203">
        <f t="shared" si="85"/>
        <v>0</v>
      </c>
      <c r="O210" s="203">
        <f t="shared" si="85"/>
        <v>0</v>
      </c>
      <c r="P210" s="203">
        <f t="shared" si="85"/>
        <v>0</v>
      </c>
      <c r="Q210" s="203">
        <f t="shared" si="85"/>
        <v>0</v>
      </c>
      <c r="R210" s="203">
        <f t="shared" si="85"/>
        <v>0</v>
      </c>
      <c r="S210" s="203">
        <f t="shared" si="85"/>
        <v>0</v>
      </c>
      <c r="T210" s="203">
        <f t="shared" si="85"/>
        <v>0</v>
      </c>
      <c r="U210" s="203">
        <f t="shared" si="85"/>
        <v>0</v>
      </c>
      <c r="V210" s="203">
        <f t="shared" si="85"/>
        <v>0</v>
      </c>
      <c r="W210" s="203">
        <f t="shared" si="85"/>
        <v>0</v>
      </c>
      <c r="X210" s="203">
        <f t="shared" si="85"/>
        <v>0</v>
      </c>
      <c r="Y210" s="203">
        <f t="shared" si="85"/>
        <v>0</v>
      </c>
      <c r="Z210" s="203">
        <f t="shared" si="85"/>
        <v>0</v>
      </c>
    </row>
    <row r="211" spans="3:26" ht="15" customHeight="1" x14ac:dyDescent="0.3"/>
    <row r="212" spans="3:26" ht="15" customHeight="1" x14ac:dyDescent="0.3">
      <c r="C212" s="52" t="s">
        <v>307</v>
      </c>
      <c r="D212" s="52"/>
      <c r="E212" s="52"/>
      <c r="F212" s="52"/>
      <c r="G212" s="52"/>
      <c r="H212" s="52"/>
      <c r="I212" s="52"/>
      <c r="J212" s="52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spans="3:26" ht="15" customHeight="1" x14ac:dyDescent="0.3"/>
    <row r="214" spans="3:26" ht="15" customHeight="1" x14ac:dyDescent="0.3">
      <c r="C214" s="37" t="s">
        <v>34</v>
      </c>
    </row>
    <row r="215" spans="3:26" ht="15" customHeight="1" x14ac:dyDescent="0.3">
      <c r="C215" s="8" t="s">
        <v>48</v>
      </c>
      <c r="D215" s="180">
        <v>2</v>
      </c>
      <c r="K215" s="23">
        <f>SUM(L215:Z215)</f>
        <v>1876587.7313017715</v>
      </c>
      <c r="L215" s="23">
        <f t="shared" ref="L215:Z215" si="86">SUM(L189,L202)</f>
        <v>0</v>
      </c>
      <c r="M215" s="23">
        <f t="shared" si="86"/>
        <v>694341.77803343162</v>
      </c>
      <c r="N215" s="23">
        <f t="shared" si="86"/>
        <v>328401.65368564997</v>
      </c>
      <c r="O215" s="23">
        <f t="shared" si="86"/>
        <v>394081.98442277987</v>
      </c>
      <c r="P215" s="23">
        <f t="shared" si="86"/>
        <v>328401.65368564997</v>
      </c>
      <c r="Q215" s="23">
        <f t="shared" si="86"/>
        <v>131360.66147426001</v>
      </c>
      <c r="R215" s="23">
        <f t="shared" si="86"/>
        <v>0</v>
      </c>
      <c r="S215" s="23">
        <f t="shared" si="86"/>
        <v>0</v>
      </c>
      <c r="T215" s="23">
        <f t="shared" si="86"/>
        <v>0</v>
      </c>
      <c r="U215" s="23">
        <f t="shared" si="86"/>
        <v>0</v>
      </c>
      <c r="V215" s="23">
        <f t="shared" si="86"/>
        <v>0</v>
      </c>
      <c r="W215" s="23">
        <f t="shared" si="86"/>
        <v>0</v>
      </c>
      <c r="X215" s="23">
        <f t="shared" si="86"/>
        <v>0</v>
      </c>
      <c r="Y215" s="23">
        <f t="shared" si="86"/>
        <v>0</v>
      </c>
      <c r="Z215" s="23">
        <f t="shared" si="86"/>
        <v>0</v>
      </c>
    </row>
    <row r="216" spans="3:26" ht="15" customHeight="1" x14ac:dyDescent="0.3">
      <c r="C216" s="8" t="s">
        <v>49</v>
      </c>
      <c r="D216" s="180">
        <v>3</v>
      </c>
      <c r="K216" s="23">
        <f>SUM(L216:Z216)</f>
        <v>1867655.3057151467</v>
      </c>
      <c r="L216" s="23">
        <f t="shared" ref="L216:Z216" si="87">SUM(L190,L203)</f>
        <v>0</v>
      </c>
      <c r="M216" s="23">
        <f t="shared" si="87"/>
        <v>565268.76182801905</v>
      </c>
      <c r="N216" s="23">
        <f t="shared" si="87"/>
        <v>144709.61598745862</v>
      </c>
      <c r="O216" s="23">
        <f t="shared" si="87"/>
        <v>361774.03996864648</v>
      </c>
      <c r="P216" s="23">
        <f t="shared" si="87"/>
        <v>361774.03996864648</v>
      </c>
      <c r="Q216" s="23">
        <f t="shared" si="87"/>
        <v>361774.03996864648</v>
      </c>
      <c r="R216" s="23">
        <f t="shared" si="87"/>
        <v>72354.807993729308</v>
      </c>
      <c r="S216" s="23">
        <f t="shared" si="87"/>
        <v>0</v>
      </c>
      <c r="T216" s="23">
        <f t="shared" si="87"/>
        <v>0</v>
      </c>
      <c r="U216" s="23">
        <f t="shared" si="87"/>
        <v>0</v>
      </c>
      <c r="V216" s="23">
        <f t="shared" si="87"/>
        <v>0</v>
      </c>
      <c r="W216" s="23">
        <f t="shared" si="87"/>
        <v>0</v>
      </c>
      <c r="X216" s="23">
        <f t="shared" si="87"/>
        <v>0</v>
      </c>
      <c r="Y216" s="23">
        <f t="shared" si="87"/>
        <v>0</v>
      </c>
      <c r="Z216" s="23">
        <f t="shared" si="87"/>
        <v>0</v>
      </c>
    </row>
    <row r="217" spans="3:26" ht="15" customHeight="1" x14ac:dyDescent="0.3">
      <c r="C217" s="8" t="s">
        <v>50</v>
      </c>
      <c r="D217" s="180">
        <v>2</v>
      </c>
      <c r="K217" s="23">
        <f>SUM(L217:Z217)</f>
        <v>649071.72517854755</v>
      </c>
      <c r="L217" s="23">
        <f t="shared" ref="L217:Z217" si="88">SUM(L191,L204)</f>
        <v>0</v>
      </c>
      <c r="M217" s="23">
        <f t="shared" si="88"/>
        <v>249995.26058396822</v>
      </c>
      <c r="N217" s="23">
        <f t="shared" si="88"/>
        <v>110854.57349849424</v>
      </c>
      <c r="O217" s="23">
        <f t="shared" si="88"/>
        <v>133025.48819819308</v>
      </c>
      <c r="P217" s="23">
        <f t="shared" si="88"/>
        <v>110854.57349849424</v>
      </c>
      <c r="Q217" s="23">
        <f t="shared" si="88"/>
        <v>44341.829399397691</v>
      </c>
      <c r="R217" s="23">
        <f t="shared" si="88"/>
        <v>0</v>
      </c>
      <c r="S217" s="23">
        <f t="shared" si="88"/>
        <v>0</v>
      </c>
      <c r="T217" s="23">
        <f t="shared" si="88"/>
        <v>0</v>
      </c>
      <c r="U217" s="23">
        <f t="shared" si="88"/>
        <v>0</v>
      </c>
      <c r="V217" s="23">
        <f t="shared" si="88"/>
        <v>0</v>
      </c>
      <c r="W217" s="23">
        <f t="shared" si="88"/>
        <v>0</v>
      </c>
      <c r="X217" s="23">
        <f t="shared" si="88"/>
        <v>0</v>
      </c>
      <c r="Y217" s="23">
        <f t="shared" si="88"/>
        <v>0</v>
      </c>
      <c r="Z217" s="23">
        <f t="shared" si="88"/>
        <v>0</v>
      </c>
    </row>
    <row r="218" spans="3:26" ht="15" customHeight="1" x14ac:dyDescent="0.3">
      <c r="C218" s="37" t="s">
        <v>35</v>
      </c>
      <c r="D218" s="138"/>
    </row>
    <row r="219" spans="3:26" ht="15" customHeight="1" x14ac:dyDescent="0.3">
      <c r="C219" s="8" t="s">
        <v>51</v>
      </c>
      <c r="D219" s="180">
        <v>2</v>
      </c>
      <c r="K219" s="23">
        <f>SUM(L219:Z219)</f>
        <v>346706.28540222399</v>
      </c>
      <c r="L219" s="23">
        <f t="shared" ref="L219:Z219" si="89">SUM(L193,L206)</f>
        <v>0</v>
      </c>
      <c r="M219" s="23">
        <f t="shared" si="89"/>
        <v>126009.63738839756</v>
      </c>
      <c r="N219" s="23">
        <f t="shared" si="89"/>
        <v>61304.624448285118</v>
      </c>
      <c r="O219" s="23">
        <f t="shared" si="89"/>
        <v>73565.549337942153</v>
      </c>
      <c r="P219" s="23">
        <f t="shared" si="89"/>
        <v>61304.624448285118</v>
      </c>
      <c r="Q219" s="23">
        <f t="shared" si="89"/>
        <v>24521.849779314052</v>
      </c>
      <c r="R219" s="23">
        <f t="shared" si="89"/>
        <v>0</v>
      </c>
      <c r="S219" s="23">
        <f t="shared" si="89"/>
        <v>0</v>
      </c>
      <c r="T219" s="23">
        <f t="shared" si="89"/>
        <v>0</v>
      </c>
      <c r="U219" s="23">
        <f t="shared" si="89"/>
        <v>0</v>
      </c>
      <c r="V219" s="23">
        <f t="shared" si="89"/>
        <v>0</v>
      </c>
      <c r="W219" s="23">
        <f t="shared" si="89"/>
        <v>0</v>
      </c>
      <c r="X219" s="23">
        <f t="shared" si="89"/>
        <v>0</v>
      </c>
      <c r="Y219" s="23">
        <f t="shared" si="89"/>
        <v>0</v>
      </c>
      <c r="Z219" s="23">
        <f t="shared" si="89"/>
        <v>0</v>
      </c>
    </row>
    <row r="220" spans="3:26" ht="15" customHeight="1" x14ac:dyDescent="0.3">
      <c r="C220" s="37" t="s">
        <v>36</v>
      </c>
      <c r="D220" s="138"/>
    </row>
    <row r="221" spans="3:26" ht="15" customHeight="1" x14ac:dyDescent="0.3">
      <c r="C221" s="84" t="s">
        <v>44</v>
      </c>
      <c r="D221" s="180">
        <v>2</v>
      </c>
      <c r="K221" s="23">
        <f>SUM(L221:Z221)</f>
        <v>122073.94072567316</v>
      </c>
      <c r="L221" s="23">
        <f t="shared" ref="L221:Z221" si="90">SUM(L195,L208)</f>
        <v>0</v>
      </c>
      <c r="M221" s="23">
        <f t="shared" si="90"/>
        <v>53305.739291651873</v>
      </c>
      <c r="N221" s="23">
        <f t="shared" si="90"/>
        <v>19102.278176117026</v>
      </c>
      <c r="O221" s="23">
        <f t="shared" si="90"/>
        <v>22922.733811340429</v>
      </c>
      <c r="P221" s="23">
        <f t="shared" si="90"/>
        <v>19102.278176117026</v>
      </c>
      <c r="Q221" s="23">
        <f t="shared" si="90"/>
        <v>7640.9112704468098</v>
      </c>
      <c r="R221" s="23">
        <f t="shared" si="90"/>
        <v>0</v>
      </c>
      <c r="S221" s="23">
        <f t="shared" si="90"/>
        <v>0</v>
      </c>
      <c r="T221" s="23">
        <f t="shared" si="90"/>
        <v>0</v>
      </c>
      <c r="U221" s="23">
        <f t="shared" si="90"/>
        <v>0</v>
      </c>
      <c r="V221" s="23">
        <f t="shared" si="90"/>
        <v>0</v>
      </c>
      <c r="W221" s="23">
        <f t="shared" si="90"/>
        <v>0</v>
      </c>
      <c r="X221" s="23">
        <f t="shared" si="90"/>
        <v>0</v>
      </c>
      <c r="Y221" s="23">
        <f t="shared" si="90"/>
        <v>0</v>
      </c>
      <c r="Z221" s="23">
        <f t="shared" si="90"/>
        <v>0</v>
      </c>
    </row>
    <row r="222" spans="3:26" ht="15" customHeight="1" x14ac:dyDescent="0.3">
      <c r="C222" s="84" t="s">
        <v>44</v>
      </c>
      <c r="D222" s="180">
        <v>3</v>
      </c>
      <c r="K222" s="23">
        <f>SUM(L222:Z222)</f>
        <v>50051.427046755874</v>
      </c>
      <c r="L222" s="23">
        <f t="shared" ref="L222:Z222" si="91">SUM(L196,L209)</f>
        <v>0</v>
      </c>
      <c r="M222" s="23">
        <f t="shared" si="91"/>
        <v>17907.190507758638</v>
      </c>
      <c r="N222" s="23">
        <f t="shared" si="91"/>
        <v>8928.9545941658998</v>
      </c>
      <c r="O222" s="23">
        <f t="shared" si="91"/>
        <v>10714.745512999079</v>
      </c>
      <c r="P222" s="23">
        <f t="shared" si="91"/>
        <v>8928.9545941658998</v>
      </c>
      <c r="Q222" s="23">
        <f t="shared" si="91"/>
        <v>3571.5818376663601</v>
      </c>
      <c r="R222" s="23">
        <f t="shared" si="91"/>
        <v>0</v>
      </c>
      <c r="S222" s="23">
        <f t="shared" si="91"/>
        <v>0</v>
      </c>
      <c r="T222" s="23">
        <f t="shared" si="91"/>
        <v>0</v>
      </c>
      <c r="U222" s="23">
        <f t="shared" si="91"/>
        <v>0</v>
      </c>
      <c r="V222" s="23">
        <f t="shared" si="91"/>
        <v>0</v>
      </c>
      <c r="W222" s="23">
        <f t="shared" si="91"/>
        <v>0</v>
      </c>
      <c r="X222" s="23">
        <f t="shared" si="91"/>
        <v>0</v>
      </c>
      <c r="Y222" s="23">
        <f t="shared" si="91"/>
        <v>0</v>
      </c>
      <c r="Z222" s="23">
        <f t="shared" si="91"/>
        <v>0</v>
      </c>
    </row>
    <row r="223" spans="3:26" ht="15" customHeight="1" x14ac:dyDescent="0.3">
      <c r="C223" s="52" t="s">
        <v>306</v>
      </c>
      <c r="D223" s="52"/>
      <c r="E223" s="52"/>
      <c r="F223" s="52"/>
      <c r="G223" s="52"/>
      <c r="H223" s="52"/>
      <c r="I223" s="52"/>
      <c r="J223" s="52"/>
      <c r="K223" s="203">
        <f t="shared" ref="K223:Z223" si="92">SUM(K215:K222)</f>
        <v>4912146.4153701188</v>
      </c>
      <c r="L223" s="203">
        <f t="shared" si="92"/>
        <v>0</v>
      </c>
      <c r="M223" s="203">
        <f t="shared" si="92"/>
        <v>1706828.3676332268</v>
      </c>
      <c r="N223" s="203">
        <f t="shared" si="92"/>
        <v>673301.70039017079</v>
      </c>
      <c r="O223" s="203">
        <f t="shared" si="92"/>
        <v>996084.54125190119</v>
      </c>
      <c r="P223" s="203">
        <f t="shared" si="92"/>
        <v>890366.12437135866</v>
      </c>
      <c r="Q223" s="203">
        <f t="shared" si="92"/>
        <v>573210.87372973142</v>
      </c>
      <c r="R223" s="203">
        <f t="shared" si="92"/>
        <v>72354.807993729308</v>
      </c>
      <c r="S223" s="203">
        <f t="shared" si="92"/>
        <v>0</v>
      </c>
      <c r="T223" s="203">
        <f t="shared" si="92"/>
        <v>0</v>
      </c>
      <c r="U223" s="203">
        <f t="shared" si="92"/>
        <v>0</v>
      </c>
      <c r="V223" s="203">
        <f t="shared" si="92"/>
        <v>0</v>
      </c>
      <c r="W223" s="203">
        <f t="shared" si="92"/>
        <v>0</v>
      </c>
      <c r="X223" s="203">
        <f t="shared" si="92"/>
        <v>0</v>
      </c>
      <c r="Y223" s="203">
        <f t="shared" si="92"/>
        <v>0</v>
      </c>
      <c r="Z223" s="203">
        <f t="shared" si="92"/>
        <v>0</v>
      </c>
    </row>
    <row r="224" spans="3:26" ht="15" customHeight="1" x14ac:dyDescent="0.3"/>
    <row r="225" spans="2:26" ht="15" customHeight="1" x14ac:dyDescent="0.3"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2:26" ht="15" customHeight="1" x14ac:dyDescent="0.3"/>
    <row r="227" spans="2:26" ht="15" customHeight="1" x14ac:dyDescent="0.3">
      <c r="B227" s="209" t="s">
        <v>462</v>
      </c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</row>
    <row r="228" spans="2:26" ht="15" customHeight="1" x14ac:dyDescent="0.3">
      <c r="B228" s="210" t="s">
        <v>463</v>
      </c>
      <c r="C228" s="210"/>
      <c r="D228" s="210"/>
      <c r="E228" s="210"/>
      <c r="F228" s="210"/>
      <c r="G228" s="210"/>
      <c r="H228" s="210"/>
      <c r="I228" s="210"/>
      <c r="J228" s="210"/>
      <c r="K228" s="210"/>
      <c r="L228" s="210"/>
      <c r="M228" s="210"/>
      <c r="N228" s="210"/>
      <c r="O228" s="210"/>
      <c r="P228" s="210"/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</row>
    <row r="229" spans="2:26" ht="15" customHeight="1" x14ac:dyDescent="0.3">
      <c r="B229" s="211"/>
      <c r="C229" s="211"/>
      <c r="D229" s="211"/>
      <c r="E229" s="211"/>
      <c r="F229" s="211"/>
      <c r="G229" s="211"/>
      <c r="H229" s="211"/>
      <c r="I229" s="211"/>
      <c r="J229" s="211"/>
      <c r="K229" s="211"/>
      <c r="L229" s="211"/>
      <c r="M229" s="211"/>
      <c r="N229" s="211"/>
      <c r="O229" s="211"/>
      <c r="P229" s="211"/>
      <c r="Q229" s="211"/>
      <c r="R229" s="211"/>
      <c r="S229" s="211"/>
      <c r="T229" s="211"/>
      <c r="U229" s="211"/>
      <c r="V229" s="211"/>
      <c r="W229" s="211"/>
      <c r="X229" s="211"/>
      <c r="Y229" s="211"/>
      <c r="Z229" s="211"/>
    </row>
    <row r="230" spans="2:26" ht="15" customHeight="1" x14ac:dyDescent="0.3">
      <c r="B230" s="212" t="s">
        <v>464</v>
      </c>
      <c r="C230" s="212"/>
      <c r="D230" s="212"/>
      <c r="E230" s="212"/>
      <c r="F230" s="212"/>
      <c r="G230" s="212"/>
      <c r="H230" s="212"/>
      <c r="I230" s="212"/>
      <c r="J230" s="212"/>
      <c r="K230" s="212"/>
      <c r="L230" s="212"/>
      <c r="M230" s="212"/>
      <c r="N230" s="212"/>
      <c r="O230" s="212"/>
      <c r="P230" s="212"/>
      <c r="Q230" s="212"/>
      <c r="R230" s="212"/>
      <c r="S230" s="212"/>
      <c r="T230" s="212"/>
      <c r="U230" s="212"/>
      <c r="V230" s="212"/>
      <c r="W230" s="212"/>
      <c r="X230" s="212"/>
      <c r="Y230" s="212"/>
      <c r="Z230" s="212"/>
    </row>
    <row r="231" spans="2:26" ht="15" customHeight="1" x14ac:dyDescent="0.3">
      <c r="B231" s="211"/>
      <c r="C231" s="211" t="s">
        <v>465</v>
      </c>
      <c r="D231" s="211"/>
      <c r="E231" s="211"/>
      <c r="F231" s="211"/>
      <c r="G231" s="211"/>
      <c r="H231" s="213" t="s">
        <v>466</v>
      </c>
      <c r="I231" s="211"/>
      <c r="J231" s="211"/>
      <c r="K231" s="211"/>
      <c r="L231" s="211"/>
      <c r="M231" s="211"/>
      <c r="N231" s="211"/>
      <c r="O231" s="211"/>
      <c r="P231" s="211"/>
      <c r="Q231" s="211"/>
      <c r="R231" s="211"/>
      <c r="S231" s="211"/>
      <c r="T231" s="211"/>
      <c r="U231" s="211"/>
      <c r="V231" s="211"/>
      <c r="W231" s="211"/>
      <c r="X231" s="211"/>
      <c r="Y231" s="211"/>
      <c r="Z231" s="211"/>
    </row>
    <row r="232" spans="2:26" ht="15" customHeight="1" x14ac:dyDescent="0.3">
      <c r="B232" s="211"/>
      <c r="C232" s="211" t="s">
        <v>594</v>
      </c>
      <c r="D232" s="211"/>
      <c r="E232" s="211"/>
      <c r="F232" s="211"/>
      <c r="G232" s="211"/>
      <c r="H232" s="214">
        <v>25</v>
      </c>
      <c r="I232" s="211"/>
      <c r="J232" s="211"/>
      <c r="K232" s="211"/>
      <c r="L232" s="211"/>
      <c r="M232" s="211"/>
      <c r="N232" s="211"/>
      <c r="O232" s="211"/>
      <c r="P232" s="211"/>
      <c r="Q232" s="211"/>
      <c r="R232" s="211"/>
      <c r="S232" s="211"/>
      <c r="T232" s="211"/>
      <c r="U232" s="211"/>
      <c r="V232" s="211"/>
      <c r="W232" s="211"/>
      <c r="X232" s="211"/>
      <c r="Y232" s="211"/>
      <c r="Z232" s="211"/>
    </row>
    <row r="233" spans="2:26" ht="15" customHeight="1" x14ac:dyDescent="0.3">
      <c r="B233" s="211"/>
      <c r="C233" s="211" t="s">
        <v>595</v>
      </c>
      <c r="D233" s="211"/>
      <c r="E233" s="211"/>
      <c r="F233" s="211"/>
      <c r="G233" s="211"/>
      <c r="H233" s="214">
        <v>7</v>
      </c>
      <c r="I233" s="211"/>
      <c r="J233" s="211"/>
      <c r="K233" s="211"/>
      <c r="L233" s="211"/>
      <c r="M233" s="211"/>
      <c r="N233" s="211"/>
      <c r="O233" s="211"/>
      <c r="P233" s="211"/>
      <c r="Q233" s="211"/>
      <c r="R233" s="211"/>
      <c r="S233" s="211"/>
      <c r="T233" s="211"/>
      <c r="U233" s="211"/>
      <c r="V233" s="211"/>
      <c r="W233" s="211"/>
      <c r="X233" s="211"/>
      <c r="Y233" s="211"/>
      <c r="Z233" s="211"/>
    </row>
    <row r="234" spans="2:26" ht="15" customHeight="1" x14ac:dyDescent="0.3">
      <c r="B234" s="211"/>
      <c r="C234" s="211" t="s">
        <v>467</v>
      </c>
      <c r="D234" s="211"/>
      <c r="E234" s="211"/>
      <c r="F234" s="211"/>
      <c r="G234" s="211"/>
      <c r="H234" s="214">
        <v>0</v>
      </c>
      <c r="I234" s="211"/>
      <c r="J234" s="211"/>
      <c r="K234" s="211"/>
      <c r="L234" s="211"/>
      <c r="M234" s="211"/>
      <c r="N234" s="211"/>
      <c r="O234" s="211"/>
      <c r="P234" s="211"/>
      <c r="Q234" s="211"/>
      <c r="R234" s="211"/>
      <c r="S234" s="211"/>
      <c r="T234" s="211"/>
      <c r="U234" s="211"/>
      <c r="V234" s="211"/>
      <c r="W234" s="211"/>
      <c r="X234" s="211"/>
      <c r="Y234" s="211"/>
      <c r="Z234" s="211"/>
    </row>
    <row r="235" spans="2:26" ht="15" customHeight="1" x14ac:dyDescent="0.3">
      <c r="B235" s="211"/>
      <c r="C235" s="211" t="s">
        <v>596</v>
      </c>
      <c r="D235" s="211"/>
      <c r="E235" s="211"/>
      <c r="F235" s="211"/>
      <c r="G235" s="211"/>
      <c r="H235" s="215" t="s">
        <v>468</v>
      </c>
      <c r="I235" s="211"/>
      <c r="J235" s="211"/>
      <c r="K235" s="211"/>
      <c r="L235" s="211"/>
      <c r="M235" s="211"/>
      <c r="N235" s="211"/>
      <c r="O235" s="211"/>
      <c r="P235" s="211"/>
      <c r="Q235" s="211"/>
      <c r="R235" s="211"/>
      <c r="S235" s="211"/>
      <c r="T235" s="211"/>
      <c r="U235" s="211"/>
      <c r="V235" s="211"/>
      <c r="W235" s="211"/>
      <c r="X235" s="211"/>
      <c r="Y235" s="211"/>
      <c r="Z235" s="211"/>
    </row>
    <row r="236" spans="2:26" ht="15" customHeight="1" x14ac:dyDescent="0.3">
      <c r="B236" s="211"/>
      <c r="C236" s="211" t="s">
        <v>469</v>
      </c>
      <c r="D236" s="211"/>
      <c r="E236" s="211"/>
      <c r="F236" s="211"/>
      <c r="G236" s="211"/>
      <c r="H236" s="215" t="s">
        <v>501</v>
      </c>
      <c r="I236" s="211"/>
      <c r="J236" s="211"/>
      <c r="K236" s="211"/>
      <c r="L236" s="211"/>
      <c r="M236" s="211"/>
      <c r="N236" s="211"/>
      <c r="O236" s="211"/>
      <c r="P236" s="211"/>
      <c r="Q236" s="211"/>
      <c r="R236" s="211"/>
      <c r="S236" s="211"/>
      <c r="T236" s="211"/>
      <c r="U236" s="211"/>
      <c r="V236" s="211"/>
      <c r="W236" s="211"/>
      <c r="X236" s="211"/>
      <c r="Y236" s="211"/>
      <c r="Z236" s="211"/>
    </row>
    <row r="237" spans="2:26" ht="15" customHeight="1" x14ac:dyDescent="0.3">
      <c r="B237" s="211"/>
      <c r="C237" s="211" t="s">
        <v>470</v>
      </c>
      <c r="D237" s="211"/>
      <c r="E237" s="211"/>
      <c r="F237" s="211"/>
      <c r="G237" s="211"/>
      <c r="H237" s="214">
        <v>2031</v>
      </c>
      <c r="I237" s="211"/>
      <c r="J237" s="211"/>
      <c r="K237" s="211"/>
      <c r="L237" s="211"/>
      <c r="M237" s="211"/>
      <c r="N237" s="211"/>
      <c r="O237" s="211"/>
      <c r="P237" s="211"/>
      <c r="Q237" s="211"/>
      <c r="R237" s="211"/>
      <c r="S237" s="211"/>
      <c r="T237" s="211"/>
      <c r="U237" s="211"/>
      <c r="V237" s="211"/>
      <c r="W237" s="211"/>
      <c r="X237" s="211"/>
      <c r="Y237" s="211"/>
      <c r="Z237" s="211"/>
    </row>
    <row r="238" spans="2:26" ht="15" customHeight="1" x14ac:dyDescent="0.3">
      <c r="B238" s="211"/>
      <c r="C238" s="211"/>
      <c r="D238" s="211"/>
      <c r="E238" s="211"/>
      <c r="F238" s="211"/>
      <c r="G238" s="211"/>
      <c r="H238" s="211"/>
      <c r="I238" s="211"/>
      <c r="J238" s="211"/>
      <c r="K238" s="211"/>
      <c r="L238" s="211"/>
      <c r="M238" s="211"/>
      <c r="N238" s="211"/>
      <c r="O238" s="211"/>
      <c r="P238" s="211"/>
      <c r="Q238" s="211"/>
      <c r="R238" s="211"/>
      <c r="S238" s="211"/>
      <c r="T238" s="211"/>
      <c r="U238" s="211"/>
      <c r="V238" s="211"/>
      <c r="W238" s="211"/>
      <c r="X238" s="211"/>
      <c r="Y238" s="211"/>
      <c r="Z238" s="211"/>
    </row>
    <row r="239" spans="2:26" ht="15" customHeight="1" x14ac:dyDescent="0.3">
      <c r="B239" s="212" t="s">
        <v>471</v>
      </c>
      <c r="C239" s="212"/>
      <c r="D239" s="212"/>
      <c r="E239" s="212"/>
      <c r="F239" s="212"/>
      <c r="G239" s="212"/>
      <c r="H239" s="212"/>
      <c r="I239" s="212"/>
      <c r="J239" s="212"/>
      <c r="K239" s="212"/>
      <c r="L239" s="212"/>
      <c r="M239" s="212"/>
      <c r="N239" s="212"/>
      <c r="O239" s="212"/>
      <c r="P239" s="212"/>
      <c r="Q239" s="212"/>
      <c r="R239" s="212"/>
      <c r="S239" s="212"/>
      <c r="T239" s="212"/>
      <c r="U239" s="212"/>
      <c r="V239" s="212"/>
      <c r="W239" s="212"/>
      <c r="X239" s="212"/>
      <c r="Y239" s="212"/>
      <c r="Z239" s="212"/>
    </row>
    <row r="240" spans="2:26" ht="15" customHeight="1" x14ac:dyDescent="0.3">
      <c r="B240" s="212"/>
      <c r="C240" s="212" t="s">
        <v>322</v>
      </c>
      <c r="D240" s="216" t="s">
        <v>43</v>
      </c>
      <c r="E240" s="216" t="s">
        <v>472</v>
      </c>
      <c r="F240" s="216" t="s">
        <v>473</v>
      </c>
      <c r="G240" s="216" t="s">
        <v>474</v>
      </c>
      <c r="H240" s="216"/>
      <c r="I240" s="216"/>
      <c r="J240" s="216"/>
      <c r="K240" s="217" t="s">
        <v>509</v>
      </c>
      <c r="L240" s="216" t="s">
        <v>23</v>
      </c>
      <c r="M240" s="218">
        <f t="shared" ref="M240:Z240" si="93">M4</f>
        <v>2026</v>
      </c>
      <c r="N240" s="218">
        <f t="shared" si="93"/>
        <v>2027</v>
      </c>
      <c r="O240" s="218">
        <f t="shared" si="93"/>
        <v>2028</v>
      </c>
      <c r="P240" s="218">
        <f t="shared" si="93"/>
        <v>2029</v>
      </c>
      <c r="Q240" s="218">
        <f t="shared" si="93"/>
        <v>2030</v>
      </c>
      <c r="R240" s="218">
        <f t="shared" si="93"/>
        <v>2031</v>
      </c>
      <c r="S240" s="218">
        <f t="shared" si="93"/>
        <v>2032</v>
      </c>
      <c r="T240" s="218">
        <f t="shared" si="93"/>
        <v>2033</v>
      </c>
      <c r="U240" s="218">
        <f t="shared" si="93"/>
        <v>2034</v>
      </c>
      <c r="V240" s="218">
        <f t="shared" si="93"/>
        <v>2035</v>
      </c>
      <c r="W240" s="218">
        <f t="shared" si="93"/>
        <v>2036</v>
      </c>
      <c r="X240" s="218">
        <f t="shared" si="93"/>
        <v>2037</v>
      </c>
      <c r="Y240" s="218">
        <f t="shared" si="93"/>
        <v>2038</v>
      </c>
      <c r="Z240" s="218">
        <f t="shared" si="93"/>
        <v>2039</v>
      </c>
    </row>
    <row r="241" spans="2:26" ht="15" customHeight="1" x14ac:dyDescent="0.3">
      <c r="B241" s="211"/>
      <c r="C241" s="219" t="s">
        <v>597</v>
      </c>
      <c r="D241" s="211"/>
      <c r="E241" s="211"/>
      <c r="F241" s="211"/>
      <c r="G241" s="211"/>
      <c r="H241" s="211"/>
      <c r="I241" s="211"/>
      <c r="J241" s="211"/>
      <c r="K241" s="211"/>
      <c r="L241" s="211"/>
      <c r="M241" s="211"/>
      <c r="N241" s="211"/>
      <c r="O241" s="211"/>
      <c r="P241" s="211"/>
      <c r="Q241" s="211"/>
      <c r="R241" s="211"/>
      <c r="S241" s="211"/>
      <c r="T241" s="211"/>
      <c r="U241" s="211"/>
      <c r="V241" s="211"/>
      <c r="W241" s="211"/>
      <c r="X241" s="211"/>
      <c r="Y241" s="211"/>
      <c r="Z241" s="211"/>
    </row>
    <row r="242" spans="2:26" ht="15" customHeight="1" x14ac:dyDescent="0.3">
      <c r="B242" s="211"/>
      <c r="C242" s="211" t="s">
        <v>475</v>
      </c>
      <c r="D242" s="220">
        <v>2</v>
      </c>
      <c r="E242" s="220">
        <v>25</v>
      </c>
      <c r="F242" s="221" t="s">
        <v>476</v>
      </c>
      <c r="G242" s="221" t="s">
        <v>477</v>
      </c>
      <c r="H242" s="211"/>
      <c r="I242" s="211"/>
      <c r="J242" s="211"/>
      <c r="K242" s="222">
        <f>K202</f>
        <v>562981.11655917158</v>
      </c>
      <c r="L242" s="223">
        <f>SUM(M242:Z242)</f>
        <v>1313606.6147425999</v>
      </c>
      <c r="M242" s="223">
        <f t="shared" ref="M242:Z242" si="94">M189</f>
        <v>131360.66147426001</v>
      </c>
      <c r="N242" s="223">
        <f t="shared" si="94"/>
        <v>328401.65368564997</v>
      </c>
      <c r="O242" s="223">
        <f t="shared" si="94"/>
        <v>394081.98442277987</v>
      </c>
      <c r="P242" s="223">
        <f t="shared" si="94"/>
        <v>328401.65368564997</v>
      </c>
      <c r="Q242" s="223">
        <f t="shared" si="94"/>
        <v>131360.66147426001</v>
      </c>
      <c r="R242" s="223">
        <f t="shared" si="94"/>
        <v>0</v>
      </c>
      <c r="S242" s="223">
        <f t="shared" si="94"/>
        <v>0</v>
      </c>
      <c r="T242" s="223">
        <f t="shared" si="94"/>
        <v>0</v>
      </c>
      <c r="U242" s="223">
        <f t="shared" si="94"/>
        <v>0</v>
      </c>
      <c r="V242" s="223">
        <f t="shared" si="94"/>
        <v>0</v>
      </c>
      <c r="W242" s="223">
        <f t="shared" si="94"/>
        <v>0</v>
      </c>
      <c r="X242" s="223">
        <f t="shared" si="94"/>
        <v>0</v>
      </c>
      <c r="Y242" s="223">
        <f t="shared" si="94"/>
        <v>0</v>
      </c>
      <c r="Z242" s="223">
        <f t="shared" si="94"/>
        <v>0</v>
      </c>
    </row>
    <row r="243" spans="2:26" ht="15" customHeight="1" x14ac:dyDescent="0.3">
      <c r="B243" s="211"/>
      <c r="C243" s="211" t="s">
        <v>478</v>
      </c>
      <c r="D243" s="220">
        <v>3</v>
      </c>
      <c r="E243" s="220">
        <v>25</v>
      </c>
      <c r="F243" s="221" t="s">
        <v>476</v>
      </c>
      <c r="G243" s="221" t="s">
        <v>477</v>
      </c>
      <c r="H243" s="211"/>
      <c r="I243" s="211"/>
      <c r="J243" s="211"/>
      <c r="K243" s="222">
        <f>K203</f>
        <v>420559.14584056038</v>
      </c>
      <c r="L243" s="223">
        <f>SUM(M243:Z243)</f>
        <v>1447096.1598745862</v>
      </c>
      <c r="M243" s="223">
        <f t="shared" ref="M243:Z243" si="95">M190</f>
        <v>144709.61598745862</v>
      </c>
      <c r="N243" s="223">
        <f t="shared" si="95"/>
        <v>144709.61598745862</v>
      </c>
      <c r="O243" s="223">
        <f t="shared" si="95"/>
        <v>361774.03996864648</v>
      </c>
      <c r="P243" s="223">
        <f t="shared" si="95"/>
        <v>361774.03996864648</v>
      </c>
      <c r="Q243" s="223">
        <f t="shared" si="95"/>
        <v>361774.03996864648</v>
      </c>
      <c r="R243" s="223">
        <f t="shared" si="95"/>
        <v>72354.807993729308</v>
      </c>
      <c r="S243" s="223">
        <f t="shared" si="95"/>
        <v>0</v>
      </c>
      <c r="T243" s="223">
        <f t="shared" si="95"/>
        <v>0</v>
      </c>
      <c r="U243" s="223">
        <f t="shared" si="95"/>
        <v>0</v>
      </c>
      <c r="V243" s="223">
        <f t="shared" si="95"/>
        <v>0</v>
      </c>
      <c r="W243" s="223">
        <f t="shared" si="95"/>
        <v>0</v>
      </c>
      <c r="X243" s="223">
        <f t="shared" si="95"/>
        <v>0</v>
      </c>
      <c r="Y243" s="223">
        <f t="shared" si="95"/>
        <v>0</v>
      </c>
      <c r="Z243" s="223">
        <f t="shared" si="95"/>
        <v>0</v>
      </c>
    </row>
    <row r="244" spans="2:26" ht="15" customHeight="1" x14ac:dyDescent="0.3">
      <c r="B244" s="211"/>
      <c r="C244" s="211" t="s">
        <v>479</v>
      </c>
      <c r="D244" s="220">
        <v>2</v>
      </c>
      <c r="E244" s="220">
        <v>25</v>
      </c>
      <c r="F244" s="221" t="s">
        <v>476</v>
      </c>
      <c r="G244" s="221" t="s">
        <v>477</v>
      </c>
      <c r="H244" s="211"/>
      <c r="I244" s="211"/>
      <c r="J244" s="211"/>
      <c r="K244" s="222">
        <f>K204</f>
        <v>205653.43118457054</v>
      </c>
      <c r="L244" s="223">
        <f>SUM(M244:Z244)</f>
        <v>443418.29399397696</v>
      </c>
      <c r="M244" s="223">
        <f t="shared" ref="M244:Z244" si="96">M191</f>
        <v>44341.829399397691</v>
      </c>
      <c r="N244" s="223">
        <f t="shared" si="96"/>
        <v>110854.57349849424</v>
      </c>
      <c r="O244" s="223">
        <f t="shared" si="96"/>
        <v>133025.48819819308</v>
      </c>
      <c r="P244" s="223">
        <f t="shared" si="96"/>
        <v>110854.57349849424</v>
      </c>
      <c r="Q244" s="223">
        <f t="shared" si="96"/>
        <v>44341.829399397691</v>
      </c>
      <c r="R244" s="223">
        <f t="shared" si="96"/>
        <v>0</v>
      </c>
      <c r="S244" s="223">
        <f t="shared" si="96"/>
        <v>0</v>
      </c>
      <c r="T244" s="223">
        <f t="shared" si="96"/>
        <v>0</v>
      </c>
      <c r="U244" s="223">
        <f t="shared" si="96"/>
        <v>0</v>
      </c>
      <c r="V244" s="223">
        <f t="shared" si="96"/>
        <v>0</v>
      </c>
      <c r="W244" s="223">
        <f t="shared" si="96"/>
        <v>0</v>
      </c>
      <c r="X244" s="223">
        <f t="shared" si="96"/>
        <v>0</v>
      </c>
      <c r="Y244" s="223">
        <f t="shared" si="96"/>
        <v>0</v>
      </c>
      <c r="Z244" s="223">
        <f t="shared" si="96"/>
        <v>0</v>
      </c>
    </row>
    <row r="245" spans="2:26" ht="15" customHeight="1" x14ac:dyDescent="0.3">
      <c r="B245" s="211"/>
      <c r="C245" s="219" t="s">
        <v>480</v>
      </c>
      <c r="D245" s="211"/>
      <c r="E245" s="211"/>
      <c r="F245" s="211"/>
      <c r="G245" s="211"/>
      <c r="H245" s="211"/>
      <c r="I245" s="211"/>
      <c r="J245" s="211"/>
      <c r="K245" s="211"/>
      <c r="L245" s="211"/>
      <c r="M245" s="211"/>
      <c r="N245" s="211"/>
      <c r="O245" s="211"/>
      <c r="P245" s="211"/>
      <c r="Q245" s="211"/>
      <c r="R245" s="211"/>
      <c r="S245" s="211"/>
      <c r="T245" s="211"/>
      <c r="U245" s="211"/>
      <c r="V245" s="211"/>
      <c r="W245" s="211"/>
      <c r="X245" s="211"/>
      <c r="Y245" s="211"/>
      <c r="Z245" s="211"/>
    </row>
    <row r="246" spans="2:26" ht="15" customHeight="1" x14ac:dyDescent="0.3">
      <c r="B246" s="211"/>
      <c r="C246" s="211" t="s">
        <v>481</v>
      </c>
      <c r="D246" s="220">
        <v>2</v>
      </c>
      <c r="E246" s="220">
        <v>25</v>
      </c>
      <c r="F246" s="220">
        <v>2031</v>
      </c>
      <c r="G246" s="221" t="s">
        <v>482</v>
      </c>
      <c r="H246" s="211"/>
      <c r="I246" s="211"/>
      <c r="J246" s="211"/>
      <c r="K246" s="222">
        <f>K206</f>
        <v>101487.78760908351</v>
      </c>
      <c r="L246" s="223">
        <f>SUM(M246:Z246)</f>
        <v>245218.49779314047</v>
      </c>
      <c r="M246" s="223">
        <f t="shared" ref="M246:Z246" si="97">M193</f>
        <v>24521.849779314052</v>
      </c>
      <c r="N246" s="223">
        <f t="shared" si="97"/>
        <v>61304.624448285118</v>
      </c>
      <c r="O246" s="223">
        <f t="shared" si="97"/>
        <v>73565.549337942153</v>
      </c>
      <c r="P246" s="223">
        <f t="shared" si="97"/>
        <v>61304.624448285118</v>
      </c>
      <c r="Q246" s="223">
        <f t="shared" si="97"/>
        <v>24521.849779314052</v>
      </c>
      <c r="R246" s="223">
        <f t="shared" si="97"/>
        <v>0</v>
      </c>
      <c r="S246" s="223">
        <f t="shared" si="97"/>
        <v>0</v>
      </c>
      <c r="T246" s="223">
        <f t="shared" si="97"/>
        <v>0</v>
      </c>
      <c r="U246" s="223">
        <f t="shared" si="97"/>
        <v>0</v>
      </c>
      <c r="V246" s="223">
        <f t="shared" si="97"/>
        <v>0</v>
      </c>
      <c r="W246" s="223">
        <f t="shared" si="97"/>
        <v>0</v>
      </c>
      <c r="X246" s="223">
        <f t="shared" si="97"/>
        <v>0</v>
      </c>
      <c r="Y246" s="223">
        <f t="shared" si="97"/>
        <v>0</v>
      </c>
      <c r="Z246" s="223">
        <f t="shared" si="97"/>
        <v>0</v>
      </c>
    </row>
    <row r="247" spans="2:26" ht="15" customHeight="1" x14ac:dyDescent="0.3">
      <c r="B247" s="211"/>
      <c r="C247" s="219" t="s">
        <v>483</v>
      </c>
      <c r="D247" s="211"/>
      <c r="E247" s="211"/>
      <c r="F247" s="211"/>
      <c r="G247" s="211"/>
      <c r="H247" s="211"/>
      <c r="I247" s="211"/>
      <c r="J247" s="211"/>
      <c r="K247" s="211"/>
      <c r="L247" s="211"/>
      <c r="M247" s="211"/>
      <c r="N247" s="211"/>
      <c r="O247" s="211"/>
      <c r="P247" s="211"/>
      <c r="Q247" s="211"/>
      <c r="R247" s="211"/>
      <c r="S247" s="211"/>
      <c r="T247" s="211"/>
      <c r="U247" s="211"/>
      <c r="V247" s="211"/>
      <c r="W247" s="211"/>
      <c r="X247" s="211"/>
      <c r="Y247" s="211"/>
      <c r="Z247" s="211"/>
    </row>
    <row r="248" spans="2:26" ht="15" customHeight="1" x14ac:dyDescent="0.3">
      <c r="B248" s="211"/>
      <c r="C248" s="211" t="s">
        <v>598</v>
      </c>
      <c r="D248" s="221" t="s">
        <v>484</v>
      </c>
      <c r="E248" s="220">
        <v>25</v>
      </c>
      <c r="F248" s="220">
        <v>2031</v>
      </c>
      <c r="G248" s="221" t="s">
        <v>482</v>
      </c>
      <c r="H248" s="211"/>
      <c r="I248" s="211"/>
      <c r="J248" s="211"/>
      <c r="K248" s="222">
        <f>K208+K209</f>
        <v>60000.436691297349</v>
      </c>
      <c r="L248" s="223">
        <f>SUM(M248:Z248)</f>
        <v>112124.9310811317</v>
      </c>
      <c r="M248" s="223">
        <f t="shared" ref="M248:Z248" si="98">M195+M196</f>
        <v>11212.493108113169</v>
      </c>
      <c r="N248" s="223">
        <f t="shared" si="98"/>
        <v>28031.232770282928</v>
      </c>
      <c r="O248" s="223">
        <f t="shared" si="98"/>
        <v>33637.479324339511</v>
      </c>
      <c r="P248" s="223">
        <f t="shared" si="98"/>
        <v>28031.232770282928</v>
      </c>
      <c r="Q248" s="223">
        <f t="shared" si="98"/>
        <v>11212.493108113169</v>
      </c>
      <c r="R248" s="223">
        <f t="shared" si="98"/>
        <v>0</v>
      </c>
      <c r="S248" s="223">
        <f t="shared" si="98"/>
        <v>0</v>
      </c>
      <c r="T248" s="223">
        <f t="shared" si="98"/>
        <v>0</v>
      </c>
      <c r="U248" s="223">
        <f t="shared" si="98"/>
        <v>0</v>
      </c>
      <c r="V248" s="223">
        <f t="shared" si="98"/>
        <v>0</v>
      </c>
      <c r="W248" s="223">
        <f t="shared" si="98"/>
        <v>0</v>
      </c>
      <c r="X248" s="223">
        <f t="shared" si="98"/>
        <v>0</v>
      </c>
      <c r="Y248" s="223">
        <f t="shared" si="98"/>
        <v>0</v>
      </c>
      <c r="Z248" s="223">
        <f t="shared" si="98"/>
        <v>0</v>
      </c>
    </row>
    <row r="249" spans="2:26" ht="15" customHeight="1" x14ac:dyDescent="0.3">
      <c r="B249" s="224"/>
      <c r="C249" s="224" t="s">
        <v>485</v>
      </c>
      <c r="D249" s="224"/>
      <c r="E249" s="224"/>
      <c r="F249" s="224"/>
      <c r="G249" s="224"/>
      <c r="H249" s="224"/>
      <c r="I249" s="224"/>
      <c r="J249" s="224"/>
      <c r="K249" s="225">
        <f>SUM(K242:K248)</f>
        <v>1350681.9178846835</v>
      </c>
      <c r="L249" s="225">
        <f>SUM(L242:L248)</f>
        <v>3561464.4974854346</v>
      </c>
      <c r="M249" s="225">
        <f>SUM(M242:M248)</f>
        <v>356146.44974854361</v>
      </c>
      <c r="N249" s="225">
        <f>SUM(N242:N248)</f>
        <v>673301.70039017079</v>
      </c>
      <c r="O249" s="225">
        <f>SUM(O242:O248)</f>
        <v>996084.54125190119</v>
      </c>
      <c r="P249" s="225">
        <f t="shared" ref="P249:Z249" si="99">SUM(P242:P244)+P246+P248</f>
        <v>890366.12437135866</v>
      </c>
      <c r="Q249" s="225">
        <f t="shared" si="99"/>
        <v>573210.87372973142</v>
      </c>
      <c r="R249" s="225">
        <f t="shared" si="99"/>
        <v>72354.807993729308</v>
      </c>
      <c r="S249" s="225">
        <f t="shared" si="99"/>
        <v>0</v>
      </c>
      <c r="T249" s="225">
        <f t="shared" si="99"/>
        <v>0</v>
      </c>
      <c r="U249" s="225">
        <f t="shared" si="99"/>
        <v>0</v>
      </c>
      <c r="V249" s="225">
        <f t="shared" si="99"/>
        <v>0</v>
      </c>
      <c r="W249" s="225">
        <f t="shared" si="99"/>
        <v>0</v>
      </c>
      <c r="X249" s="225">
        <f t="shared" si="99"/>
        <v>0</v>
      </c>
      <c r="Y249" s="225">
        <f t="shared" si="99"/>
        <v>0</v>
      </c>
      <c r="Z249" s="225">
        <f t="shared" si="99"/>
        <v>0</v>
      </c>
    </row>
    <row r="250" spans="2:26" ht="15" customHeight="1" x14ac:dyDescent="0.3">
      <c r="B250" s="211"/>
      <c r="C250" s="211"/>
      <c r="D250" s="211"/>
      <c r="E250" s="211"/>
      <c r="F250" s="211"/>
      <c r="G250" s="211"/>
      <c r="H250" s="211"/>
      <c r="I250" s="211"/>
      <c r="J250" s="211"/>
      <c r="K250" s="211"/>
      <c r="L250" s="211"/>
      <c r="M250" s="211"/>
      <c r="N250" s="211"/>
      <c r="O250" s="211"/>
      <c r="P250" s="211"/>
      <c r="Q250" s="211"/>
      <c r="R250" s="211"/>
      <c r="S250" s="211"/>
      <c r="T250" s="211"/>
      <c r="U250" s="211"/>
      <c r="V250" s="211"/>
      <c r="W250" s="211"/>
      <c r="X250" s="211"/>
      <c r="Y250" s="211"/>
      <c r="Z250" s="211"/>
    </row>
    <row r="251" spans="2:26" ht="15" customHeight="1" x14ac:dyDescent="0.3">
      <c r="B251" s="212" t="s">
        <v>599</v>
      </c>
      <c r="C251" s="212"/>
      <c r="D251" s="212"/>
      <c r="E251" s="212"/>
      <c r="F251" s="212"/>
      <c r="G251" s="212"/>
      <c r="H251" s="212"/>
      <c r="I251" s="212"/>
      <c r="J251" s="212"/>
      <c r="K251" s="212"/>
      <c r="L251" s="212"/>
      <c r="M251" s="212"/>
      <c r="N251" s="212"/>
      <c r="O251" s="212"/>
      <c r="P251" s="212"/>
      <c r="Q251" s="212"/>
      <c r="R251" s="212"/>
      <c r="S251" s="212"/>
      <c r="T251" s="212"/>
      <c r="U251" s="212"/>
      <c r="V251" s="212"/>
      <c r="W251" s="212"/>
      <c r="X251" s="212"/>
      <c r="Y251" s="212"/>
      <c r="Z251" s="212"/>
    </row>
    <row r="252" spans="2:26" ht="15" customHeight="1" x14ac:dyDescent="0.3">
      <c r="B252" s="211"/>
      <c r="C252" s="211" t="s">
        <v>486</v>
      </c>
      <c r="D252" s="211"/>
      <c r="E252" s="211"/>
      <c r="F252" s="211"/>
      <c r="G252" s="211"/>
      <c r="H252" s="211"/>
      <c r="I252" s="211"/>
      <c r="J252" s="211"/>
      <c r="K252" s="211"/>
      <c r="L252" s="223"/>
      <c r="M252" s="223">
        <f t="shared" ref="M252:Z252" si="100">L254</f>
        <v>0</v>
      </c>
      <c r="N252" s="223">
        <f t="shared" si="100"/>
        <v>24521.849779314052</v>
      </c>
      <c r="O252" s="223">
        <f t="shared" si="100"/>
        <v>85826.474227599174</v>
      </c>
      <c r="P252" s="223">
        <f t="shared" si="100"/>
        <v>159392.02356554131</v>
      </c>
      <c r="Q252" s="223">
        <f t="shared" si="100"/>
        <v>220696.64801382643</v>
      </c>
      <c r="R252" s="223">
        <f t="shared" si="100"/>
        <v>245218.49779314047</v>
      </c>
      <c r="S252" s="223">
        <f t="shared" si="100"/>
        <v>245218.49779314047</v>
      </c>
      <c r="T252" s="223">
        <f t="shared" si="100"/>
        <v>245218.49779314047</v>
      </c>
      <c r="U252" s="223">
        <f t="shared" si="100"/>
        <v>245218.49779314047</v>
      </c>
      <c r="V252" s="223">
        <f t="shared" si="100"/>
        <v>245218.49779314047</v>
      </c>
      <c r="W252" s="223">
        <f t="shared" si="100"/>
        <v>245218.49779314047</v>
      </c>
      <c r="X252" s="223">
        <f t="shared" si="100"/>
        <v>245218.49779314047</v>
      </c>
      <c r="Y252" s="223">
        <f t="shared" si="100"/>
        <v>245218.49779314047</v>
      </c>
      <c r="Z252" s="223">
        <f t="shared" si="100"/>
        <v>245218.49779314047</v>
      </c>
    </row>
    <row r="253" spans="2:26" ht="15" customHeight="1" x14ac:dyDescent="0.3">
      <c r="B253" s="211"/>
      <c r="C253" s="211" t="s">
        <v>487</v>
      </c>
      <c r="D253" s="211"/>
      <c r="E253" s="211"/>
      <c r="F253" s="211"/>
      <c r="G253" s="211"/>
      <c r="H253" s="211"/>
      <c r="I253" s="211"/>
      <c r="J253" s="211"/>
      <c r="K253" s="211"/>
      <c r="L253" s="223">
        <f>SUM(M253:Z253)</f>
        <v>245218.49779314047</v>
      </c>
      <c r="M253" s="223">
        <f t="shared" ref="M253:Z253" si="101">M246</f>
        <v>24521.849779314052</v>
      </c>
      <c r="N253" s="223">
        <f t="shared" si="101"/>
        <v>61304.624448285118</v>
      </c>
      <c r="O253" s="223">
        <f t="shared" si="101"/>
        <v>73565.549337942153</v>
      </c>
      <c r="P253" s="223">
        <f t="shared" si="101"/>
        <v>61304.624448285118</v>
      </c>
      <c r="Q253" s="223">
        <f t="shared" si="101"/>
        <v>24521.849779314052</v>
      </c>
      <c r="R253" s="223">
        <f t="shared" si="101"/>
        <v>0</v>
      </c>
      <c r="S253" s="223">
        <f t="shared" si="101"/>
        <v>0</v>
      </c>
      <c r="T253" s="223">
        <f t="shared" si="101"/>
        <v>0</v>
      </c>
      <c r="U253" s="223">
        <f t="shared" si="101"/>
        <v>0</v>
      </c>
      <c r="V253" s="223">
        <f t="shared" si="101"/>
        <v>0</v>
      </c>
      <c r="W253" s="223">
        <f t="shared" si="101"/>
        <v>0</v>
      </c>
      <c r="X253" s="223">
        <f t="shared" si="101"/>
        <v>0</v>
      </c>
      <c r="Y253" s="223">
        <f t="shared" si="101"/>
        <v>0</v>
      </c>
      <c r="Z253" s="223">
        <f t="shared" si="101"/>
        <v>0</v>
      </c>
    </row>
    <row r="254" spans="2:26" ht="15" customHeight="1" x14ac:dyDescent="0.3">
      <c r="B254" s="211"/>
      <c r="C254" s="226" t="s">
        <v>488</v>
      </c>
      <c r="D254" s="226"/>
      <c r="E254" s="226"/>
      <c r="F254" s="226"/>
      <c r="G254" s="226"/>
      <c r="H254" s="226"/>
      <c r="I254" s="226"/>
      <c r="J254" s="226"/>
      <c r="K254" s="226"/>
      <c r="L254" s="227"/>
      <c r="M254" s="227">
        <f t="shared" ref="M254:Z254" si="102">SUM(M252:M253)</f>
        <v>24521.849779314052</v>
      </c>
      <c r="N254" s="227">
        <f t="shared" si="102"/>
        <v>85826.474227599174</v>
      </c>
      <c r="O254" s="227">
        <f t="shared" si="102"/>
        <v>159392.02356554131</v>
      </c>
      <c r="P254" s="227">
        <f t="shared" si="102"/>
        <v>220696.64801382643</v>
      </c>
      <c r="Q254" s="227">
        <f t="shared" si="102"/>
        <v>245218.49779314047</v>
      </c>
      <c r="R254" s="227">
        <f t="shared" si="102"/>
        <v>245218.49779314047</v>
      </c>
      <c r="S254" s="227">
        <f t="shared" si="102"/>
        <v>245218.49779314047</v>
      </c>
      <c r="T254" s="227">
        <f t="shared" si="102"/>
        <v>245218.49779314047</v>
      </c>
      <c r="U254" s="227">
        <f t="shared" si="102"/>
        <v>245218.49779314047</v>
      </c>
      <c r="V254" s="227">
        <f t="shared" si="102"/>
        <v>245218.49779314047</v>
      </c>
      <c r="W254" s="227">
        <f t="shared" si="102"/>
        <v>245218.49779314047</v>
      </c>
      <c r="X254" s="227">
        <f t="shared" si="102"/>
        <v>245218.49779314047</v>
      </c>
      <c r="Y254" s="227">
        <f t="shared" si="102"/>
        <v>245218.49779314047</v>
      </c>
      <c r="Z254" s="227">
        <f t="shared" si="102"/>
        <v>245218.49779314047</v>
      </c>
    </row>
    <row r="255" spans="2:26" ht="15" customHeight="1" x14ac:dyDescent="0.3">
      <c r="B255" s="211"/>
      <c r="C255" s="211" t="s">
        <v>489</v>
      </c>
      <c r="D255" s="211"/>
      <c r="E255" s="211"/>
      <c r="F255" s="211"/>
      <c r="G255" s="211"/>
      <c r="H255" s="211"/>
      <c r="I255" s="211"/>
      <c r="J255" s="211"/>
      <c r="K255" s="211"/>
      <c r="L255" s="223"/>
      <c r="M255" s="223">
        <f t="shared" ref="M255:Z255" si="103">L257</f>
        <v>0</v>
      </c>
      <c r="N255" s="223">
        <f t="shared" si="103"/>
        <v>0</v>
      </c>
      <c r="O255" s="223">
        <f t="shared" si="103"/>
        <v>0</v>
      </c>
      <c r="P255" s="223">
        <f t="shared" si="103"/>
        <v>0</v>
      </c>
      <c r="Q255" s="223">
        <f t="shared" si="103"/>
        <v>0</v>
      </c>
      <c r="R255" s="223">
        <f t="shared" si="103"/>
        <v>0</v>
      </c>
      <c r="S255" s="223">
        <f t="shared" si="103"/>
        <v>-9808.7399117256191</v>
      </c>
      <c r="T255" s="223">
        <f t="shared" si="103"/>
        <v>-19617.479823451238</v>
      </c>
      <c r="U255" s="223">
        <f t="shared" si="103"/>
        <v>-29426.219735176855</v>
      </c>
      <c r="V255" s="223">
        <f t="shared" si="103"/>
        <v>-39234.959646902476</v>
      </c>
      <c r="W255" s="223">
        <f t="shared" si="103"/>
        <v>-49043.699558628097</v>
      </c>
      <c r="X255" s="223">
        <f t="shared" si="103"/>
        <v>-58852.439470353718</v>
      </c>
      <c r="Y255" s="223">
        <f t="shared" si="103"/>
        <v>-68661.179382079339</v>
      </c>
      <c r="Z255" s="223">
        <f t="shared" si="103"/>
        <v>-78469.919293804953</v>
      </c>
    </row>
    <row r="256" spans="2:26" ht="15" customHeight="1" x14ac:dyDescent="0.3">
      <c r="B256" s="211"/>
      <c r="C256" s="211" t="s">
        <v>490</v>
      </c>
      <c r="D256" s="211"/>
      <c r="E256" s="211"/>
      <c r="F256" s="211"/>
      <c r="G256" s="211"/>
      <c r="H256" s="211"/>
      <c r="I256" s="211"/>
      <c r="J256" s="211"/>
      <c r="K256" s="211"/>
      <c r="L256" s="223">
        <f>SUM(M256:Z256)</f>
        <v>-88278.659205530566</v>
      </c>
      <c r="M256" s="223">
        <f t="shared" ref="M256:Z256" si="104">IF(M$4&gt;=$F$246,-$L$246/$E$246,0)</f>
        <v>0</v>
      </c>
      <c r="N256" s="223">
        <f t="shared" si="104"/>
        <v>0</v>
      </c>
      <c r="O256" s="223">
        <f t="shared" si="104"/>
        <v>0</v>
      </c>
      <c r="P256" s="223">
        <f t="shared" si="104"/>
        <v>0</v>
      </c>
      <c r="Q256" s="223">
        <f t="shared" si="104"/>
        <v>0</v>
      </c>
      <c r="R256" s="223">
        <f t="shared" si="104"/>
        <v>-9808.7399117256191</v>
      </c>
      <c r="S256" s="223">
        <f t="shared" si="104"/>
        <v>-9808.7399117256191</v>
      </c>
      <c r="T256" s="223">
        <f t="shared" si="104"/>
        <v>-9808.7399117256191</v>
      </c>
      <c r="U256" s="223">
        <f t="shared" si="104"/>
        <v>-9808.7399117256191</v>
      </c>
      <c r="V256" s="223">
        <f t="shared" si="104"/>
        <v>-9808.7399117256191</v>
      </c>
      <c r="W256" s="223">
        <f t="shared" si="104"/>
        <v>-9808.7399117256191</v>
      </c>
      <c r="X256" s="223">
        <f t="shared" si="104"/>
        <v>-9808.7399117256191</v>
      </c>
      <c r="Y256" s="223">
        <f t="shared" si="104"/>
        <v>-9808.7399117256191</v>
      </c>
      <c r="Z256" s="223">
        <f t="shared" si="104"/>
        <v>-9808.7399117256191</v>
      </c>
    </row>
    <row r="257" spans="2:26" ht="15" customHeight="1" x14ac:dyDescent="0.3">
      <c r="B257" s="211"/>
      <c r="C257" s="226" t="s">
        <v>491</v>
      </c>
      <c r="D257" s="226"/>
      <c r="E257" s="226"/>
      <c r="F257" s="226"/>
      <c r="G257" s="226"/>
      <c r="H257" s="226"/>
      <c r="I257" s="226"/>
      <c r="J257" s="226"/>
      <c r="K257" s="226"/>
      <c r="L257" s="227"/>
      <c r="M257" s="227">
        <f t="shared" ref="M257:Z257" si="105">SUM(M255:M256)</f>
        <v>0</v>
      </c>
      <c r="N257" s="227">
        <f t="shared" si="105"/>
        <v>0</v>
      </c>
      <c r="O257" s="227">
        <f t="shared" si="105"/>
        <v>0</v>
      </c>
      <c r="P257" s="227">
        <f t="shared" si="105"/>
        <v>0</v>
      </c>
      <c r="Q257" s="227">
        <f t="shared" si="105"/>
        <v>0</v>
      </c>
      <c r="R257" s="227">
        <f t="shared" si="105"/>
        <v>-9808.7399117256191</v>
      </c>
      <c r="S257" s="227">
        <f t="shared" si="105"/>
        <v>-19617.479823451238</v>
      </c>
      <c r="T257" s="227">
        <f t="shared" si="105"/>
        <v>-29426.219735176855</v>
      </c>
      <c r="U257" s="227">
        <f t="shared" si="105"/>
        <v>-39234.959646902476</v>
      </c>
      <c r="V257" s="227">
        <f t="shared" si="105"/>
        <v>-49043.699558628097</v>
      </c>
      <c r="W257" s="227">
        <f t="shared" si="105"/>
        <v>-58852.439470353718</v>
      </c>
      <c r="X257" s="227">
        <f t="shared" si="105"/>
        <v>-68661.179382079339</v>
      </c>
      <c r="Y257" s="227">
        <f t="shared" si="105"/>
        <v>-78469.919293804953</v>
      </c>
      <c r="Z257" s="227">
        <f t="shared" si="105"/>
        <v>-88278.659205530566</v>
      </c>
    </row>
    <row r="258" spans="2:26" ht="15" customHeight="1" x14ac:dyDescent="0.3">
      <c r="B258" s="211"/>
      <c r="C258" s="211"/>
      <c r="D258" s="211"/>
      <c r="E258" s="211"/>
      <c r="F258" s="211"/>
      <c r="G258" s="211"/>
      <c r="H258" s="211"/>
      <c r="I258" s="211"/>
      <c r="J258" s="211"/>
      <c r="K258" s="211"/>
      <c r="L258" s="211"/>
      <c r="M258" s="211"/>
      <c r="N258" s="211"/>
      <c r="O258" s="211"/>
      <c r="P258" s="211"/>
      <c r="Q258" s="211"/>
      <c r="R258" s="211"/>
      <c r="S258" s="211"/>
      <c r="T258" s="211"/>
      <c r="U258" s="211"/>
      <c r="V258" s="211"/>
      <c r="W258" s="211"/>
      <c r="X258" s="211"/>
      <c r="Y258" s="211"/>
      <c r="Z258" s="211"/>
    </row>
    <row r="259" spans="2:26" ht="15" customHeight="1" x14ac:dyDescent="0.3">
      <c r="B259" s="224"/>
      <c r="C259" s="224" t="s">
        <v>492</v>
      </c>
      <c r="D259" s="224"/>
      <c r="E259" s="224"/>
      <c r="F259" s="224"/>
      <c r="G259" s="224"/>
      <c r="H259" s="224"/>
      <c r="I259" s="224"/>
      <c r="J259" s="224"/>
      <c r="K259" s="224"/>
      <c r="L259" s="225"/>
      <c r="M259" s="225">
        <f t="shared" ref="M259:Z259" si="106">SUM(M254,M257)</f>
        <v>24521.849779314052</v>
      </c>
      <c r="N259" s="225">
        <f t="shared" si="106"/>
        <v>85826.474227599174</v>
      </c>
      <c r="O259" s="225">
        <f t="shared" si="106"/>
        <v>159392.02356554131</v>
      </c>
      <c r="P259" s="225">
        <f t="shared" si="106"/>
        <v>220696.64801382643</v>
      </c>
      <c r="Q259" s="225">
        <f t="shared" si="106"/>
        <v>245218.49779314047</v>
      </c>
      <c r="R259" s="225">
        <f t="shared" si="106"/>
        <v>235409.75788141484</v>
      </c>
      <c r="S259" s="225">
        <f t="shared" si="106"/>
        <v>225601.01796968924</v>
      </c>
      <c r="T259" s="225">
        <f t="shared" si="106"/>
        <v>215792.27805796362</v>
      </c>
      <c r="U259" s="225">
        <f t="shared" si="106"/>
        <v>205983.53814623799</v>
      </c>
      <c r="V259" s="225">
        <f t="shared" si="106"/>
        <v>196174.79823451239</v>
      </c>
      <c r="W259" s="225">
        <f t="shared" si="106"/>
        <v>186366.05832278676</v>
      </c>
      <c r="X259" s="225">
        <f t="shared" si="106"/>
        <v>176557.31841106113</v>
      </c>
      <c r="Y259" s="225">
        <f t="shared" si="106"/>
        <v>166748.5784993355</v>
      </c>
      <c r="Z259" s="225">
        <f t="shared" si="106"/>
        <v>156939.83858760991</v>
      </c>
    </row>
    <row r="260" spans="2:26" ht="15" customHeight="1" x14ac:dyDescent="0.3">
      <c r="B260" s="211"/>
      <c r="C260" s="211"/>
      <c r="D260" s="211"/>
      <c r="E260" s="211"/>
      <c r="F260" s="211"/>
      <c r="G260" s="211"/>
      <c r="H260" s="211"/>
      <c r="I260" s="211"/>
      <c r="J260" s="211"/>
      <c r="K260" s="211"/>
      <c r="L260" s="211"/>
      <c r="M260" s="211"/>
      <c r="N260" s="211"/>
      <c r="O260" s="211"/>
      <c r="P260" s="211"/>
      <c r="Q260" s="211"/>
      <c r="R260" s="211"/>
      <c r="S260" s="211"/>
      <c r="T260" s="211"/>
      <c r="U260" s="211"/>
      <c r="V260" s="211"/>
      <c r="W260" s="211"/>
      <c r="X260" s="211"/>
      <c r="Y260" s="211"/>
      <c r="Z260" s="211"/>
    </row>
    <row r="261" spans="2:26" ht="15" customHeight="1" x14ac:dyDescent="0.3">
      <c r="B261" s="212" t="s">
        <v>600</v>
      </c>
      <c r="C261" s="212"/>
      <c r="D261" s="212"/>
      <c r="E261" s="212"/>
      <c r="F261" s="212"/>
      <c r="G261" s="212"/>
      <c r="H261" s="212"/>
      <c r="I261" s="212"/>
      <c r="J261" s="212"/>
      <c r="K261" s="212"/>
      <c r="L261" s="212"/>
      <c r="M261" s="212"/>
      <c r="N261" s="212"/>
      <c r="O261" s="212"/>
      <c r="P261" s="212"/>
      <c r="Q261" s="212"/>
      <c r="R261" s="212"/>
      <c r="S261" s="212"/>
      <c r="T261" s="212"/>
      <c r="U261" s="212"/>
      <c r="V261" s="212"/>
      <c r="W261" s="212"/>
      <c r="X261" s="212"/>
      <c r="Y261" s="212"/>
      <c r="Z261" s="212"/>
    </row>
    <row r="262" spans="2:26" ht="15" customHeight="1" x14ac:dyDescent="0.3">
      <c r="B262" s="211"/>
      <c r="C262" s="211" t="s">
        <v>486</v>
      </c>
      <c r="D262" s="211"/>
      <c r="E262" s="211"/>
      <c r="F262" s="211"/>
      <c r="G262" s="211"/>
      <c r="H262" s="211"/>
      <c r="I262" s="211"/>
      <c r="J262" s="211"/>
      <c r="K262" s="211"/>
      <c r="L262" s="223"/>
      <c r="M262" s="223">
        <f t="shared" ref="M262:Z262" si="107">L264</f>
        <v>0</v>
      </c>
      <c r="N262" s="223">
        <f t="shared" si="107"/>
        <v>11212.493108113169</v>
      </c>
      <c r="O262" s="223">
        <f t="shared" si="107"/>
        <v>39243.725878396101</v>
      </c>
      <c r="P262" s="223">
        <f t="shared" si="107"/>
        <v>72881.205202735611</v>
      </c>
      <c r="Q262" s="223">
        <f t="shared" si="107"/>
        <v>100912.43797301853</v>
      </c>
      <c r="R262" s="223">
        <f t="shared" si="107"/>
        <v>112124.9310811317</v>
      </c>
      <c r="S262" s="223">
        <f t="shared" si="107"/>
        <v>112124.9310811317</v>
      </c>
      <c r="T262" s="223">
        <f t="shared" si="107"/>
        <v>112124.9310811317</v>
      </c>
      <c r="U262" s="223">
        <f t="shared" si="107"/>
        <v>112124.9310811317</v>
      </c>
      <c r="V262" s="223">
        <f t="shared" si="107"/>
        <v>112124.9310811317</v>
      </c>
      <c r="W262" s="223">
        <f t="shared" si="107"/>
        <v>112124.9310811317</v>
      </c>
      <c r="X262" s="223">
        <f t="shared" si="107"/>
        <v>112124.9310811317</v>
      </c>
      <c r="Y262" s="223">
        <f t="shared" si="107"/>
        <v>112124.9310811317</v>
      </c>
      <c r="Z262" s="223">
        <f t="shared" si="107"/>
        <v>112124.9310811317</v>
      </c>
    </row>
    <row r="263" spans="2:26" ht="15" customHeight="1" x14ac:dyDescent="0.3">
      <c r="B263" s="211"/>
      <c r="C263" s="211" t="s">
        <v>487</v>
      </c>
      <c r="D263" s="211"/>
      <c r="E263" s="211"/>
      <c r="F263" s="211"/>
      <c r="G263" s="211"/>
      <c r="H263" s="211"/>
      <c r="I263" s="211"/>
      <c r="J263" s="211"/>
      <c r="K263" s="211"/>
      <c r="L263" s="223">
        <f>SUM(M263:Z263)</f>
        <v>112124.9310811317</v>
      </c>
      <c r="M263" s="223">
        <f t="shared" ref="M263:Z263" si="108">M248</f>
        <v>11212.493108113169</v>
      </c>
      <c r="N263" s="223">
        <f t="shared" si="108"/>
        <v>28031.232770282928</v>
      </c>
      <c r="O263" s="223">
        <f t="shared" si="108"/>
        <v>33637.479324339511</v>
      </c>
      <c r="P263" s="223">
        <f t="shared" si="108"/>
        <v>28031.232770282928</v>
      </c>
      <c r="Q263" s="223">
        <f t="shared" si="108"/>
        <v>11212.493108113169</v>
      </c>
      <c r="R263" s="223">
        <f t="shared" si="108"/>
        <v>0</v>
      </c>
      <c r="S263" s="223">
        <f t="shared" si="108"/>
        <v>0</v>
      </c>
      <c r="T263" s="223">
        <f t="shared" si="108"/>
        <v>0</v>
      </c>
      <c r="U263" s="223">
        <f t="shared" si="108"/>
        <v>0</v>
      </c>
      <c r="V263" s="223">
        <f t="shared" si="108"/>
        <v>0</v>
      </c>
      <c r="W263" s="223">
        <f t="shared" si="108"/>
        <v>0</v>
      </c>
      <c r="X263" s="223">
        <f t="shared" si="108"/>
        <v>0</v>
      </c>
      <c r="Y263" s="223">
        <f t="shared" si="108"/>
        <v>0</v>
      </c>
      <c r="Z263" s="223">
        <f t="shared" si="108"/>
        <v>0</v>
      </c>
    </row>
    <row r="264" spans="2:26" ht="15" customHeight="1" x14ac:dyDescent="0.3">
      <c r="B264" s="211"/>
      <c r="C264" s="226" t="s">
        <v>488</v>
      </c>
      <c r="D264" s="226"/>
      <c r="E264" s="226"/>
      <c r="F264" s="226"/>
      <c r="G264" s="226"/>
      <c r="H264" s="226"/>
      <c r="I264" s="226"/>
      <c r="J264" s="226"/>
      <c r="K264" s="226"/>
      <c r="L264" s="227"/>
      <c r="M264" s="227">
        <f t="shared" ref="M264:Z264" si="109">SUM(M262:M263)</f>
        <v>11212.493108113169</v>
      </c>
      <c r="N264" s="227">
        <f t="shared" si="109"/>
        <v>39243.725878396101</v>
      </c>
      <c r="O264" s="227">
        <f t="shared" si="109"/>
        <v>72881.205202735611</v>
      </c>
      <c r="P264" s="227">
        <f t="shared" si="109"/>
        <v>100912.43797301853</v>
      </c>
      <c r="Q264" s="227">
        <f t="shared" si="109"/>
        <v>112124.9310811317</v>
      </c>
      <c r="R264" s="227">
        <f t="shared" si="109"/>
        <v>112124.9310811317</v>
      </c>
      <c r="S264" s="227">
        <f t="shared" si="109"/>
        <v>112124.9310811317</v>
      </c>
      <c r="T264" s="227">
        <f t="shared" si="109"/>
        <v>112124.9310811317</v>
      </c>
      <c r="U264" s="227">
        <f t="shared" si="109"/>
        <v>112124.9310811317</v>
      </c>
      <c r="V264" s="227">
        <f t="shared" si="109"/>
        <v>112124.9310811317</v>
      </c>
      <c r="W264" s="227">
        <f t="shared" si="109"/>
        <v>112124.9310811317</v>
      </c>
      <c r="X264" s="227">
        <f t="shared" si="109"/>
        <v>112124.9310811317</v>
      </c>
      <c r="Y264" s="227">
        <f t="shared" si="109"/>
        <v>112124.9310811317</v>
      </c>
      <c r="Z264" s="227">
        <f t="shared" si="109"/>
        <v>112124.9310811317</v>
      </c>
    </row>
    <row r="265" spans="2:26" ht="15" customHeight="1" x14ac:dyDescent="0.3">
      <c r="B265" s="211"/>
      <c r="C265" s="211" t="s">
        <v>489</v>
      </c>
      <c r="D265" s="211"/>
      <c r="E265" s="211"/>
      <c r="F265" s="211"/>
      <c r="G265" s="211"/>
      <c r="H265" s="211"/>
      <c r="I265" s="211"/>
      <c r="J265" s="211"/>
      <c r="K265" s="211"/>
      <c r="L265" s="223"/>
      <c r="M265" s="223">
        <f t="shared" ref="M265:Z265" si="110">L267</f>
        <v>0</v>
      </c>
      <c r="N265" s="223">
        <f t="shared" si="110"/>
        <v>0</v>
      </c>
      <c r="O265" s="223">
        <f t="shared" si="110"/>
        <v>0</v>
      </c>
      <c r="P265" s="223">
        <f t="shared" si="110"/>
        <v>0</v>
      </c>
      <c r="Q265" s="223">
        <f t="shared" si="110"/>
        <v>0</v>
      </c>
      <c r="R265" s="223">
        <f t="shared" si="110"/>
        <v>0</v>
      </c>
      <c r="S265" s="223">
        <f t="shared" si="110"/>
        <v>-4484.9972432452678</v>
      </c>
      <c r="T265" s="223">
        <f t="shared" si="110"/>
        <v>-8969.9944864905356</v>
      </c>
      <c r="U265" s="223">
        <f t="shared" si="110"/>
        <v>-13454.991729735804</v>
      </c>
      <c r="V265" s="223">
        <f t="shared" si="110"/>
        <v>-17939.988972981071</v>
      </c>
      <c r="W265" s="223">
        <f t="shared" si="110"/>
        <v>-22424.986216226338</v>
      </c>
      <c r="X265" s="223">
        <f t="shared" si="110"/>
        <v>-26909.983459471605</v>
      </c>
      <c r="Y265" s="223">
        <f t="shared" si="110"/>
        <v>-31394.980702716872</v>
      </c>
      <c r="Z265" s="223">
        <f t="shared" si="110"/>
        <v>-35879.977945962142</v>
      </c>
    </row>
    <row r="266" spans="2:26" ht="15" customHeight="1" x14ac:dyDescent="0.3">
      <c r="B266" s="211"/>
      <c r="C266" s="211" t="s">
        <v>490</v>
      </c>
      <c r="D266" s="211"/>
      <c r="E266" s="211"/>
      <c r="F266" s="211"/>
      <c r="G266" s="211"/>
      <c r="H266" s="211"/>
      <c r="I266" s="211"/>
      <c r="J266" s="211"/>
      <c r="K266" s="211"/>
      <c r="L266" s="223">
        <f>SUM(M266:Z266)</f>
        <v>-40364.975189207413</v>
      </c>
      <c r="M266" s="223">
        <f t="shared" ref="M266:Z266" si="111">IF(M$4&gt;=$F$248,-$L$248/$E$248,0)</f>
        <v>0</v>
      </c>
      <c r="N266" s="223">
        <f t="shared" si="111"/>
        <v>0</v>
      </c>
      <c r="O266" s="223">
        <f t="shared" si="111"/>
        <v>0</v>
      </c>
      <c r="P266" s="223">
        <f t="shared" si="111"/>
        <v>0</v>
      </c>
      <c r="Q266" s="223">
        <f t="shared" si="111"/>
        <v>0</v>
      </c>
      <c r="R266" s="223">
        <f t="shared" si="111"/>
        <v>-4484.9972432452678</v>
      </c>
      <c r="S266" s="223">
        <f t="shared" si="111"/>
        <v>-4484.9972432452678</v>
      </c>
      <c r="T266" s="223">
        <f t="shared" si="111"/>
        <v>-4484.9972432452678</v>
      </c>
      <c r="U266" s="223">
        <f t="shared" si="111"/>
        <v>-4484.9972432452678</v>
      </c>
      <c r="V266" s="223">
        <f t="shared" si="111"/>
        <v>-4484.9972432452678</v>
      </c>
      <c r="W266" s="223">
        <f t="shared" si="111"/>
        <v>-4484.9972432452678</v>
      </c>
      <c r="X266" s="223">
        <f t="shared" si="111"/>
        <v>-4484.9972432452678</v>
      </c>
      <c r="Y266" s="223">
        <f t="shared" si="111"/>
        <v>-4484.9972432452678</v>
      </c>
      <c r="Z266" s="223">
        <f t="shared" si="111"/>
        <v>-4484.9972432452678</v>
      </c>
    </row>
    <row r="267" spans="2:26" ht="15" customHeight="1" x14ac:dyDescent="0.3">
      <c r="B267" s="211"/>
      <c r="C267" s="226" t="s">
        <v>491</v>
      </c>
      <c r="D267" s="226"/>
      <c r="E267" s="226"/>
      <c r="F267" s="226"/>
      <c r="G267" s="226"/>
      <c r="H267" s="226"/>
      <c r="I267" s="226"/>
      <c r="J267" s="226"/>
      <c r="K267" s="226"/>
      <c r="L267" s="227"/>
      <c r="M267" s="227">
        <f t="shared" ref="M267:Z267" si="112">SUM(M265:M266)</f>
        <v>0</v>
      </c>
      <c r="N267" s="227">
        <f t="shared" si="112"/>
        <v>0</v>
      </c>
      <c r="O267" s="227">
        <f t="shared" si="112"/>
        <v>0</v>
      </c>
      <c r="P267" s="227">
        <f t="shared" si="112"/>
        <v>0</v>
      </c>
      <c r="Q267" s="227">
        <f t="shared" si="112"/>
        <v>0</v>
      </c>
      <c r="R267" s="227">
        <f t="shared" si="112"/>
        <v>-4484.9972432452678</v>
      </c>
      <c r="S267" s="227">
        <f t="shared" si="112"/>
        <v>-8969.9944864905356</v>
      </c>
      <c r="T267" s="227">
        <f t="shared" si="112"/>
        <v>-13454.991729735804</v>
      </c>
      <c r="U267" s="227">
        <f t="shared" si="112"/>
        <v>-17939.988972981071</v>
      </c>
      <c r="V267" s="227">
        <f t="shared" si="112"/>
        <v>-22424.986216226338</v>
      </c>
      <c r="W267" s="227">
        <f t="shared" si="112"/>
        <v>-26909.983459471605</v>
      </c>
      <c r="X267" s="227">
        <f t="shared" si="112"/>
        <v>-31394.980702716872</v>
      </c>
      <c r="Y267" s="227">
        <f t="shared" si="112"/>
        <v>-35879.977945962142</v>
      </c>
      <c r="Z267" s="227">
        <f t="shared" si="112"/>
        <v>-40364.975189207413</v>
      </c>
    </row>
    <row r="268" spans="2:26" ht="15" customHeight="1" x14ac:dyDescent="0.3">
      <c r="B268" s="211"/>
      <c r="C268" s="211"/>
      <c r="D268" s="211"/>
      <c r="E268" s="211"/>
      <c r="F268" s="211"/>
      <c r="G268" s="211"/>
      <c r="H268" s="211"/>
      <c r="I268" s="211"/>
      <c r="J268" s="211"/>
      <c r="K268" s="211"/>
      <c r="L268" s="211"/>
      <c r="M268" s="211"/>
      <c r="N268" s="211"/>
      <c r="O268" s="211"/>
      <c r="P268" s="211"/>
      <c r="Q268" s="211"/>
      <c r="R268" s="211"/>
      <c r="S268" s="211"/>
      <c r="T268" s="211"/>
      <c r="U268" s="211"/>
      <c r="V268" s="211"/>
      <c r="W268" s="211"/>
      <c r="X268" s="211"/>
      <c r="Y268" s="211"/>
      <c r="Z268" s="211"/>
    </row>
    <row r="269" spans="2:26" ht="15" customHeight="1" x14ac:dyDescent="0.3">
      <c r="B269" s="224"/>
      <c r="C269" s="224" t="s">
        <v>492</v>
      </c>
      <c r="D269" s="224"/>
      <c r="E269" s="224"/>
      <c r="F269" s="224"/>
      <c r="G269" s="224"/>
      <c r="H269" s="224"/>
      <c r="I269" s="224"/>
      <c r="J269" s="224"/>
      <c r="K269" s="224"/>
      <c r="L269" s="225"/>
      <c r="M269" s="225">
        <f t="shared" ref="M269:Z269" si="113">SUM(M264,M267)</f>
        <v>11212.493108113169</v>
      </c>
      <c r="N269" s="225">
        <f t="shared" si="113"/>
        <v>39243.725878396101</v>
      </c>
      <c r="O269" s="225">
        <f t="shared" si="113"/>
        <v>72881.205202735611</v>
      </c>
      <c r="P269" s="225">
        <f t="shared" si="113"/>
        <v>100912.43797301853</v>
      </c>
      <c r="Q269" s="225">
        <f t="shared" si="113"/>
        <v>112124.9310811317</v>
      </c>
      <c r="R269" s="225">
        <f t="shared" si="113"/>
        <v>107639.93383788643</v>
      </c>
      <c r="S269" s="225">
        <f t="shared" si="113"/>
        <v>103154.93659464116</v>
      </c>
      <c r="T269" s="225">
        <f t="shared" si="113"/>
        <v>98669.939351395893</v>
      </c>
      <c r="U269" s="225">
        <f t="shared" si="113"/>
        <v>94184.94210815063</v>
      </c>
      <c r="V269" s="225">
        <f t="shared" si="113"/>
        <v>89699.944864905352</v>
      </c>
      <c r="W269" s="225">
        <f t="shared" si="113"/>
        <v>85214.947621660089</v>
      </c>
      <c r="X269" s="225">
        <f t="shared" si="113"/>
        <v>80729.950378414826</v>
      </c>
      <c r="Y269" s="225">
        <f t="shared" si="113"/>
        <v>76244.953135169548</v>
      </c>
      <c r="Z269" s="225">
        <f t="shared" si="113"/>
        <v>71759.955891924285</v>
      </c>
    </row>
    <row r="270" spans="2:26" ht="15" customHeight="1" x14ac:dyDescent="0.3">
      <c r="B270" s="211"/>
      <c r="C270" s="211"/>
      <c r="D270" s="211"/>
      <c r="E270" s="211"/>
      <c r="F270" s="211"/>
      <c r="G270" s="211"/>
      <c r="H270" s="211"/>
      <c r="I270" s="211"/>
      <c r="J270" s="211"/>
      <c r="K270" s="211"/>
      <c r="L270" s="211"/>
      <c r="M270" s="211"/>
      <c r="N270" s="211"/>
      <c r="O270" s="211"/>
      <c r="P270" s="211"/>
      <c r="Q270" s="211"/>
      <c r="R270" s="211"/>
      <c r="S270" s="211"/>
      <c r="T270" s="211"/>
      <c r="U270" s="211"/>
      <c r="V270" s="211"/>
      <c r="W270" s="211"/>
      <c r="X270" s="211"/>
      <c r="Y270" s="211"/>
      <c r="Z270" s="211"/>
    </row>
    <row r="271" spans="2:26" ht="15" customHeight="1" x14ac:dyDescent="0.3">
      <c r="B271" s="72" t="s">
        <v>504</v>
      </c>
      <c r="C271" s="212"/>
      <c r="D271" s="212"/>
      <c r="E271" s="212"/>
      <c r="F271" s="212"/>
      <c r="G271" s="212"/>
      <c r="H271" s="212"/>
      <c r="I271" s="212"/>
      <c r="J271" s="212"/>
      <c r="K271" s="212"/>
      <c r="L271" s="212"/>
      <c r="M271" s="212"/>
      <c r="N271" s="212"/>
      <c r="O271" s="212"/>
      <c r="P271" s="212"/>
      <c r="Q271" s="212"/>
      <c r="R271" s="212"/>
      <c r="S271" s="212"/>
      <c r="T271" s="212"/>
      <c r="U271" s="212"/>
      <c r="V271" s="212"/>
      <c r="W271" s="212"/>
      <c r="X271" s="212"/>
      <c r="Y271" s="212"/>
      <c r="Z271" s="212"/>
    </row>
    <row r="272" spans="2:26" ht="15" customHeight="1" x14ac:dyDescent="0.3">
      <c r="B272" s="211"/>
      <c r="C272" s="211" t="s">
        <v>486</v>
      </c>
      <c r="D272" s="211"/>
      <c r="E272" s="211"/>
      <c r="F272" s="211"/>
      <c r="G272" s="211"/>
      <c r="H272" s="211"/>
      <c r="I272" s="211"/>
      <c r="J272" s="211"/>
      <c r="K272" s="211"/>
      <c r="L272" s="223"/>
      <c r="M272" s="223">
        <f t="shared" ref="M272:Z272" si="114">L274</f>
        <v>0</v>
      </c>
      <c r="N272" s="223">
        <f t="shared" si="114"/>
        <v>35734.342887427221</v>
      </c>
      <c r="O272" s="223">
        <f t="shared" si="114"/>
        <v>125070.20010599526</v>
      </c>
      <c r="P272" s="223">
        <f t="shared" si="114"/>
        <v>232273.22876827692</v>
      </c>
      <c r="Q272" s="223">
        <f t="shared" si="114"/>
        <v>321609.08598684496</v>
      </c>
      <c r="R272" s="223">
        <f t="shared" si="114"/>
        <v>357343.42887427215</v>
      </c>
      <c r="S272" s="223">
        <f t="shared" si="114"/>
        <v>357343.42887427215</v>
      </c>
      <c r="T272" s="223">
        <f t="shared" si="114"/>
        <v>357343.42887427215</v>
      </c>
      <c r="U272" s="223">
        <f t="shared" si="114"/>
        <v>357343.42887427215</v>
      </c>
      <c r="V272" s="223">
        <f t="shared" si="114"/>
        <v>357343.42887427215</v>
      </c>
      <c r="W272" s="223">
        <f t="shared" si="114"/>
        <v>357343.42887427215</v>
      </c>
      <c r="X272" s="223">
        <f t="shared" si="114"/>
        <v>357343.42887427215</v>
      </c>
      <c r="Y272" s="223">
        <f t="shared" si="114"/>
        <v>357343.42887427215</v>
      </c>
      <c r="Z272" s="223">
        <f t="shared" si="114"/>
        <v>357343.42887427215</v>
      </c>
    </row>
    <row r="273" spans="2:29" ht="15" customHeight="1" x14ac:dyDescent="0.3">
      <c r="B273" s="211"/>
      <c r="C273" s="211" t="s">
        <v>487</v>
      </c>
      <c r="D273" s="211"/>
      <c r="E273" s="211"/>
      <c r="F273" s="211"/>
      <c r="G273" s="211"/>
      <c r="H273" s="211"/>
      <c r="I273" s="211"/>
      <c r="J273" s="211"/>
      <c r="K273" s="211"/>
      <c r="L273" s="223">
        <f>SUM(M273:Z273)</f>
        <v>357343.42887427215</v>
      </c>
      <c r="M273" s="223">
        <f t="shared" ref="M273:Z273" si="115">SUM(M253,M263)</f>
        <v>35734.342887427221</v>
      </c>
      <c r="N273" s="223">
        <f t="shared" si="115"/>
        <v>89335.857218568039</v>
      </c>
      <c r="O273" s="223">
        <f t="shared" si="115"/>
        <v>107203.02866228166</v>
      </c>
      <c r="P273" s="223">
        <f t="shared" si="115"/>
        <v>89335.857218568039</v>
      </c>
      <c r="Q273" s="223">
        <f t="shared" si="115"/>
        <v>35734.342887427221</v>
      </c>
      <c r="R273" s="223">
        <f t="shared" si="115"/>
        <v>0</v>
      </c>
      <c r="S273" s="223">
        <f t="shared" si="115"/>
        <v>0</v>
      </c>
      <c r="T273" s="223">
        <f t="shared" si="115"/>
        <v>0</v>
      </c>
      <c r="U273" s="223">
        <f t="shared" si="115"/>
        <v>0</v>
      </c>
      <c r="V273" s="223">
        <f t="shared" si="115"/>
        <v>0</v>
      </c>
      <c r="W273" s="223">
        <f t="shared" si="115"/>
        <v>0</v>
      </c>
      <c r="X273" s="223">
        <f t="shared" si="115"/>
        <v>0</v>
      </c>
      <c r="Y273" s="223">
        <f t="shared" si="115"/>
        <v>0</v>
      </c>
      <c r="Z273" s="223">
        <f t="shared" si="115"/>
        <v>0</v>
      </c>
    </row>
    <row r="274" spans="2:29" ht="15" customHeight="1" x14ac:dyDescent="0.3">
      <c r="B274" s="211"/>
      <c r="C274" s="226" t="s">
        <v>488</v>
      </c>
      <c r="D274" s="226"/>
      <c r="E274" s="226"/>
      <c r="F274" s="226"/>
      <c r="G274" s="226"/>
      <c r="H274" s="226"/>
      <c r="I274" s="226"/>
      <c r="J274" s="226"/>
      <c r="K274" s="226"/>
      <c r="L274" s="227"/>
      <c r="M274" s="227">
        <f t="shared" ref="M274:Z274" si="116">SUM(M272:M273)</f>
        <v>35734.342887427221</v>
      </c>
      <c r="N274" s="227">
        <f t="shared" si="116"/>
        <v>125070.20010599526</v>
      </c>
      <c r="O274" s="227">
        <f t="shared" si="116"/>
        <v>232273.22876827692</v>
      </c>
      <c r="P274" s="227">
        <f t="shared" si="116"/>
        <v>321609.08598684496</v>
      </c>
      <c r="Q274" s="227">
        <f t="shared" si="116"/>
        <v>357343.42887427215</v>
      </c>
      <c r="R274" s="227">
        <f t="shared" si="116"/>
        <v>357343.42887427215</v>
      </c>
      <c r="S274" s="227">
        <f t="shared" si="116"/>
        <v>357343.42887427215</v>
      </c>
      <c r="T274" s="227">
        <f t="shared" si="116"/>
        <v>357343.42887427215</v>
      </c>
      <c r="U274" s="227">
        <f t="shared" si="116"/>
        <v>357343.42887427215</v>
      </c>
      <c r="V274" s="227">
        <f t="shared" si="116"/>
        <v>357343.42887427215</v>
      </c>
      <c r="W274" s="227">
        <f t="shared" si="116"/>
        <v>357343.42887427215</v>
      </c>
      <c r="X274" s="227">
        <f t="shared" si="116"/>
        <v>357343.42887427215</v>
      </c>
      <c r="Y274" s="227">
        <f t="shared" si="116"/>
        <v>357343.42887427215</v>
      </c>
      <c r="Z274" s="227">
        <f t="shared" si="116"/>
        <v>357343.42887427215</v>
      </c>
    </row>
    <row r="275" spans="2:29" ht="15" customHeight="1" x14ac:dyDescent="0.3">
      <c r="B275" s="211"/>
      <c r="C275" s="211" t="s">
        <v>489</v>
      </c>
      <c r="D275" s="211"/>
      <c r="E275" s="211"/>
      <c r="F275" s="211"/>
      <c r="G275" s="211"/>
      <c r="H275" s="211"/>
      <c r="I275" s="211"/>
      <c r="J275" s="211"/>
      <c r="K275" s="211"/>
      <c r="L275" s="223"/>
      <c r="M275" s="223">
        <f t="shared" ref="M275:Z275" si="117">L277</f>
        <v>0</v>
      </c>
      <c r="N275" s="223">
        <f t="shared" si="117"/>
        <v>0</v>
      </c>
      <c r="O275" s="223">
        <f t="shared" si="117"/>
        <v>0</v>
      </c>
      <c r="P275" s="223">
        <f t="shared" si="117"/>
        <v>0</v>
      </c>
      <c r="Q275" s="223">
        <f t="shared" si="117"/>
        <v>0</v>
      </c>
      <c r="R275" s="223">
        <f t="shared" si="117"/>
        <v>0</v>
      </c>
      <c r="S275" s="223">
        <f t="shared" si="117"/>
        <v>-14293.737154970888</v>
      </c>
      <c r="T275" s="223">
        <f t="shared" si="117"/>
        <v>-28587.474309941776</v>
      </c>
      <c r="U275" s="223">
        <f t="shared" si="117"/>
        <v>-42881.21146491266</v>
      </c>
      <c r="V275" s="223">
        <f t="shared" si="117"/>
        <v>-57174.948619883551</v>
      </c>
      <c r="W275" s="223">
        <f t="shared" si="117"/>
        <v>-71468.685774854443</v>
      </c>
      <c r="X275" s="223">
        <f t="shared" si="117"/>
        <v>-85762.422929825334</v>
      </c>
      <c r="Y275" s="223">
        <f t="shared" si="117"/>
        <v>-100056.16008479623</v>
      </c>
      <c r="Z275" s="223">
        <f t="shared" si="117"/>
        <v>-114349.89723976712</v>
      </c>
    </row>
    <row r="276" spans="2:29" ht="15" customHeight="1" x14ac:dyDescent="0.3">
      <c r="B276" s="211"/>
      <c r="C276" s="211" t="s">
        <v>490</v>
      </c>
      <c r="D276" s="211"/>
      <c r="E276" s="211"/>
      <c r="F276" s="211"/>
      <c r="G276" s="211"/>
      <c r="H276" s="211"/>
      <c r="I276" s="211"/>
      <c r="J276" s="211"/>
      <c r="K276" s="211"/>
      <c r="L276" s="223">
        <f>SUM(M276:Z276)</f>
        <v>-128643.63439473801</v>
      </c>
      <c r="M276" s="223">
        <f t="shared" ref="M276:Z276" si="118">SUM(M256,M266)</f>
        <v>0</v>
      </c>
      <c r="N276" s="223">
        <f t="shared" si="118"/>
        <v>0</v>
      </c>
      <c r="O276" s="223">
        <f t="shared" si="118"/>
        <v>0</v>
      </c>
      <c r="P276" s="223">
        <f t="shared" si="118"/>
        <v>0</v>
      </c>
      <c r="Q276" s="223">
        <f t="shared" si="118"/>
        <v>0</v>
      </c>
      <c r="R276" s="223">
        <f t="shared" si="118"/>
        <v>-14293.737154970888</v>
      </c>
      <c r="S276" s="223">
        <f t="shared" si="118"/>
        <v>-14293.737154970888</v>
      </c>
      <c r="T276" s="223">
        <f t="shared" si="118"/>
        <v>-14293.737154970888</v>
      </c>
      <c r="U276" s="223">
        <f t="shared" si="118"/>
        <v>-14293.737154970888</v>
      </c>
      <c r="V276" s="223">
        <f t="shared" si="118"/>
        <v>-14293.737154970888</v>
      </c>
      <c r="W276" s="223">
        <f t="shared" si="118"/>
        <v>-14293.737154970888</v>
      </c>
      <c r="X276" s="223">
        <f t="shared" si="118"/>
        <v>-14293.737154970888</v>
      </c>
      <c r="Y276" s="223">
        <f t="shared" si="118"/>
        <v>-14293.737154970888</v>
      </c>
      <c r="Z276" s="223">
        <f t="shared" si="118"/>
        <v>-14293.737154970888</v>
      </c>
    </row>
    <row r="277" spans="2:29" ht="15" customHeight="1" x14ac:dyDescent="0.3">
      <c r="B277" s="211"/>
      <c r="C277" s="226" t="s">
        <v>491</v>
      </c>
      <c r="D277" s="226"/>
      <c r="E277" s="226"/>
      <c r="F277" s="226"/>
      <c r="G277" s="226"/>
      <c r="H277" s="226"/>
      <c r="I277" s="226"/>
      <c r="J277" s="226"/>
      <c r="K277" s="226"/>
      <c r="L277" s="227"/>
      <c r="M277" s="227">
        <f t="shared" ref="M277:Z277" si="119">SUM(M275:M276)</f>
        <v>0</v>
      </c>
      <c r="N277" s="227">
        <f t="shared" si="119"/>
        <v>0</v>
      </c>
      <c r="O277" s="227">
        <f t="shared" si="119"/>
        <v>0</v>
      </c>
      <c r="P277" s="227">
        <f t="shared" si="119"/>
        <v>0</v>
      </c>
      <c r="Q277" s="227">
        <f t="shared" si="119"/>
        <v>0</v>
      </c>
      <c r="R277" s="227">
        <f t="shared" si="119"/>
        <v>-14293.737154970888</v>
      </c>
      <c r="S277" s="227">
        <f t="shared" si="119"/>
        <v>-28587.474309941776</v>
      </c>
      <c r="T277" s="227">
        <f t="shared" si="119"/>
        <v>-42881.21146491266</v>
      </c>
      <c r="U277" s="227">
        <f t="shared" si="119"/>
        <v>-57174.948619883551</v>
      </c>
      <c r="V277" s="227">
        <f t="shared" si="119"/>
        <v>-71468.685774854443</v>
      </c>
      <c r="W277" s="227">
        <f t="shared" si="119"/>
        <v>-85762.422929825334</v>
      </c>
      <c r="X277" s="227">
        <f t="shared" si="119"/>
        <v>-100056.16008479623</v>
      </c>
      <c r="Y277" s="227">
        <f t="shared" si="119"/>
        <v>-114349.89723976712</v>
      </c>
      <c r="Z277" s="227">
        <f t="shared" si="119"/>
        <v>-128643.63439473801</v>
      </c>
    </row>
    <row r="278" spans="2:29" ht="15" customHeight="1" x14ac:dyDescent="0.3">
      <c r="B278" s="211"/>
      <c r="C278" s="211"/>
      <c r="D278" s="211"/>
      <c r="E278" s="211"/>
      <c r="F278" s="211"/>
      <c r="G278" s="211"/>
      <c r="H278" s="211"/>
      <c r="I278" s="211"/>
      <c r="J278" s="211"/>
      <c r="K278" s="211"/>
      <c r="L278" s="211"/>
      <c r="M278" s="211"/>
      <c r="N278" s="211"/>
      <c r="O278" s="211"/>
      <c r="P278" s="211"/>
      <c r="Q278" s="211"/>
      <c r="R278" s="211"/>
      <c r="S278" s="211"/>
      <c r="T278" s="211"/>
      <c r="U278" s="211"/>
      <c r="V278" s="211"/>
      <c r="W278" s="211"/>
      <c r="X278" s="211"/>
      <c r="Y278" s="211"/>
      <c r="Z278" s="211"/>
      <c r="AA278" s="211"/>
      <c r="AB278" s="211"/>
      <c r="AC278" s="211"/>
    </row>
    <row r="279" spans="2:29" ht="15" customHeight="1" x14ac:dyDescent="0.3">
      <c r="B279" s="224"/>
      <c r="C279" s="224" t="s">
        <v>492</v>
      </c>
      <c r="D279" s="224"/>
      <c r="E279" s="224"/>
      <c r="F279" s="224"/>
      <c r="G279" s="224"/>
      <c r="H279" s="224"/>
      <c r="I279" s="224"/>
      <c r="J279" s="224"/>
      <c r="K279" s="224"/>
      <c r="L279" s="225">
        <f t="shared" ref="L279:Z279" si="120">SUM(L274,L277)</f>
        <v>0</v>
      </c>
      <c r="M279" s="225">
        <f t="shared" si="120"/>
        <v>35734.342887427221</v>
      </c>
      <c r="N279" s="225">
        <f t="shared" si="120"/>
        <v>125070.20010599526</v>
      </c>
      <c r="O279" s="225">
        <f t="shared" si="120"/>
        <v>232273.22876827692</v>
      </c>
      <c r="P279" s="225">
        <f t="shared" si="120"/>
        <v>321609.08598684496</v>
      </c>
      <c r="Q279" s="225">
        <f t="shared" si="120"/>
        <v>357343.42887427215</v>
      </c>
      <c r="R279" s="225">
        <f t="shared" si="120"/>
        <v>343049.69171930128</v>
      </c>
      <c r="S279" s="225">
        <f t="shared" si="120"/>
        <v>328755.9545643304</v>
      </c>
      <c r="T279" s="225">
        <f t="shared" si="120"/>
        <v>314462.21740935952</v>
      </c>
      <c r="U279" s="225">
        <f t="shared" si="120"/>
        <v>300168.48025438859</v>
      </c>
      <c r="V279" s="225">
        <f t="shared" si="120"/>
        <v>285874.74309941771</v>
      </c>
      <c r="W279" s="225">
        <f t="shared" si="120"/>
        <v>271581.00594444684</v>
      </c>
      <c r="X279" s="225">
        <f t="shared" si="120"/>
        <v>257287.26878947593</v>
      </c>
      <c r="Y279" s="225">
        <f t="shared" si="120"/>
        <v>242993.53163450502</v>
      </c>
      <c r="Z279" s="225">
        <f t="shared" si="120"/>
        <v>228699.79447953415</v>
      </c>
    </row>
    <row r="280" spans="2:29" ht="15" customHeight="1" x14ac:dyDescent="0.3"/>
    <row r="281" spans="2:29" ht="15" customHeight="1" x14ac:dyDescent="0.3">
      <c r="B281" s="228" t="s">
        <v>601</v>
      </c>
      <c r="C281" s="229"/>
      <c r="D281" s="229"/>
      <c r="E281" s="229"/>
      <c r="F281" s="229"/>
      <c r="G281" s="229"/>
      <c r="H281" s="229"/>
      <c r="I281" s="229"/>
      <c r="J281" s="229"/>
      <c r="K281" s="229"/>
      <c r="L281" s="230"/>
      <c r="M281" s="230"/>
      <c r="N281" s="230"/>
      <c r="O281" s="230"/>
      <c r="P281" s="230"/>
      <c r="Q281" s="230"/>
      <c r="R281" s="230"/>
      <c r="S281" s="230"/>
      <c r="T281" s="230"/>
      <c r="U281" s="230"/>
      <c r="V281" s="230"/>
      <c r="W281" s="230"/>
      <c r="X281" s="230"/>
      <c r="Y281" s="230"/>
      <c r="Z281" s="230"/>
    </row>
    <row r="282" spans="2:29" ht="15" customHeight="1" x14ac:dyDescent="0.3">
      <c r="B282" s="211"/>
      <c r="C282" s="211" t="s">
        <v>505</v>
      </c>
      <c r="D282" s="211"/>
      <c r="E282" s="211"/>
      <c r="F282" s="211"/>
      <c r="G282" s="211"/>
      <c r="H282" s="211"/>
      <c r="I282" s="211"/>
      <c r="J282" s="211"/>
      <c r="K282" s="211"/>
      <c r="L282" s="223">
        <f>Z282</f>
        <v>101487.78760908351</v>
      </c>
      <c r="M282" s="223">
        <f t="shared" ref="M282:Z282" si="121">$K$246</f>
        <v>101487.78760908351</v>
      </c>
      <c r="N282" s="223">
        <f t="shared" si="121"/>
        <v>101487.78760908351</v>
      </c>
      <c r="O282" s="223">
        <f t="shared" si="121"/>
        <v>101487.78760908351</v>
      </c>
      <c r="P282" s="223">
        <f t="shared" si="121"/>
        <v>101487.78760908351</v>
      </c>
      <c r="Q282" s="223">
        <f t="shared" si="121"/>
        <v>101487.78760908351</v>
      </c>
      <c r="R282" s="223">
        <f t="shared" si="121"/>
        <v>101487.78760908351</v>
      </c>
      <c r="S282" s="223">
        <f t="shared" si="121"/>
        <v>101487.78760908351</v>
      </c>
      <c r="T282" s="223">
        <f t="shared" si="121"/>
        <v>101487.78760908351</v>
      </c>
      <c r="U282" s="223">
        <f t="shared" si="121"/>
        <v>101487.78760908351</v>
      </c>
      <c r="V282" s="223">
        <f t="shared" si="121"/>
        <v>101487.78760908351</v>
      </c>
      <c r="W282" s="223">
        <f t="shared" si="121"/>
        <v>101487.78760908351</v>
      </c>
      <c r="X282" s="223">
        <f t="shared" si="121"/>
        <v>101487.78760908351</v>
      </c>
      <c r="Y282" s="223">
        <f t="shared" si="121"/>
        <v>101487.78760908351</v>
      </c>
      <c r="Z282" s="223">
        <f t="shared" si="121"/>
        <v>101487.78760908351</v>
      </c>
    </row>
    <row r="283" spans="2:29" ht="15" customHeight="1" x14ac:dyDescent="0.3">
      <c r="B283" s="211"/>
      <c r="C283" s="211" t="s">
        <v>506</v>
      </c>
      <c r="D283" s="211"/>
      <c r="E283" s="211"/>
      <c r="F283" s="211"/>
      <c r="G283" s="211"/>
      <c r="H283" s="211"/>
      <c r="I283" s="211"/>
      <c r="J283" s="211"/>
      <c r="K283" s="211"/>
      <c r="L283" s="223">
        <f>Z283</f>
        <v>60000.436691297349</v>
      </c>
      <c r="M283" s="223">
        <f t="shared" ref="M283:Z283" si="122">$K$248</f>
        <v>60000.436691297349</v>
      </c>
      <c r="N283" s="223">
        <f t="shared" si="122"/>
        <v>60000.436691297349</v>
      </c>
      <c r="O283" s="223">
        <f t="shared" si="122"/>
        <v>60000.436691297349</v>
      </c>
      <c r="P283" s="223">
        <f t="shared" si="122"/>
        <v>60000.436691297349</v>
      </c>
      <c r="Q283" s="223">
        <f t="shared" si="122"/>
        <v>60000.436691297349</v>
      </c>
      <c r="R283" s="223">
        <f t="shared" si="122"/>
        <v>60000.436691297349</v>
      </c>
      <c r="S283" s="223">
        <f t="shared" si="122"/>
        <v>60000.436691297349</v>
      </c>
      <c r="T283" s="223">
        <f t="shared" si="122"/>
        <v>60000.436691297349</v>
      </c>
      <c r="U283" s="223">
        <f t="shared" si="122"/>
        <v>60000.436691297349</v>
      </c>
      <c r="V283" s="223">
        <f t="shared" si="122"/>
        <v>60000.436691297349</v>
      </c>
      <c r="W283" s="223">
        <f t="shared" si="122"/>
        <v>60000.436691297349</v>
      </c>
      <c r="X283" s="223">
        <f t="shared" si="122"/>
        <v>60000.436691297349</v>
      </c>
      <c r="Y283" s="223">
        <f t="shared" si="122"/>
        <v>60000.436691297349</v>
      </c>
      <c r="Z283" s="223">
        <f t="shared" si="122"/>
        <v>60000.436691297349</v>
      </c>
    </row>
    <row r="284" spans="2:29" ht="15" customHeight="1" x14ac:dyDescent="0.3">
      <c r="B284" s="211"/>
      <c r="C284" s="226" t="s">
        <v>507</v>
      </c>
      <c r="D284" s="226"/>
      <c r="E284" s="226"/>
      <c r="F284" s="226"/>
      <c r="G284" s="226"/>
      <c r="H284" s="226"/>
      <c r="I284" s="226"/>
      <c r="J284" s="226"/>
      <c r="K284" s="226"/>
      <c r="L284" s="227">
        <f>Z284</f>
        <v>161488.22430038085</v>
      </c>
      <c r="M284" s="227">
        <f t="shared" ref="M284:Z284" si="123">SUM(M282:M283)</f>
        <v>161488.22430038085</v>
      </c>
      <c r="N284" s="227">
        <f t="shared" si="123"/>
        <v>161488.22430038085</v>
      </c>
      <c r="O284" s="227">
        <f t="shared" si="123"/>
        <v>161488.22430038085</v>
      </c>
      <c r="P284" s="227">
        <f t="shared" si="123"/>
        <v>161488.22430038085</v>
      </c>
      <c r="Q284" s="227">
        <f t="shared" si="123"/>
        <v>161488.22430038085</v>
      </c>
      <c r="R284" s="227">
        <f t="shared" si="123"/>
        <v>161488.22430038085</v>
      </c>
      <c r="S284" s="227">
        <f t="shared" si="123"/>
        <v>161488.22430038085</v>
      </c>
      <c r="T284" s="227">
        <f t="shared" si="123"/>
        <v>161488.22430038085</v>
      </c>
      <c r="U284" s="227">
        <f t="shared" si="123"/>
        <v>161488.22430038085</v>
      </c>
      <c r="V284" s="227">
        <f t="shared" si="123"/>
        <v>161488.22430038085</v>
      </c>
      <c r="W284" s="227">
        <f t="shared" si="123"/>
        <v>161488.22430038085</v>
      </c>
      <c r="X284" s="227">
        <f t="shared" si="123"/>
        <v>161488.22430038085</v>
      </c>
      <c r="Y284" s="227">
        <f t="shared" si="123"/>
        <v>161488.22430038085</v>
      </c>
      <c r="Z284" s="227">
        <f t="shared" si="123"/>
        <v>161488.22430038085</v>
      </c>
    </row>
    <row r="285" spans="2:29" ht="15" customHeight="1" x14ac:dyDescent="0.3">
      <c r="B285" s="211"/>
      <c r="C285" s="211"/>
      <c r="D285" s="211"/>
      <c r="E285" s="211"/>
      <c r="F285" s="211"/>
      <c r="G285" s="211"/>
      <c r="H285" s="211"/>
      <c r="I285" s="211"/>
      <c r="J285" s="211"/>
      <c r="K285" s="211"/>
      <c r="L285" s="211"/>
      <c r="M285" s="211"/>
      <c r="N285" s="211"/>
      <c r="O285" s="211"/>
      <c r="P285" s="211"/>
      <c r="Q285" s="211"/>
      <c r="R285" s="211"/>
      <c r="S285" s="211"/>
      <c r="T285" s="211"/>
      <c r="U285" s="211"/>
      <c r="V285" s="211"/>
      <c r="W285" s="211"/>
      <c r="X285" s="211"/>
      <c r="Y285" s="211"/>
      <c r="Z285" s="211"/>
    </row>
    <row r="286" spans="2:29" ht="15" customHeight="1" x14ac:dyDescent="0.3">
      <c r="B286" s="224"/>
      <c r="C286" s="224" t="s">
        <v>508</v>
      </c>
      <c r="D286" s="224"/>
      <c r="E286" s="224"/>
      <c r="F286" s="224"/>
      <c r="G286" s="224"/>
      <c r="H286" s="224"/>
      <c r="I286" s="224"/>
      <c r="J286" s="224"/>
      <c r="K286" s="224"/>
      <c r="L286" s="225">
        <f t="shared" ref="L286:Z286" si="124">SUM(L279,L284)</f>
        <v>161488.22430038085</v>
      </c>
      <c r="M286" s="225">
        <f t="shared" si="124"/>
        <v>197222.56718780808</v>
      </c>
      <c r="N286" s="225">
        <f t="shared" si="124"/>
        <v>286558.42440637609</v>
      </c>
      <c r="O286" s="225">
        <f t="shared" si="124"/>
        <v>393761.45306865778</v>
      </c>
      <c r="P286" s="225">
        <f t="shared" si="124"/>
        <v>483097.31028722582</v>
      </c>
      <c r="Q286" s="225">
        <f t="shared" si="124"/>
        <v>518831.65317465301</v>
      </c>
      <c r="R286" s="225">
        <f t="shared" si="124"/>
        <v>504537.91601968213</v>
      </c>
      <c r="S286" s="225">
        <f t="shared" si="124"/>
        <v>490244.17886471126</v>
      </c>
      <c r="T286" s="225">
        <f t="shared" si="124"/>
        <v>475950.44170974038</v>
      </c>
      <c r="U286" s="225">
        <f t="shared" si="124"/>
        <v>461656.70455476944</v>
      </c>
      <c r="V286" s="225">
        <f t="shared" si="124"/>
        <v>447362.96739979857</v>
      </c>
      <c r="W286" s="225">
        <f t="shared" si="124"/>
        <v>433069.23024482769</v>
      </c>
      <c r="X286" s="225">
        <f t="shared" si="124"/>
        <v>418775.49308985681</v>
      </c>
      <c r="Y286" s="225">
        <f t="shared" si="124"/>
        <v>404481.75593488588</v>
      </c>
      <c r="Z286" s="225">
        <f t="shared" si="124"/>
        <v>390188.018779915</v>
      </c>
    </row>
    <row r="287" spans="2:29" ht="15" customHeight="1" x14ac:dyDescent="0.3">
      <c r="B287" s="211"/>
      <c r="C287" s="211"/>
      <c r="D287" s="211"/>
      <c r="E287" s="211"/>
      <c r="F287" s="211"/>
      <c r="G287" s="211"/>
      <c r="H287" s="211"/>
      <c r="I287" s="211"/>
      <c r="J287" s="211"/>
      <c r="K287" s="211"/>
      <c r="L287" s="211"/>
      <c r="M287" s="211"/>
      <c r="N287" s="211"/>
      <c r="O287" s="211"/>
      <c r="P287" s="211"/>
      <c r="Q287" s="211"/>
      <c r="R287" s="211"/>
      <c r="S287" s="211"/>
      <c r="T287" s="211"/>
      <c r="U287" s="211"/>
      <c r="V287" s="211"/>
      <c r="W287" s="211"/>
      <c r="X287" s="211"/>
      <c r="Y287" s="211"/>
      <c r="Z287" s="211"/>
    </row>
    <row r="288" spans="2:29" ht="15" customHeight="1" x14ac:dyDescent="0.3">
      <c r="B288" s="212" t="s">
        <v>602</v>
      </c>
      <c r="C288" s="212"/>
      <c r="D288" s="212"/>
      <c r="E288" s="212"/>
      <c r="F288" s="212"/>
      <c r="G288" s="212"/>
      <c r="H288" s="212"/>
      <c r="I288" s="212"/>
      <c r="J288" s="212"/>
      <c r="K288" s="212"/>
      <c r="L288" s="212"/>
      <c r="M288" s="212"/>
      <c r="N288" s="212"/>
      <c r="O288" s="212"/>
      <c r="P288" s="212"/>
      <c r="Q288" s="212"/>
      <c r="R288" s="212"/>
      <c r="S288" s="212"/>
      <c r="T288" s="212"/>
      <c r="U288" s="212"/>
      <c r="V288" s="212"/>
      <c r="W288" s="212"/>
      <c r="X288" s="212"/>
      <c r="Y288" s="212"/>
      <c r="Z288" s="212"/>
    </row>
    <row r="289" spans="2:26" ht="15" customHeight="1" x14ac:dyDescent="0.3">
      <c r="B289" s="211"/>
      <c r="C289" s="211" t="s">
        <v>493</v>
      </c>
      <c r="D289" s="211"/>
      <c r="E289" s="211"/>
      <c r="F289" s="211"/>
      <c r="G289" s="211"/>
      <c r="H289" s="231">
        <f ca="1">Debt!F126</f>
        <v>98841.265410900727</v>
      </c>
      <c r="I289" s="211"/>
      <c r="J289" s="211"/>
      <c r="K289" s="211"/>
      <c r="L289" s="211"/>
      <c r="M289" s="211"/>
      <c r="N289" s="211"/>
      <c r="O289" s="211"/>
      <c r="P289" s="211"/>
      <c r="Q289" s="211"/>
      <c r="R289" s="211"/>
      <c r="S289" s="211"/>
      <c r="T289" s="211"/>
      <c r="U289" s="211"/>
      <c r="V289" s="211"/>
      <c r="W289" s="211"/>
      <c r="X289" s="211"/>
      <c r="Y289" s="211"/>
      <c r="Z289" s="211"/>
    </row>
    <row r="290" spans="2:26" ht="15" customHeight="1" x14ac:dyDescent="0.3">
      <c r="B290" s="211"/>
      <c r="C290" s="211" t="s">
        <v>494</v>
      </c>
      <c r="D290" s="211"/>
      <c r="E290" s="211"/>
      <c r="F290" s="211"/>
      <c r="G290" s="211"/>
      <c r="H290" s="232">
        <f>$H$233</f>
        <v>7</v>
      </c>
      <c r="I290" s="211"/>
      <c r="J290" s="211"/>
      <c r="K290" s="211"/>
      <c r="L290" s="211"/>
      <c r="M290" s="211"/>
      <c r="N290" s="211"/>
      <c r="O290" s="211"/>
      <c r="P290" s="211"/>
      <c r="Q290" s="211"/>
      <c r="R290" s="211"/>
      <c r="S290" s="211"/>
      <c r="T290" s="211"/>
      <c r="U290" s="211"/>
      <c r="V290" s="211"/>
      <c r="W290" s="211"/>
      <c r="X290" s="211"/>
      <c r="Y290" s="211"/>
      <c r="Z290" s="211"/>
    </row>
    <row r="291" spans="2:26" ht="15" customHeight="1" x14ac:dyDescent="0.3">
      <c r="B291" s="211"/>
      <c r="C291" s="211" t="s">
        <v>495</v>
      </c>
      <c r="D291" s="211"/>
      <c r="E291" s="211"/>
      <c r="F291" s="211"/>
      <c r="G291" s="211"/>
      <c r="H291" s="215" t="s">
        <v>603</v>
      </c>
      <c r="I291" s="211"/>
      <c r="J291" s="211"/>
      <c r="K291" s="211"/>
      <c r="L291" s="211"/>
      <c r="M291" s="211"/>
      <c r="N291" s="211"/>
      <c r="O291" s="211"/>
      <c r="P291" s="211"/>
      <c r="Q291" s="211"/>
      <c r="R291" s="211"/>
      <c r="S291" s="211"/>
      <c r="T291" s="211"/>
      <c r="U291" s="211"/>
      <c r="V291" s="211"/>
      <c r="W291" s="211"/>
      <c r="X291" s="211"/>
      <c r="Y291" s="211"/>
      <c r="Z291" s="211"/>
    </row>
    <row r="292" spans="2:26" ht="15" customHeight="1" x14ac:dyDescent="0.3">
      <c r="B292" s="224"/>
      <c r="C292" s="224" t="s">
        <v>496</v>
      </c>
      <c r="D292" s="224"/>
      <c r="E292" s="224"/>
      <c r="F292" s="224"/>
      <c r="G292" s="224"/>
      <c r="H292" s="224"/>
      <c r="I292" s="224"/>
      <c r="J292" s="224"/>
      <c r="K292" s="224"/>
      <c r="L292" s="225">
        <f ca="1">SUM(M292:Z292)</f>
        <v>-98841.265410900713</v>
      </c>
      <c r="M292" s="225">
        <f t="shared" ref="M292:Z292" si="125">IF(AND(M$4&gt;=2031,M$4&lt;=2037),-$H$289/$H$290,0)</f>
        <v>0</v>
      </c>
      <c r="N292" s="225">
        <f t="shared" si="125"/>
        <v>0</v>
      </c>
      <c r="O292" s="225">
        <f t="shared" si="125"/>
        <v>0</v>
      </c>
      <c r="P292" s="225">
        <f t="shared" si="125"/>
        <v>0</v>
      </c>
      <c r="Q292" s="225">
        <f t="shared" si="125"/>
        <v>0</v>
      </c>
      <c r="R292" s="225">
        <f t="shared" ref="R292:X292" ca="1" si="126">IF(AND(R$4&gt;=2031,R$4&lt;=2037),-$H$289/$H$290,0)</f>
        <v>-14120.180772985817</v>
      </c>
      <c r="S292" s="225">
        <f t="shared" ca="1" si="126"/>
        <v>-14120.180772985817</v>
      </c>
      <c r="T292" s="225">
        <f t="shared" ca="1" si="126"/>
        <v>-14120.180772985817</v>
      </c>
      <c r="U292" s="225">
        <f t="shared" ca="1" si="126"/>
        <v>-14120.180772985817</v>
      </c>
      <c r="V292" s="225">
        <f t="shared" ca="1" si="126"/>
        <v>-14120.180772985817</v>
      </c>
      <c r="W292" s="225">
        <f t="shared" ca="1" si="126"/>
        <v>-14120.180772985817</v>
      </c>
      <c r="X292" s="225">
        <f t="shared" ca="1" si="126"/>
        <v>-14120.180772985817</v>
      </c>
      <c r="Y292" s="225">
        <f t="shared" si="125"/>
        <v>0</v>
      </c>
      <c r="Z292" s="225">
        <f t="shared" si="125"/>
        <v>0</v>
      </c>
    </row>
    <row r="293" spans="2:26" ht="15" customHeight="1" x14ac:dyDescent="0.3">
      <c r="B293" s="211"/>
      <c r="C293" s="211"/>
      <c r="D293" s="211"/>
      <c r="E293" s="211"/>
      <c r="F293" s="211"/>
      <c r="G293" s="211"/>
      <c r="H293" s="211"/>
      <c r="I293" s="211"/>
      <c r="J293" s="211"/>
      <c r="K293" s="211"/>
      <c r="L293" s="211"/>
      <c r="M293" s="211"/>
      <c r="N293" s="211"/>
      <c r="O293" s="211"/>
      <c r="P293" s="211"/>
      <c r="Q293" s="211"/>
      <c r="R293" s="211"/>
      <c r="S293" s="211"/>
      <c r="T293" s="211"/>
      <c r="U293" s="211"/>
      <c r="V293" s="211"/>
      <c r="W293" s="211"/>
      <c r="X293" s="211"/>
      <c r="Y293" s="211"/>
      <c r="Z293" s="211"/>
    </row>
    <row r="294" spans="2:26" ht="15" customHeight="1" x14ac:dyDescent="0.3">
      <c r="B294" s="212" t="s">
        <v>497</v>
      </c>
      <c r="C294" s="212"/>
      <c r="D294" s="212"/>
      <c r="E294" s="212"/>
      <c r="F294" s="212"/>
      <c r="G294" s="212"/>
      <c r="H294" s="212"/>
      <c r="I294" s="212"/>
      <c r="J294" s="212"/>
      <c r="K294" s="212"/>
      <c r="L294" s="212"/>
      <c r="M294" s="212"/>
      <c r="N294" s="212"/>
      <c r="O294" s="212"/>
      <c r="P294" s="212"/>
      <c r="Q294" s="212"/>
      <c r="R294" s="212"/>
      <c r="S294" s="212"/>
      <c r="T294" s="212"/>
      <c r="U294" s="212"/>
      <c r="V294" s="212"/>
      <c r="W294" s="212"/>
      <c r="X294" s="212"/>
      <c r="Y294" s="212"/>
      <c r="Z294" s="212"/>
    </row>
    <row r="295" spans="2:26" ht="15" customHeight="1" x14ac:dyDescent="0.3">
      <c r="B295" s="211"/>
      <c r="C295" s="211" t="s">
        <v>498</v>
      </c>
      <c r="D295" s="211"/>
      <c r="E295" s="211"/>
      <c r="F295" s="211"/>
      <c r="G295" s="211"/>
      <c r="H295" s="211"/>
      <c r="I295" s="211"/>
      <c r="J295" s="211"/>
      <c r="K295" s="211"/>
      <c r="L295" s="223">
        <f t="shared" ref="L295:Z295" si="127">L256</f>
        <v>-88278.659205530566</v>
      </c>
      <c r="M295" s="223">
        <f t="shared" si="127"/>
        <v>0</v>
      </c>
      <c r="N295" s="223">
        <f t="shared" si="127"/>
        <v>0</v>
      </c>
      <c r="O295" s="223">
        <f t="shared" si="127"/>
        <v>0</v>
      </c>
      <c r="P295" s="223">
        <f t="shared" si="127"/>
        <v>0</v>
      </c>
      <c r="Q295" s="223">
        <f t="shared" si="127"/>
        <v>0</v>
      </c>
      <c r="R295" s="223">
        <f t="shared" si="127"/>
        <v>-9808.7399117256191</v>
      </c>
      <c r="S295" s="223">
        <f t="shared" si="127"/>
        <v>-9808.7399117256191</v>
      </c>
      <c r="T295" s="223">
        <f t="shared" si="127"/>
        <v>-9808.7399117256191</v>
      </c>
      <c r="U295" s="223">
        <f t="shared" si="127"/>
        <v>-9808.7399117256191</v>
      </c>
      <c r="V295" s="223">
        <f t="shared" si="127"/>
        <v>-9808.7399117256191</v>
      </c>
      <c r="W295" s="223">
        <f t="shared" si="127"/>
        <v>-9808.7399117256191</v>
      </c>
      <c r="X295" s="223">
        <f t="shared" si="127"/>
        <v>-9808.7399117256191</v>
      </c>
      <c r="Y295" s="223">
        <f t="shared" si="127"/>
        <v>-9808.7399117256191</v>
      </c>
      <c r="Z295" s="223">
        <f t="shared" si="127"/>
        <v>-9808.7399117256191</v>
      </c>
    </row>
    <row r="296" spans="2:26" ht="15" customHeight="1" x14ac:dyDescent="0.3">
      <c r="B296" s="211"/>
      <c r="C296" s="211" t="s">
        <v>499</v>
      </c>
      <c r="D296" s="211"/>
      <c r="E296" s="211"/>
      <c r="F296" s="211"/>
      <c r="G296" s="211"/>
      <c r="H296" s="211"/>
      <c r="I296" s="211"/>
      <c r="J296" s="211"/>
      <c r="K296" s="211"/>
      <c r="L296" s="223">
        <f t="shared" ref="L296:Z296" si="128">L266</f>
        <v>-40364.975189207413</v>
      </c>
      <c r="M296" s="223">
        <f t="shared" si="128"/>
        <v>0</v>
      </c>
      <c r="N296" s="223">
        <f t="shared" si="128"/>
        <v>0</v>
      </c>
      <c r="O296" s="223">
        <f t="shared" si="128"/>
        <v>0</v>
      </c>
      <c r="P296" s="223">
        <f t="shared" si="128"/>
        <v>0</v>
      </c>
      <c r="Q296" s="223">
        <f t="shared" si="128"/>
        <v>0</v>
      </c>
      <c r="R296" s="223">
        <f t="shared" si="128"/>
        <v>-4484.9972432452678</v>
      </c>
      <c r="S296" s="223">
        <f t="shared" si="128"/>
        <v>-4484.9972432452678</v>
      </c>
      <c r="T296" s="223">
        <f t="shared" si="128"/>
        <v>-4484.9972432452678</v>
      </c>
      <c r="U296" s="223">
        <f t="shared" si="128"/>
        <v>-4484.9972432452678</v>
      </c>
      <c r="V296" s="223">
        <f t="shared" si="128"/>
        <v>-4484.9972432452678</v>
      </c>
      <c r="W296" s="223">
        <f t="shared" si="128"/>
        <v>-4484.9972432452678</v>
      </c>
      <c r="X296" s="223">
        <f t="shared" si="128"/>
        <v>-4484.9972432452678</v>
      </c>
      <c r="Y296" s="223">
        <f t="shared" si="128"/>
        <v>-4484.9972432452678</v>
      </c>
      <c r="Z296" s="223">
        <f t="shared" si="128"/>
        <v>-4484.9972432452678</v>
      </c>
    </row>
    <row r="297" spans="2:26" ht="15" customHeight="1" x14ac:dyDescent="0.3">
      <c r="B297" s="211"/>
      <c r="C297" s="211" t="s">
        <v>500</v>
      </c>
      <c r="D297" s="211"/>
      <c r="E297" s="211"/>
      <c r="F297" s="211"/>
      <c r="G297" s="211"/>
      <c r="H297" s="211"/>
      <c r="I297" s="211"/>
      <c r="J297" s="211"/>
      <c r="K297" s="211"/>
      <c r="L297" s="223">
        <f ca="1">L292</f>
        <v>-98841.265410900713</v>
      </c>
      <c r="M297" s="223">
        <f t="shared" ref="M297:Z297" si="129">M292</f>
        <v>0</v>
      </c>
      <c r="N297" s="223">
        <f t="shared" si="129"/>
        <v>0</v>
      </c>
      <c r="O297" s="223">
        <f t="shared" si="129"/>
        <v>0</v>
      </c>
      <c r="P297" s="223">
        <f t="shared" si="129"/>
        <v>0</v>
      </c>
      <c r="Q297" s="223">
        <f t="shared" si="129"/>
        <v>0</v>
      </c>
      <c r="R297" s="223">
        <f t="shared" ref="R297:X297" ca="1" si="130">R292</f>
        <v>-14120.180772985817</v>
      </c>
      <c r="S297" s="223">
        <f t="shared" ca="1" si="130"/>
        <v>-14120.180772985817</v>
      </c>
      <c r="T297" s="223">
        <f t="shared" ca="1" si="130"/>
        <v>-14120.180772985817</v>
      </c>
      <c r="U297" s="223">
        <f t="shared" ca="1" si="130"/>
        <v>-14120.180772985817</v>
      </c>
      <c r="V297" s="223">
        <f t="shared" ca="1" si="130"/>
        <v>-14120.180772985817</v>
      </c>
      <c r="W297" s="223">
        <f t="shared" ca="1" si="130"/>
        <v>-14120.180772985817</v>
      </c>
      <c r="X297" s="223">
        <f t="shared" ca="1" si="130"/>
        <v>-14120.180772985817</v>
      </c>
      <c r="Y297" s="223">
        <f t="shared" si="129"/>
        <v>0</v>
      </c>
      <c r="Z297" s="223">
        <f t="shared" si="129"/>
        <v>0</v>
      </c>
    </row>
    <row r="298" spans="2:26" ht="15" customHeight="1" x14ac:dyDescent="0.3">
      <c r="B298" s="425" t="s">
        <v>773</v>
      </c>
      <c r="C298" s="224"/>
      <c r="D298" s="224"/>
      <c r="E298" s="224"/>
      <c r="F298" s="224"/>
      <c r="G298" s="224"/>
      <c r="H298" s="224"/>
      <c r="I298" s="224"/>
      <c r="J298" s="224"/>
      <c r="K298" s="224"/>
      <c r="L298" s="225">
        <f ca="1">SUM(L295:L297)</f>
        <v>-227484.89980563871</v>
      </c>
      <c r="M298" s="225">
        <f t="shared" ref="M298:Z298" si="131">SUM(M295:M297)</f>
        <v>0</v>
      </c>
      <c r="N298" s="225">
        <f t="shared" si="131"/>
        <v>0</v>
      </c>
      <c r="O298" s="225">
        <f t="shared" si="131"/>
        <v>0</v>
      </c>
      <c r="P298" s="225">
        <f t="shared" si="131"/>
        <v>0</v>
      </c>
      <c r="Q298" s="225">
        <f t="shared" si="131"/>
        <v>0</v>
      </c>
      <c r="R298" s="225">
        <f t="shared" ref="R298:X298" ca="1" si="132">SUM(R295:R297)</f>
        <v>-28413.917927956703</v>
      </c>
      <c r="S298" s="225">
        <f t="shared" ca="1" si="132"/>
        <v>-28413.917927956703</v>
      </c>
      <c r="T298" s="225">
        <f t="shared" ca="1" si="132"/>
        <v>-28413.917927956703</v>
      </c>
      <c r="U298" s="225">
        <f t="shared" ca="1" si="132"/>
        <v>-28413.917927956703</v>
      </c>
      <c r="V298" s="225">
        <f t="shared" ca="1" si="132"/>
        <v>-28413.917927956703</v>
      </c>
      <c r="W298" s="225">
        <f t="shared" ca="1" si="132"/>
        <v>-28413.917927956703</v>
      </c>
      <c r="X298" s="225">
        <f t="shared" ca="1" si="132"/>
        <v>-28413.917927956703</v>
      </c>
      <c r="Y298" s="225">
        <f t="shared" si="131"/>
        <v>-14293.737154970888</v>
      </c>
      <c r="Z298" s="225">
        <f t="shared" si="131"/>
        <v>-14293.737154970888</v>
      </c>
    </row>
    <row r="299" spans="2:26" ht="15" customHeight="1" x14ac:dyDescent="0.3">
      <c r="B299" s="211"/>
      <c r="C299" s="211"/>
      <c r="D299" s="211"/>
      <c r="E299" s="211"/>
      <c r="F299" s="211"/>
      <c r="G299" s="211"/>
      <c r="H299" s="211"/>
      <c r="I299" s="211"/>
      <c r="J299" s="211"/>
      <c r="K299" s="211"/>
      <c r="L299" s="211"/>
      <c r="M299" s="211"/>
      <c r="N299" s="211"/>
      <c r="O299" s="211"/>
      <c r="P299" s="211"/>
      <c r="Q299" s="211"/>
      <c r="R299" s="211"/>
      <c r="S299" s="211"/>
      <c r="T299" s="211"/>
      <c r="U299" s="211"/>
      <c r="V299" s="211"/>
      <c r="W299" s="211"/>
      <c r="X299" s="211"/>
      <c r="Y299" s="211"/>
      <c r="Z299" s="211"/>
    </row>
    <row r="300" spans="2:26" ht="15" customHeight="1" x14ac:dyDescent="0.3">
      <c r="B300" s="52" t="s">
        <v>544</v>
      </c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spans="2:26" ht="15" customHeight="1" x14ac:dyDescent="0.3"/>
    <row r="302" spans="2:26" ht="15" customHeight="1" x14ac:dyDescent="0.3">
      <c r="B302" s="233" t="s">
        <v>545</v>
      </c>
      <c r="C302" s="233"/>
      <c r="D302" s="233"/>
      <c r="E302" s="233"/>
      <c r="F302" s="233"/>
      <c r="G302" s="233"/>
      <c r="H302" s="233"/>
      <c r="I302" s="233"/>
      <c r="J302" s="233"/>
      <c r="K302" s="233"/>
      <c r="L302" s="233"/>
      <c r="M302" s="233"/>
      <c r="N302" s="233"/>
      <c r="O302" s="233"/>
      <c r="P302" s="233"/>
      <c r="Q302" s="233"/>
      <c r="R302" s="233"/>
      <c r="S302" s="233"/>
      <c r="T302" s="233"/>
      <c r="U302" s="233"/>
      <c r="V302" s="233"/>
      <c r="W302" s="233"/>
      <c r="X302" s="233"/>
      <c r="Y302" s="233"/>
      <c r="Z302" s="233"/>
    </row>
    <row r="303" spans="2:26" ht="15" customHeight="1" x14ac:dyDescent="0.3">
      <c r="C303" s="234" t="s">
        <v>604</v>
      </c>
      <c r="L303" s="46">
        <f>SUM(M303:Z303)</f>
        <v>-310577.06413129659</v>
      </c>
      <c r="M303" s="46">
        <v>0</v>
      </c>
      <c r="N303" s="46">
        <v>0</v>
      </c>
      <c r="O303" s="46">
        <v>0</v>
      </c>
      <c r="P303" s="46">
        <v>0</v>
      </c>
      <c r="Q303" s="46">
        <v>-38242.336086552401</v>
      </c>
      <c r="R303" s="46">
        <v>-38242.336086552401</v>
      </c>
      <c r="S303" s="46">
        <v>-38242.336086552401</v>
      </c>
      <c r="T303" s="46">
        <v>-38242.336086552401</v>
      </c>
      <c r="U303" s="46">
        <v>-38242.336086552401</v>
      </c>
      <c r="V303" s="46">
        <v>-38242.336086552401</v>
      </c>
      <c r="W303" s="46">
        <v>-38242.336086552401</v>
      </c>
      <c r="X303" s="46">
        <v>-14293.5705084766</v>
      </c>
      <c r="Y303" s="46">
        <v>-14293.5705084766</v>
      </c>
      <c r="Z303" s="46">
        <v>-14293.5705084766</v>
      </c>
    </row>
    <row r="304" spans="2:26" ht="15" customHeight="1" x14ac:dyDescent="0.3">
      <c r="C304" s="38" t="s">
        <v>542</v>
      </c>
      <c r="L304" s="46">
        <f ca="1">L298</f>
        <v>-227484.89980563871</v>
      </c>
      <c r="M304" s="46">
        <f t="shared" ref="M304:Z304" si="133">M298</f>
        <v>0</v>
      </c>
      <c r="N304" s="46">
        <f t="shared" si="133"/>
        <v>0</v>
      </c>
      <c r="O304" s="46">
        <f t="shared" si="133"/>
        <v>0</v>
      </c>
      <c r="P304" s="46">
        <f t="shared" si="133"/>
        <v>0</v>
      </c>
      <c r="Q304" s="46">
        <f t="shared" si="133"/>
        <v>0</v>
      </c>
      <c r="R304" s="46">
        <f t="shared" ref="R304:X304" ca="1" si="134">R298</f>
        <v>-28413.917927956703</v>
      </c>
      <c r="S304" s="46">
        <f t="shared" ca="1" si="134"/>
        <v>-28413.917927956703</v>
      </c>
      <c r="T304" s="46">
        <f t="shared" ca="1" si="134"/>
        <v>-28413.917927956703</v>
      </c>
      <c r="U304" s="46">
        <f t="shared" ca="1" si="134"/>
        <v>-28413.917927956703</v>
      </c>
      <c r="V304" s="46">
        <f t="shared" ca="1" si="134"/>
        <v>-28413.917927956703</v>
      </c>
      <c r="W304" s="46">
        <f t="shared" ca="1" si="134"/>
        <v>-28413.917927956703</v>
      </c>
      <c r="X304" s="46">
        <f t="shared" ca="1" si="134"/>
        <v>-28413.917927956703</v>
      </c>
      <c r="Y304" s="46">
        <f t="shared" si="133"/>
        <v>-14293.737154970888</v>
      </c>
      <c r="Z304" s="46">
        <f t="shared" si="133"/>
        <v>-14293.737154970888</v>
      </c>
    </row>
    <row r="305" spans="2:26" ht="30" customHeight="1" x14ac:dyDescent="0.3">
      <c r="B305" s="235"/>
      <c r="C305" s="235" t="s">
        <v>543</v>
      </c>
      <c r="D305" s="235"/>
      <c r="E305" s="235"/>
      <c r="F305" s="235"/>
      <c r="G305" s="235"/>
      <c r="H305" s="235"/>
      <c r="I305" s="235"/>
      <c r="J305" s="235"/>
      <c r="K305" s="235"/>
      <c r="L305" s="236">
        <f ca="1">L304-L303</f>
        <v>83092.164325657883</v>
      </c>
      <c r="M305" s="236">
        <f t="shared" ref="M305:Z305" si="135">M304-M303</f>
        <v>0</v>
      </c>
      <c r="N305" s="236">
        <f t="shared" si="135"/>
        <v>0</v>
      </c>
      <c r="O305" s="236">
        <f t="shared" si="135"/>
        <v>0</v>
      </c>
      <c r="P305" s="236">
        <f t="shared" si="135"/>
        <v>0</v>
      </c>
      <c r="Q305" s="236">
        <f t="shared" si="135"/>
        <v>38242.336086552401</v>
      </c>
      <c r="R305" s="236">
        <f t="shared" ref="R305:X305" ca="1" si="136">R304-R303</f>
        <v>9828.4181585956976</v>
      </c>
      <c r="S305" s="236">
        <f t="shared" ca="1" si="136"/>
        <v>9828.4181585956976</v>
      </c>
      <c r="T305" s="236">
        <f t="shared" ca="1" si="136"/>
        <v>9828.4181585956976</v>
      </c>
      <c r="U305" s="236">
        <f t="shared" ca="1" si="136"/>
        <v>9828.4181585956976</v>
      </c>
      <c r="V305" s="236">
        <f t="shared" ca="1" si="136"/>
        <v>9828.4181585956976</v>
      </c>
      <c r="W305" s="236">
        <f t="shared" ca="1" si="136"/>
        <v>9828.4181585956976</v>
      </c>
      <c r="X305" s="236">
        <f t="shared" ca="1" si="136"/>
        <v>-14120.347419480104</v>
      </c>
      <c r="Y305" s="236">
        <f t="shared" si="135"/>
        <v>-0.16664649428821576</v>
      </c>
      <c r="Z305" s="236">
        <f t="shared" si="135"/>
        <v>-0.16664649428821576</v>
      </c>
    </row>
    <row r="306" spans="2:26" ht="30" customHeight="1" x14ac:dyDescent="0.3"/>
    <row r="307" spans="2:26" ht="30" customHeight="1" x14ac:dyDescent="0.3">
      <c r="B307" s="233" t="s">
        <v>503</v>
      </c>
      <c r="C307" s="233" t="s">
        <v>547</v>
      </c>
      <c r="D307" s="233"/>
      <c r="E307" s="233"/>
      <c r="F307" s="233"/>
      <c r="G307" s="233"/>
      <c r="H307" s="233"/>
      <c r="I307" s="233"/>
      <c r="J307" s="233"/>
      <c r="K307" s="233"/>
      <c r="L307" s="233"/>
      <c r="M307" s="233"/>
      <c r="N307" s="233"/>
      <c r="O307" s="233"/>
      <c r="P307" s="233"/>
      <c r="Q307" s="233"/>
      <c r="R307" s="233"/>
      <c r="S307" s="233"/>
      <c r="T307" s="233"/>
      <c r="U307" s="233"/>
      <c r="V307" s="233"/>
      <c r="W307" s="233"/>
      <c r="X307" s="233"/>
      <c r="Y307" s="233"/>
      <c r="Z307" s="233"/>
    </row>
    <row r="308" spans="2:26" ht="30" customHeight="1" x14ac:dyDescent="0.3">
      <c r="C308" s="234" t="s">
        <v>605</v>
      </c>
      <c r="L308" s="237">
        <f>SUM(M308:Z308)</f>
        <v>-167641.35904653062</v>
      </c>
      <c r="M308" s="238">
        <v>0</v>
      </c>
      <c r="N308" s="238">
        <v>0</v>
      </c>
      <c r="O308" s="238">
        <v>0</v>
      </c>
      <c r="P308" s="238">
        <v>0</v>
      </c>
      <c r="Q308" s="238">
        <v>-23948.7655780758</v>
      </c>
      <c r="R308" s="238">
        <v>-23948.7655780758</v>
      </c>
      <c r="S308" s="238">
        <v>-23948.7655780758</v>
      </c>
      <c r="T308" s="238">
        <v>-23948.7655780758</v>
      </c>
      <c r="U308" s="238">
        <v>-23948.7655780758</v>
      </c>
      <c r="V308" s="238">
        <v>-23948.7655780758</v>
      </c>
      <c r="W308" s="238">
        <v>-23948.7655780758</v>
      </c>
      <c r="X308" s="238">
        <v>0</v>
      </c>
      <c r="Y308" s="238">
        <v>0</v>
      </c>
      <c r="Z308" s="238">
        <v>0</v>
      </c>
    </row>
    <row r="309" spans="2:26" ht="15" customHeight="1" x14ac:dyDescent="0.3">
      <c r="C309" s="38" t="s">
        <v>548</v>
      </c>
      <c r="L309" s="239">
        <f ca="1">L292</f>
        <v>-98841.265410900713</v>
      </c>
      <c r="M309" s="23">
        <f t="shared" ref="M309:Z309" si="137">M292</f>
        <v>0</v>
      </c>
      <c r="N309" s="23">
        <f t="shared" si="137"/>
        <v>0</v>
      </c>
      <c r="O309" s="23">
        <f t="shared" si="137"/>
        <v>0</v>
      </c>
      <c r="P309" s="23">
        <f t="shared" si="137"/>
        <v>0</v>
      </c>
      <c r="Q309" s="23">
        <f t="shared" si="137"/>
        <v>0</v>
      </c>
      <c r="R309" s="23">
        <f t="shared" ref="R309:X309" ca="1" si="138">R292</f>
        <v>-14120.180772985817</v>
      </c>
      <c r="S309" s="23">
        <f t="shared" ca="1" si="138"/>
        <v>-14120.180772985817</v>
      </c>
      <c r="T309" s="23">
        <f t="shared" ca="1" si="138"/>
        <v>-14120.180772985817</v>
      </c>
      <c r="U309" s="23">
        <f t="shared" ca="1" si="138"/>
        <v>-14120.180772985817</v>
      </c>
      <c r="V309" s="23">
        <f t="shared" ca="1" si="138"/>
        <v>-14120.180772985817</v>
      </c>
      <c r="W309" s="23">
        <f t="shared" ca="1" si="138"/>
        <v>-14120.180772985817</v>
      </c>
      <c r="X309" s="23">
        <f t="shared" ca="1" si="138"/>
        <v>-14120.180772985817</v>
      </c>
      <c r="Y309" s="23">
        <f t="shared" si="137"/>
        <v>0</v>
      </c>
      <c r="Z309" s="23">
        <f t="shared" si="137"/>
        <v>0</v>
      </c>
    </row>
    <row r="310" spans="2:26" ht="15" customHeight="1" x14ac:dyDescent="0.3">
      <c r="B310" s="235"/>
      <c r="C310" s="235" t="s">
        <v>543</v>
      </c>
      <c r="D310" s="235"/>
      <c r="E310" s="235"/>
      <c r="F310" s="235"/>
      <c r="G310" s="235"/>
      <c r="H310" s="235"/>
      <c r="I310" s="235"/>
      <c r="J310" s="235"/>
      <c r="K310" s="235"/>
      <c r="L310" s="236">
        <f ca="1">L309-L308</f>
        <v>68800.093635629906</v>
      </c>
      <c r="M310" s="236">
        <f t="shared" ref="M310:Z310" si="139">M309-M308</f>
        <v>0</v>
      </c>
      <c r="N310" s="236">
        <f t="shared" si="139"/>
        <v>0</v>
      </c>
      <c r="O310" s="236">
        <f t="shared" si="139"/>
        <v>0</v>
      </c>
      <c r="P310" s="236">
        <f t="shared" si="139"/>
        <v>0</v>
      </c>
      <c r="Q310" s="236">
        <f t="shared" si="139"/>
        <v>23948.7655780758</v>
      </c>
      <c r="R310" s="236">
        <f t="shared" ref="R310:X310" ca="1" si="140">R309-R308</f>
        <v>9828.5848050899822</v>
      </c>
      <c r="S310" s="236">
        <f t="shared" ca="1" si="140"/>
        <v>9828.5848050899822</v>
      </c>
      <c r="T310" s="236">
        <f t="shared" ca="1" si="140"/>
        <v>9828.5848050899822</v>
      </c>
      <c r="U310" s="236">
        <f t="shared" ca="1" si="140"/>
        <v>9828.5848050899822</v>
      </c>
      <c r="V310" s="236">
        <f t="shared" ca="1" si="140"/>
        <v>9828.5848050899822</v>
      </c>
      <c r="W310" s="236">
        <f t="shared" ca="1" si="140"/>
        <v>9828.5848050899822</v>
      </c>
      <c r="X310" s="236">
        <f t="shared" ca="1" si="140"/>
        <v>-14120.180772985817</v>
      </c>
      <c r="Y310" s="236">
        <f t="shared" si="139"/>
        <v>0</v>
      </c>
      <c r="Z310" s="236">
        <f t="shared" si="139"/>
        <v>0</v>
      </c>
    </row>
    <row r="311" spans="2:26" ht="15" customHeight="1" x14ac:dyDescent="0.3"/>
    <row r="312" spans="2:26" ht="15" customHeight="1" x14ac:dyDescent="0.3">
      <c r="B312" s="233" t="s">
        <v>606</v>
      </c>
      <c r="C312" s="233"/>
      <c r="D312" s="233"/>
      <c r="E312" s="233"/>
      <c r="F312" s="233"/>
      <c r="G312" s="233"/>
      <c r="H312" s="233"/>
      <c r="I312" s="233"/>
      <c r="J312" s="233"/>
      <c r="K312" s="233"/>
      <c r="L312" s="233"/>
      <c r="M312" s="233"/>
      <c r="N312" s="233"/>
      <c r="O312" s="233"/>
      <c r="P312" s="233"/>
      <c r="Q312" s="233"/>
      <c r="R312" s="233"/>
      <c r="S312" s="233"/>
      <c r="T312" s="233"/>
      <c r="U312" s="233"/>
      <c r="V312" s="233"/>
      <c r="W312" s="233"/>
      <c r="X312" s="233"/>
      <c r="Y312" s="233"/>
      <c r="Z312" s="233"/>
    </row>
    <row r="313" spans="2:26" ht="15" customHeight="1" x14ac:dyDescent="0.3">
      <c r="C313" s="234" t="s">
        <v>607</v>
      </c>
      <c r="L313" s="237">
        <f>Z313</f>
        <v>147128.6</v>
      </c>
      <c r="M313" s="238">
        <v>75559.42</v>
      </c>
      <c r="N313" s="238">
        <v>147995.37</v>
      </c>
      <c r="O313" s="238">
        <v>220431.32</v>
      </c>
      <c r="P313" s="238">
        <v>245214.34</v>
      </c>
      <c r="Q313" s="238">
        <v>235405.76</v>
      </c>
      <c r="R313" s="238">
        <v>225597.19</v>
      </c>
      <c r="S313" s="238">
        <v>215788.62</v>
      </c>
      <c r="T313" s="238">
        <v>205980.04</v>
      </c>
      <c r="U313" s="238">
        <v>196171.47</v>
      </c>
      <c r="V313" s="238">
        <v>186362.9</v>
      </c>
      <c r="W313" s="238">
        <v>176554.32</v>
      </c>
      <c r="X313" s="238">
        <v>166745.75</v>
      </c>
      <c r="Y313" s="238">
        <v>156937.17000000001</v>
      </c>
      <c r="Z313" s="238">
        <v>147128.6</v>
      </c>
    </row>
    <row r="314" spans="2:26" ht="15" customHeight="1" x14ac:dyDescent="0.3">
      <c r="C314" s="38" t="s">
        <v>542</v>
      </c>
      <c r="L314" s="46">
        <f>Z314</f>
        <v>156939.83858760991</v>
      </c>
      <c r="M314" s="23">
        <f t="shared" ref="M314:Z314" si="141">M259</f>
        <v>24521.849779314052</v>
      </c>
      <c r="N314" s="23">
        <f t="shared" si="141"/>
        <v>85826.474227599174</v>
      </c>
      <c r="O314" s="23">
        <f t="shared" si="141"/>
        <v>159392.02356554131</v>
      </c>
      <c r="P314" s="23">
        <f t="shared" si="141"/>
        <v>220696.64801382643</v>
      </c>
      <c r="Q314" s="23">
        <f t="shared" si="141"/>
        <v>245218.49779314047</v>
      </c>
      <c r="R314" s="23">
        <f t="shared" si="141"/>
        <v>235409.75788141484</v>
      </c>
      <c r="S314" s="23">
        <f t="shared" si="141"/>
        <v>225601.01796968924</v>
      </c>
      <c r="T314" s="23">
        <f t="shared" si="141"/>
        <v>215792.27805796362</v>
      </c>
      <c r="U314" s="23">
        <f t="shared" si="141"/>
        <v>205983.53814623799</v>
      </c>
      <c r="V314" s="23">
        <f t="shared" si="141"/>
        <v>196174.79823451239</v>
      </c>
      <c r="W314" s="23">
        <f t="shared" si="141"/>
        <v>186366.05832278676</v>
      </c>
      <c r="X314" s="23">
        <f t="shared" si="141"/>
        <v>176557.31841106113</v>
      </c>
      <c r="Y314" s="23">
        <f t="shared" si="141"/>
        <v>166748.5784993355</v>
      </c>
      <c r="Z314" s="23">
        <f t="shared" si="141"/>
        <v>156939.83858760991</v>
      </c>
    </row>
    <row r="315" spans="2:26" ht="15" customHeight="1" x14ac:dyDescent="0.3">
      <c r="B315" s="235"/>
      <c r="C315" s="235" t="s">
        <v>543</v>
      </c>
      <c r="D315" s="235"/>
      <c r="E315" s="235"/>
      <c r="F315" s="235"/>
      <c r="G315" s="235"/>
      <c r="H315" s="235"/>
      <c r="I315" s="235"/>
      <c r="J315" s="235"/>
      <c r="K315" s="235"/>
      <c r="L315" s="236">
        <f t="shared" ref="L315:Z315" si="142">L314-L313</f>
        <v>9811.2385876098997</v>
      </c>
      <c r="M315" s="236">
        <f t="shared" si="142"/>
        <v>-51037.570220685942</v>
      </c>
      <c r="N315" s="236">
        <f t="shared" si="142"/>
        <v>-62168.895772400821</v>
      </c>
      <c r="O315" s="236">
        <f t="shared" si="142"/>
        <v>-61039.296434458694</v>
      </c>
      <c r="P315" s="236">
        <f t="shared" si="142"/>
        <v>-24517.691986173566</v>
      </c>
      <c r="Q315" s="236">
        <f t="shared" si="142"/>
        <v>9812.7377931404626</v>
      </c>
      <c r="R315" s="236">
        <f t="shared" si="142"/>
        <v>9812.5678814148414</v>
      </c>
      <c r="S315" s="236">
        <f t="shared" si="142"/>
        <v>9812.3979696892493</v>
      </c>
      <c r="T315" s="236">
        <f t="shared" si="142"/>
        <v>9812.2380579636083</v>
      </c>
      <c r="U315" s="236">
        <f t="shared" si="142"/>
        <v>9812.0681462379871</v>
      </c>
      <c r="V315" s="236">
        <f t="shared" si="142"/>
        <v>9811.898234512395</v>
      </c>
      <c r="W315" s="236">
        <f t="shared" si="142"/>
        <v>9811.738322786754</v>
      </c>
      <c r="X315" s="236">
        <f t="shared" si="142"/>
        <v>9811.5684110611328</v>
      </c>
      <c r="Y315" s="236">
        <f t="shared" si="142"/>
        <v>9811.4084993354918</v>
      </c>
      <c r="Z315" s="236">
        <f t="shared" si="142"/>
        <v>9811.2385876098997</v>
      </c>
    </row>
    <row r="316" spans="2:26" ht="15" customHeight="1" x14ac:dyDescent="0.3"/>
    <row r="317" spans="2:26" ht="15" customHeight="1" x14ac:dyDescent="0.3">
      <c r="B317" s="233" t="s">
        <v>608</v>
      </c>
      <c r="C317" s="233"/>
      <c r="D317" s="233"/>
      <c r="E317" s="233"/>
      <c r="F317" s="233"/>
      <c r="G317" s="233"/>
      <c r="H317" s="233"/>
      <c r="I317" s="233"/>
      <c r="J317" s="233"/>
      <c r="K317" s="233"/>
      <c r="L317" s="233"/>
      <c r="M317" s="233"/>
      <c r="N317" s="233"/>
      <c r="O317" s="233"/>
      <c r="P317" s="233"/>
      <c r="Q317" s="233"/>
      <c r="R317" s="233"/>
      <c r="S317" s="233"/>
      <c r="T317" s="233"/>
      <c r="U317" s="233"/>
      <c r="V317" s="233"/>
      <c r="W317" s="233"/>
      <c r="X317" s="233"/>
      <c r="Y317" s="233"/>
      <c r="Z317" s="233"/>
    </row>
    <row r="318" spans="2:26" ht="15" customHeight="1" x14ac:dyDescent="0.3">
      <c r="C318" s="234" t="s">
        <v>609</v>
      </c>
      <c r="L318" s="237">
        <f>Z318</f>
        <v>67274.960000000006</v>
      </c>
      <c r="M318" s="238">
        <v>34998.050000000003</v>
      </c>
      <c r="N318" s="238">
        <v>67866.05</v>
      </c>
      <c r="O318" s="238">
        <v>100734.05</v>
      </c>
      <c r="P318" s="238">
        <v>112124.93</v>
      </c>
      <c r="Q318" s="238">
        <v>107639.93</v>
      </c>
      <c r="R318" s="238">
        <v>103154.93</v>
      </c>
      <c r="S318" s="238">
        <v>98669.94</v>
      </c>
      <c r="T318" s="238">
        <v>94184.94</v>
      </c>
      <c r="U318" s="238">
        <v>89699.94</v>
      </c>
      <c r="V318" s="238">
        <v>85214.94</v>
      </c>
      <c r="W318" s="238">
        <v>80729.95</v>
      </c>
      <c r="X318" s="238">
        <v>76244.95</v>
      </c>
      <c r="Y318" s="238">
        <v>71759.95</v>
      </c>
      <c r="Z318" s="238">
        <v>67274.960000000006</v>
      </c>
    </row>
    <row r="319" spans="2:26" ht="15" customHeight="1" x14ac:dyDescent="0.3">
      <c r="C319" s="38" t="s">
        <v>542</v>
      </c>
      <c r="L319" s="46">
        <f>Z319</f>
        <v>71759.955891924285</v>
      </c>
      <c r="M319" s="23">
        <f t="shared" ref="M319:Z319" si="143">M269</f>
        <v>11212.493108113169</v>
      </c>
      <c r="N319" s="23">
        <f t="shared" si="143"/>
        <v>39243.725878396101</v>
      </c>
      <c r="O319" s="23">
        <f t="shared" si="143"/>
        <v>72881.205202735611</v>
      </c>
      <c r="P319" s="23">
        <f t="shared" si="143"/>
        <v>100912.43797301853</v>
      </c>
      <c r="Q319" s="23">
        <f t="shared" si="143"/>
        <v>112124.9310811317</v>
      </c>
      <c r="R319" s="23">
        <f t="shared" si="143"/>
        <v>107639.93383788643</v>
      </c>
      <c r="S319" s="23">
        <f t="shared" si="143"/>
        <v>103154.93659464116</v>
      </c>
      <c r="T319" s="23">
        <f t="shared" si="143"/>
        <v>98669.939351395893</v>
      </c>
      <c r="U319" s="23">
        <f t="shared" si="143"/>
        <v>94184.94210815063</v>
      </c>
      <c r="V319" s="23">
        <f t="shared" si="143"/>
        <v>89699.944864905352</v>
      </c>
      <c r="W319" s="23">
        <f t="shared" si="143"/>
        <v>85214.947621660089</v>
      </c>
      <c r="X319" s="23">
        <f t="shared" si="143"/>
        <v>80729.950378414826</v>
      </c>
      <c r="Y319" s="23">
        <f t="shared" si="143"/>
        <v>76244.953135169548</v>
      </c>
      <c r="Z319" s="23">
        <f t="shared" si="143"/>
        <v>71759.955891924285</v>
      </c>
    </row>
    <row r="320" spans="2:26" ht="15" customHeight="1" x14ac:dyDescent="0.3">
      <c r="B320" s="235"/>
      <c r="C320" s="235" t="s">
        <v>543</v>
      </c>
      <c r="D320" s="235"/>
      <c r="E320" s="235"/>
      <c r="F320" s="235"/>
      <c r="G320" s="235"/>
      <c r="H320" s="235"/>
      <c r="I320" s="235"/>
      <c r="J320" s="235"/>
      <c r="K320" s="235"/>
      <c r="L320" s="236">
        <f t="shared" ref="L320:Z320" si="144">L319-L318</f>
        <v>4484.9958919242781</v>
      </c>
      <c r="M320" s="236">
        <f t="shared" si="144"/>
        <v>-23785.556891886834</v>
      </c>
      <c r="N320" s="236">
        <f t="shared" si="144"/>
        <v>-28622.324121603902</v>
      </c>
      <c r="O320" s="236">
        <f t="shared" si="144"/>
        <v>-27852.844797264392</v>
      </c>
      <c r="P320" s="236">
        <f t="shared" si="144"/>
        <v>-11212.492026981461</v>
      </c>
      <c r="Q320" s="236">
        <f t="shared" si="144"/>
        <v>4485.0010811317043</v>
      </c>
      <c r="R320" s="236">
        <f t="shared" si="144"/>
        <v>4485.003837886441</v>
      </c>
      <c r="S320" s="236">
        <f t="shared" si="144"/>
        <v>4484.9965946411539</v>
      </c>
      <c r="T320" s="236">
        <f t="shared" si="144"/>
        <v>4484.9993513958907</v>
      </c>
      <c r="U320" s="236">
        <f t="shared" si="144"/>
        <v>4485.0021081506275</v>
      </c>
      <c r="V320" s="236">
        <f t="shared" si="144"/>
        <v>4485.0048649053497</v>
      </c>
      <c r="W320" s="236">
        <f t="shared" si="144"/>
        <v>4484.9976216600917</v>
      </c>
      <c r="X320" s="236">
        <f t="shared" si="144"/>
        <v>4485.0003784148284</v>
      </c>
      <c r="Y320" s="236">
        <f t="shared" si="144"/>
        <v>4485.0031351695507</v>
      </c>
      <c r="Z320" s="236">
        <f t="shared" si="144"/>
        <v>4484.9958919242781</v>
      </c>
    </row>
    <row r="321" spans="2:26" ht="15" customHeight="1" x14ac:dyDescent="0.3">
      <c r="B321" s="233" t="s">
        <v>610</v>
      </c>
      <c r="C321" s="233"/>
      <c r="D321" s="233"/>
      <c r="E321" s="233"/>
      <c r="F321" s="233"/>
      <c r="G321" s="233"/>
      <c r="H321" s="233"/>
      <c r="I321" s="233"/>
      <c r="J321" s="233"/>
      <c r="K321" s="233"/>
      <c r="L321" s="233"/>
      <c r="M321" s="233"/>
      <c r="N321" s="233"/>
      <c r="O321" s="233"/>
      <c r="P321" s="233"/>
      <c r="Q321" s="233"/>
      <c r="R321" s="233"/>
      <c r="S321" s="233"/>
      <c r="T321" s="233"/>
      <c r="U321" s="233"/>
      <c r="V321" s="233"/>
      <c r="W321" s="233"/>
      <c r="X321" s="233"/>
      <c r="Y321" s="233"/>
      <c r="Z321" s="233"/>
    </row>
    <row r="322" spans="2:26" ht="15" customHeight="1" x14ac:dyDescent="0.3">
      <c r="C322" s="234" t="s">
        <v>611</v>
      </c>
      <c r="L322" s="237">
        <v>0</v>
      </c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2:26" ht="15" customHeight="1" x14ac:dyDescent="0.3">
      <c r="C323" s="38" t="s">
        <v>546</v>
      </c>
      <c r="L323" s="46">
        <f>Z284</f>
        <v>161488.22430038085</v>
      </c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2:26" ht="15" customHeight="1" x14ac:dyDescent="0.3">
      <c r="B324" s="235"/>
      <c r="C324" s="235" t="s">
        <v>543</v>
      </c>
      <c r="D324" s="235"/>
      <c r="E324" s="235"/>
      <c r="F324" s="235"/>
      <c r="G324" s="235"/>
      <c r="H324" s="235"/>
      <c r="I324" s="235"/>
      <c r="J324" s="235"/>
      <c r="K324" s="235"/>
      <c r="L324" s="236">
        <f>L323-L322</f>
        <v>161488.22430038085</v>
      </c>
      <c r="M324" s="240"/>
      <c r="N324" s="240"/>
      <c r="O324" s="240"/>
      <c r="P324" s="240"/>
      <c r="Q324" s="240"/>
      <c r="R324" s="240"/>
      <c r="S324" s="240"/>
      <c r="T324" s="240"/>
      <c r="U324" s="240"/>
      <c r="V324" s="240"/>
      <c r="W324" s="240"/>
      <c r="X324" s="240"/>
      <c r="Y324" s="240"/>
      <c r="Z324" s="240"/>
    </row>
    <row r="325" spans="2:26" ht="15" customHeight="1" x14ac:dyDescent="0.3"/>
    <row r="326" spans="2:26" ht="15" customHeight="1" x14ac:dyDescent="0.3">
      <c r="B326" s="52" t="s">
        <v>250</v>
      </c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spans="2:26" ht="15" customHeight="1" x14ac:dyDescent="0.3">
      <c r="B327" s="470" t="s">
        <v>549</v>
      </c>
      <c r="C327" s="470"/>
      <c r="D327" s="470"/>
      <c r="E327" s="470"/>
      <c r="F327" s="470"/>
      <c r="G327" s="470"/>
      <c r="H327" s="470"/>
      <c r="I327" s="470"/>
      <c r="J327" s="470"/>
      <c r="K327" s="470"/>
      <c r="L327" s="470"/>
      <c r="M327" s="470"/>
      <c r="N327" s="470"/>
      <c r="O327" s="470"/>
      <c r="P327" s="470"/>
      <c r="Q327" s="470"/>
      <c r="R327" s="470"/>
      <c r="S327" s="470"/>
      <c r="T327" s="470"/>
      <c r="U327" s="470"/>
      <c r="V327" s="470"/>
      <c r="W327" s="470"/>
      <c r="X327" s="470"/>
      <c r="Y327" s="470"/>
      <c r="Z327" s="470"/>
    </row>
    <row r="328" spans="2:26" x14ac:dyDescent="0.3">
      <c r="B328" s="470" t="s">
        <v>550</v>
      </c>
      <c r="C328" s="470"/>
      <c r="D328" s="470"/>
      <c r="E328" s="470"/>
      <c r="F328" s="470"/>
      <c r="G328" s="470"/>
      <c r="H328" s="470"/>
      <c r="I328" s="470"/>
      <c r="J328" s="470"/>
      <c r="K328" s="470"/>
      <c r="L328" s="470"/>
      <c r="M328" s="470"/>
      <c r="N328" s="470"/>
      <c r="O328" s="470"/>
      <c r="P328" s="470"/>
      <c r="Q328" s="470"/>
      <c r="R328" s="470"/>
      <c r="S328" s="470"/>
      <c r="T328" s="470"/>
      <c r="U328" s="470"/>
      <c r="V328" s="470"/>
      <c r="W328" s="470"/>
      <c r="X328" s="470"/>
      <c r="Y328" s="470"/>
      <c r="Z328" s="470"/>
    </row>
    <row r="329" spans="2:26" x14ac:dyDescent="0.3">
      <c r="B329" s="470" t="s">
        <v>551</v>
      </c>
      <c r="C329" s="470"/>
      <c r="D329" s="470"/>
      <c r="E329" s="470"/>
      <c r="F329" s="470"/>
      <c r="G329" s="470"/>
      <c r="H329" s="470"/>
      <c r="I329" s="470"/>
      <c r="J329" s="470"/>
      <c r="K329" s="470"/>
      <c r="L329" s="470"/>
      <c r="M329" s="470"/>
      <c r="N329" s="470"/>
      <c r="O329" s="470"/>
      <c r="P329" s="470"/>
      <c r="Q329" s="470"/>
      <c r="R329" s="470"/>
      <c r="S329" s="470"/>
      <c r="T329" s="470"/>
      <c r="U329" s="470"/>
      <c r="V329" s="470"/>
      <c r="W329" s="470"/>
      <c r="X329" s="470"/>
      <c r="Y329" s="470"/>
      <c r="Z329" s="470"/>
    </row>
    <row r="330" spans="2:26" x14ac:dyDescent="0.3">
      <c r="B330" s="470" t="s">
        <v>612</v>
      </c>
      <c r="C330" s="470"/>
      <c r="D330" s="470"/>
      <c r="E330" s="470"/>
      <c r="F330" s="470"/>
      <c r="G330" s="470"/>
      <c r="H330" s="470"/>
      <c r="I330" s="470"/>
      <c r="J330" s="470"/>
      <c r="K330" s="470"/>
      <c r="L330" s="470"/>
      <c r="M330" s="470"/>
      <c r="N330" s="470"/>
      <c r="O330" s="470"/>
      <c r="P330" s="470"/>
      <c r="Q330" s="470"/>
      <c r="R330" s="470"/>
      <c r="S330" s="470"/>
      <c r="T330" s="470"/>
      <c r="U330" s="470"/>
      <c r="V330" s="470"/>
      <c r="W330" s="470"/>
      <c r="X330" s="470"/>
      <c r="Y330" s="470"/>
      <c r="Z330" s="470"/>
    </row>
    <row r="331" spans="2:26" x14ac:dyDescent="0.3">
      <c r="B331" s="471" t="s">
        <v>552</v>
      </c>
      <c r="C331" s="471"/>
      <c r="D331" s="471"/>
      <c r="E331" s="471"/>
      <c r="F331" s="471"/>
      <c r="G331" s="471"/>
      <c r="H331" s="471"/>
      <c r="I331" s="471"/>
      <c r="J331" s="471"/>
      <c r="K331" s="471"/>
      <c r="L331" s="471"/>
      <c r="M331" s="471"/>
      <c r="N331" s="471"/>
      <c r="O331" s="471"/>
      <c r="P331" s="471"/>
      <c r="Q331" s="471"/>
      <c r="R331" s="471"/>
      <c r="S331" s="471"/>
      <c r="T331" s="471"/>
      <c r="U331" s="471"/>
      <c r="V331" s="471"/>
      <c r="W331" s="471"/>
      <c r="X331" s="471"/>
      <c r="Y331" s="471"/>
      <c r="Z331" s="471"/>
    </row>
    <row r="332" spans="2:26" x14ac:dyDescent="0.3">
      <c r="B332" s="241"/>
      <c r="C332" s="241"/>
      <c r="D332" s="241"/>
      <c r="E332" s="241"/>
      <c r="F332" s="241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41"/>
      <c r="S332" s="241"/>
      <c r="T332" s="241"/>
      <c r="U332" s="241"/>
      <c r="V332" s="241"/>
      <c r="W332" s="241"/>
      <c r="X332" s="241"/>
      <c r="Y332" s="241"/>
      <c r="Z332" s="241"/>
    </row>
    <row r="333" spans="2:26" ht="15" customHeight="1" x14ac:dyDescent="0.3">
      <c r="B333" s="21" t="s">
        <v>193</v>
      </c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2:26" ht="15" customHeight="1" x14ac:dyDescent="0.3"/>
    <row r="335" spans="2:26" ht="15" customHeight="1" x14ac:dyDescent="0.3"/>
    <row r="336" spans="2:26" ht="15" customHeight="1" x14ac:dyDescent="0.3"/>
    <row r="337" ht="15" customHeight="1" x14ac:dyDescent="0.3"/>
    <row r="338" ht="15" customHeight="1" x14ac:dyDescent="0.3"/>
  </sheetData>
  <mergeCells count="5">
    <mergeCell ref="B329:Z329"/>
    <mergeCell ref="B330:Z330"/>
    <mergeCell ref="B331:Z331"/>
    <mergeCell ref="B327:Z327"/>
    <mergeCell ref="B328:Z32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E287-A516-4B91-9376-12F21B7795B6}">
  <dimension ref="E2:G10"/>
  <sheetViews>
    <sheetView showGridLines="0" workbookViewId="0">
      <selection activeCell="H8" sqref="H8"/>
    </sheetView>
  </sheetViews>
  <sheetFormatPr defaultRowHeight="14.4" x14ac:dyDescent="0.3"/>
  <cols>
    <col min="5" max="5" width="12.5546875" bestFit="1" customWidth="1"/>
    <col min="6" max="6" width="13.33203125" bestFit="1" customWidth="1"/>
    <col min="7" max="13" width="18" customWidth="1"/>
  </cols>
  <sheetData>
    <row r="2" spans="5:7" x14ac:dyDescent="0.3">
      <c r="E2" s="465"/>
      <c r="F2" s="469" t="s">
        <v>308</v>
      </c>
      <c r="G2" s="469" t="s">
        <v>129</v>
      </c>
    </row>
    <row r="3" spans="5:7" x14ac:dyDescent="0.3">
      <c r="E3" s="465" t="s">
        <v>800</v>
      </c>
      <c r="F3" s="467">
        <v>3591854.9524379973</v>
      </c>
      <c r="G3" s="467">
        <v>286749.53693156928</v>
      </c>
    </row>
    <row r="4" spans="5:7" x14ac:dyDescent="0.3">
      <c r="E4" s="465" t="s">
        <v>801</v>
      </c>
      <c r="F4" s="467">
        <v>3561464.4974854346</v>
      </c>
      <c r="G4" s="467">
        <v>256359.0819790065</v>
      </c>
    </row>
    <row r="5" spans="5:7" x14ac:dyDescent="0.3">
      <c r="E5" s="466" t="s">
        <v>799</v>
      </c>
      <c r="F5" s="468">
        <f>F3-F4</f>
        <v>30390.454952562694</v>
      </c>
      <c r="G5" s="468">
        <f>G3-G4</f>
        <v>30390.454952562781</v>
      </c>
    </row>
    <row r="10" spans="5:7" x14ac:dyDescent="0.3">
      <c r="E10" s="46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D25B2-A915-4243-889D-86C44CE8ED6A}">
  <dimension ref="A1:W130"/>
  <sheetViews>
    <sheetView showGridLines="0" zoomScale="80" zoomScaleNormal="8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D14" sqref="D14"/>
    </sheetView>
  </sheetViews>
  <sheetFormatPr defaultRowHeight="14.4" x14ac:dyDescent="0.3"/>
  <cols>
    <col min="1" max="2" width="3.33203125" customWidth="1"/>
    <col min="3" max="3" width="34.77734375" customWidth="1"/>
    <col min="7" max="7" width="12.44140625" bestFit="1" customWidth="1"/>
    <col min="22" max="22" width="11.5546875" bestFit="1" customWidth="1"/>
  </cols>
  <sheetData>
    <row r="1" spans="2:23" x14ac:dyDescent="0.3">
      <c r="B1" s="15" t="s">
        <v>422</v>
      </c>
      <c r="C1" s="8"/>
      <c r="D1" s="8"/>
      <c r="E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141" t="s">
        <v>752</v>
      </c>
      <c r="W1">
        <v>1</v>
      </c>
    </row>
    <row r="2" spans="2:23" x14ac:dyDescent="0.3">
      <c r="B2" s="73" t="s">
        <v>564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141" t="s">
        <v>755</v>
      </c>
      <c r="W2">
        <v>2</v>
      </c>
    </row>
    <row r="3" spans="2:23" x14ac:dyDescent="0.3">
      <c r="B3" s="106" t="s">
        <v>567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2:23" x14ac:dyDescent="0.3">
      <c r="B4" s="52"/>
      <c r="C4" s="52"/>
      <c r="D4" s="52"/>
      <c r="E4" s="52"/>
      <c r="F4" s="109" t="s">
        <v>23</v>
      </c>
      <c r="G4" s="109"/>
      <c r="H4" s="109">
        <v>2026</v>
      </c>
      <c r="I4" s="109">
        <v>2027</v>
      </c>
      <c r="J4" s="109">
        <v>2028</v>
      </c>
      <c r="K4" s="109">
        <v>2029</v>
      </c>
      <c r="L4" s="109">
        <v>2030</v>
      </c>
      <c r="M4" s="109">
        <v>2031</v>
      </c>
      <c r="N4" s="52">
        <f t="shared" ref="N4:U4" si="0">M4+1</f>
        <v>2032</v>
      </c>
      <c r="O4" s="52">
        <f t="shared" si="0"/>
        <v>2033</v>
      </c>
      <c r="P4" s="52">
        <f t="shared" si="0"/>
        <v>2034</v>
      </c>
      <c r="Q4" s="52">
        <f t="shared" si="0"/>
        <v>2035</v>
      </c>
      <c r="R4" s="52">
        <f t="shared" si="0"/>
        <v>2036</v>
      </c>
      <c r="S4" s="52">
        <f t="shared" si="0"/>
        <v>2037</v>
      </c>
      <c r="T4" s="52">
        <f t="shared" si="0"/>
        <v>2038</v>
      </c>
      <c r="U4" s="52">
        <f t="shared" si="0"/>
        <v>2039</v>
      </c>
    </row>
    <row r="5" spans="2:23" x14ac:dyDescent="0.3"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2:23" x14ac:dyDescent="0.3">
      <c r="B6" s="52" t="s">
        <v>753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</row>
    <row r="7" spans="2:23" x14ac:dyDescent="0.3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2:23" x14ac:dyDescent="0.3">
      <c r="B8" s="8"/>
      <c r="C8" s="52" t="s">
        <v>137</v>
      </c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</row>
    <row r="9" spans="2:23" x14ac:dyDescent="0.3">
      <c r="B9" s="8"/>
      <c r="C9" s="8" t="s">
        <v>132</v>
      </c>
      <c r="D9" s="8"/>
      <c r="E9" s="8"/>
      <c r="F9" s="204">
        <f t="shared" ref="F9:F16" si="1">SUM(H9:U9)</f>
        <v>1</v>
      </c>
      <c r="G9" s="8"/>
      <c r="H9" s="205">
        <v>1</v>
      </c>
      <c r="I9" s="205">
        <v>0</v>
      </c>
      <c r="J9" s="205">
        <v>0</v>
      </c>
      <c r="K9" s="205">
        <v>0</v>
      </c>
      <c r="L9" s="205">
        <v>0</v>
      </c>
      <c r="M9" s="205">
        <v>0</v>
      </c>
      <c r="N9" s="205">
        <v>0</v>
      </c>
      <c r="O9" s="205">
        <v>0</v>
      </c>
      <c r="P9" s="205">
        <v>0</v>
      </c>
      <c r="Q9" s="205">
        <v>0</v>
      </c>
      <c r="R9" s="205">
        <v>0</v>
      </c>
      <c r="S9" s="205">
        <v>0</v>
      </c>
      <c r="T9" s="205">
        <v>0</v>
      </c>
      <c r="U9" s="205">
        <v>0</v>
      </c>
    </row>
    <row r="10" spans="2:23" x14ac:dyDescent="0.3">
      <c r="B10" s="8"/>
      <c r="C10" s="8" t="s">
        <v>125</v>
      </c>
      <c r="D10" s="8"/>
      <c r="E10" s="8"/>
      <c r="F10" s="204">
        <f t="shared" si="1"/>
        <v>0.99999999999999989</v>
      </c>
      <c r="G10" s="8"/>
      <c r="H10" s="205">
        <v>0.3</v>
      </c>
      <c r="I10" s="205">
        <v>0.3</v>
      </c>
      <c r="J10" s="205">
        <v>0.3</v>
      </c>
      <c r="K10" s="205">
        <v>0.1</v>
      </c>
      <c r="L10" s="205">
        <v>0</v>
      </c>
      <c r="M10" s="205">
        <v>0</v>
      </c>
      <c r="N10" s="205">
        <v>0</v>
      </c>
      <c r="O10" s="205">
        <v>0</v>
      </c>
      <c r="P10" s="205">
        <v>0</v>
      </c>
      <c r="Q10" s="205">
        <v>0</v>
      </c>
      <c r="R10" s="205">
        <v>0</v>
      </c>
      <c r="S10" s="205">
        <v>0</v>
      </c>
      <c r="T10" s="205">
        <v>0</v>
      </c>
      <c r="U10" s="205">
        <v>0</v>
      </c>
    </row>
    <row r="11" spans="2:23" x14ac:dyDescent="0.3">
      <c r="B11" s="8"/>
      <c r="C11" s="8" t="s">
        <v>126</v>
      </c>
      <c r="D11" s="8"/>
      <c r="E11" s="8"/>
      <c r="F11" s="204">
        <f t="shared" si="1"/>
        <v>1</v>
      </c>
      <c r="G11" s="8"/>
      <c r="H11" s="205">
        <v>1</v>
      </c>
      <c r="I11" s="205">
        <v>0</v>
      </c>
      <c r="J11" s="205">
        <v>0</v>
      </c>
      <c r="K11" s="205">
        <v>0</v>
      </c>
      <c r="L11" s="205">
        <v>0</v>
      </c>
      <c r="M11" s="205">
        <v>0</v>
      </c>
      <c r="N11" s="205">
        <v>0</v>
      </c>
      <c r="O11" s="205">
        <v>0</v>
      </c>
      <c r="P11" s="205">
        <v>0</v>
      </c>
      <c r="Q11" s="205">
        <v>0</v>
      </c>
      <c r="R11" s="205">
        <v>0</v>
      </c>
      <c r="S11" s="205">
        <v>0</v>
      </c>
      <c r="T11" s="205">
        <v>0</v>
      </c>
      <c r="U11" s="205">
        <v>0</v>
      </c>
    </row>
    <row r="12" spans="2:23" x14ac:dyDescent="0.3">
      <c r="B12" s="8"/>
      <c r="C12" s="8" t="s">
        <v>127</v>
      </c>
      <c r="D12" s="8"/>
      <c r="E12" s="8"/>
      <c r="F12" s="204">
        <f t="shared" si="1"/>
        <v>1</v>
      </c>
      <c r="G12" s="8"/>
      <c r="H12" s="205">
        <v>0</v>
      </c>
      <c r="I12" s="205">
        <v>0</v>
      </c>
      <c r="J12" s="205">
        <v>0</v>
      </c>
      <c r="K12" s="205">
        <v>1</v>
      </c>
      <c r="L12" s="205">
        <v>0</v>
      </c>
      <c r="M12" s="205">
        <v>0</v>
      </c>
      <c r="N12" s="205">
        <v>0</v>
      </c>
      <c r="O12" s="205">
        <v>0</v>
      </c>
      <c r="P12" s="205">
        <v>0</v>
      </c>
      <c r="Q12" s="205">
        <v>0</v>
      </c>
      <c r="R12" s="205">
        <v>0</v>
      </c>
      <c r="S12" s="205">
        <v>0</v>
      </c>
      <c r="T12" s="205">
        <v>0</v>
      </c>
      <c r="U12" s="205">
        <v>0</v>
      </c>
    </row>
    <row r="13" spans="2:23" x14ac:dyDescent="0.3">
      <c r="B13" s="8"/>
      <c r="C13" s="8" t="s">
        <v>128</v>
      </c>
      <c r="D13" s="8"/>
      <c r="E13" s="8"/>
      <c r="F13" s="204">
        <f t="shared" si="1"/>
        <v>1</v>
      </c>
      <c r="G13" s="8"/>
      <c r="H13" s="205">
        <v>0.311</v>
      </c>
      <c r="I13" s="205">
        <v>0.29399999999999998</v>
      </c>
      <c r="J13" s="205">
        <v>0.29399999999999998</v>
      </c>
      <c r="K13" s="205">
        <v>0.10100000000000001</v>
      </c>
      <c r="L13" s="205">
        <v>0</v>
      </c>
      <c r="M13" s="205">
        <v>0</v>
      </c>
      <c r="N13" s="205">
        <v>0</v>
      </c>
      <c r="O13" s="205">
        <v>0</v>
      </c>
      <c r="P13" s="205">
        <v>0</v>
      </c>
      <c r="Q13" s="205">
        <v>0</v>
      </c>
      <c r="R13" s="205">
        <v>0</v>
      </c>
      <c r="S13" s="205">
        <v>0</v>
      </c>
      <c r="T13" s="205">
        <v>0</v>
      </c>
      <c r="U13" s="205">
        <v>0</v>
      </c>
    </row>
    <row r="14" spans="2:23" x14ac:dyDescent="0.3">
      <c r="B14" s="8"/>
      <c r="C14" s="8" t="s">
        <v>133</v>
      </c>
      <c r="D14" s="8"/>
      <c r="E14" s="8"/>
      <c r="F14" s="204">
        <f t="shared" si="1"/>
        <v>0.99999999999999989</v>
      </c>
      <c r="G14" s="8"/>
      <c r="H14" s="205">
        <v>0.3</v>
      </c>
      <c r="I14" s="205">
        <v>0.3</v>
      </c>
      <c r="J14" s="205">
        <v>0.3</v>
      </c>
      <c r="K14" s="205">
        <v>0.1</v>
      </c>
      <c r="L14" s="205">
        <v>0</v>
      </c>
      <c r="M14" s="205">
        <v>0</v>
      </c>
      <c r="N14" s="205">
        <v>0</v>
      </c>
      <c r="O14" s="205">
        <v>0</v>
      </c>
      <c r="P14" s="205">
        <v>0</v>
      </c>
      <c r="Q14" s="205">
        <v>0</v>
      </c>
      <c r="R14" s="205">
        <v>0</v>
      </c>
      <c r="S14" s="205">
        <v>0</v>
      </c>
      <c r="T14" s="205">
        <v>0</v>
      </c>
      <c r="U14" s="205">
        <v>0</v>
      </c>
    </row>
    <row r="15" spans="2:23" x14ac:dyDescent="0.3">
      <c r="B15" s="141"/>
      <c r="C15" s="8" t="s">
        <v>129</v>
      </c>
      <c r="D15" s="8"/>
      <c r="E15" s="8"/>
      <c r="F15" s="204">
        <f t="shared" si="1"/>
        <v>0.99999999999999989</v>
      </c>
      <c r="G15" s="8"/>
      <c r="H15" s="205">
        <v>4.8000000000000001E-2</v>
      </c>
      <c r="I15" s="205">
        <v>0.29199999999999998</v>
      </c>
      <c r="J15" s="205">
        <v>0.3</v>
      </c>
      <c r="K15" s="205">
        <v>0.25600000000000001</v>
      </c>
      <c r="L15" s="205">
        <v>0.104</v>
      </c>
      <c r="M15" s="205">
        <v>0</v>
      </c>
      <c r="N15" s="205">
        <v>0</v>
      </c>
      <c r="O15" s="205">
        <v>0</v>
      </c>
      <c r="P15" s="205">
        <v>0</v>
      </c>
      <c r="Q15" s="205">
        <v>0</v>
      </c>
      <c r="R15" s="205">
        <v>0</v>
      </c>
      <c r="S15" s="205">
        <v>0</v>
      </c>
      <c r="T15" s="205">
        <v>0</v>
      </c>
      <c r="U15" s="205">
        <v>0</v>
      </c>
    </row>
    <row r="16" spans="2:23" x14ac:dyDescent="0.3">
      <c r="B16" s="141"/>
      <c r="C16" s="8" t="s">
        <v>130</v>
      </c>
      <c r="D16" s="8"/>
      <c r="E16" s="8"/>
      <c r="F16" s="204">
        <f t="shared" si="1"/>
        <v>0.99999999999999989</v>
      </c>
      <c r="G16" s="8"/>
      <c r="H16" s="205">
        <v>0.3</v>
      </c>
      <c r="I16" s="205">
        <v>0.3</v>
      </c>
      <c r="J16" s="205">
        <v>0.3</v>
      </c>
      <c r="K16" s="205">
        <v>0.1</v>
      </c>
      <c r="L16" s="205">
        <v>0</v>
      </c>
      <c r="M16" s="205">
        <v>0</v>
      </c>
      <c r="N16" s="205">
        <v>0</v>
      </c>
      <c r="O16" s="205">
        <v>0</v>
      </c>
      <c r="P16" s="205">
        <v>0</v>
      </c>
      <c r="Q16" s="205">
        <v>0</v>
      </c>
      <c r="R16" s="205">
        <v>0</v>
      </c>
      <c r="S16" s="205">
        <v>0</v>
      </c>
      <c r="T16" s="205">
        <v>0</v>
      </c>
      <c r="U16" s="205">
        <v>0</v>
      </c>
    </row>
    <row r="17" spans="2:21" x14ac:dyDescent="0.3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2:21" x14ac:dyDescent="0.3">
      <c r="B18" s="8"/>
      <c r="C18" s="52" t="s">
        <v>138</v>
      </c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</row>
    <row r="19" spans="2:21" x14ac:dyDescent="0.3">
      <c r="B19" s="8"/>
      <c r="C19" s="8" t="s">
        <v>132</v>
      </c>
      <c r="D19" s="8"/>
      <c r="E19" s="8"/>
      <c r="F19" s="204">
        <f>SUM(H19:U19)</f>
        <v>1</v>
      </c>
      <c r="G19" s="8"/>
      <c r="H19" s="205">
        <v>1</v>
      </c>
      <c r="I19" s="205">
        <v>0</v>
      </c>
      <c r="J19" s="205">
        <v>0</v>
      </c>
      <c r="K19" s="205">
        <v>0</v>
      </c>
      <c r="L19" s="205">
        <v>0</v>
      </c>
      <c r="M19" s="205">
        <v>0</v>
      </c>
      <c r="N19" s="205">
        <v>0</v>
      </c>
      <c r="O19" s="205">
        <v>0</v>
      </c>
      <c r="P19" s="205">
        <v>0</v>
      </c>
      <c r="Q19" s="205">
        <v>0</v>
      </c>
      <c r="R19" s="205">
        <v>0</v>
      </c>
      <c r="S19" s="205">
        <v>0</v>
      </c>
      <c r="T19" s="205">
        <v>0</v>
      </c>
      <c r="U19" s="205">
        <v>0</v>
      </c>
    </row>
    <row r="20" spans="2:21" x14ac:dyDescent="0.3">
      <c r="B20" s="8"/>
      <c r="C20" s="8" t="s">
        <v>125</v>
      </c>
      <c r="D20" s="8"/>
      <c r="E20" s="8"/>
      <c r="F20" s="204">
        <f t="shared" ref="F20:F26" si="2">SUM(H20:U20)</f>
        <v>0.99999999999999989</v>
      </c>
      <c r="G20" s="8"/>
      <c r="H20" s="205">
        <v>0.3</v>
      </c>
      <c r="I20" s="205">
        <v>0.3</v>
      </c>
      <c r="J20" s="205">
        <v>0.3</v>
      </c>
      <c r="K20" s="205">
        <v>0.1</v>
      </c>
      <c r="L20" s="205">
        <v>0</v>
      </c>
      <c r="M20" s="205">
        <v>0</v>
      </c>
      <c r="N20" s="205">
        <v>0</v>
      </c>
      <c r="O20" s="205">
        <v>0</v>
      </c>
      <c r="P20" s="205">
        <v>0</v>
      </c>
      <c r="Q20" s="205">
        <v>0</v>
      </c>
      <c r="R20" s="205">
        <v>0</v>
      </c>
      <c r="S20" s="205">
        <v>0</v>
      </c>
      <c r="T20" s="205">
        <v>0</v>
      </c>
      <c r="U20" s="205">
        <v>0</v>
      </c>
    </row>
    <row r="21" spans="2:21" x14ac:dyDescent="0.3">
      <c r="B21" s="8"/>
      <c r="C21" s="8" t="s">
        <v>126</v>
      </c>
      <c r="D21" s="8"/>
      <c r="E21" s="8"/>
      <c r="F21" s="204">
        <f t="shared" si="2"/>
        <v>1</v>
      </c>
      <c r="G21" s="8"/>
      <c r="H21" s="205">
        <v>1</v>
      </c>
      <c r="I21" s="205">
        <v>0</v>
      </c>
      <c r="J21" s="205">
        <v>0</v>
      </c>
      <c r="K21" s="205">
        <v>0</v>
      </c>
      <c r="L21" s="205">
        <v>0</v>
      </c>
      <c r="M21" s="205">
        <v>0</v>
      </c>
      <c r="N21" s="205">
        <v>0</v>
      </c>
      <c r="O21" s="205">
        <v>0</v>
      </c>
      <c r="P21" s="205">
        <v>0</v>
      </c>
      <c r="Q21" s="205">
        <v>0</v>
      </c>
      <c r="R21" s="205">
        <v>0</v>
      </c>
      <c r="S21" s="205">
        <v>0</v>
      </c>
      <c r="T21" s="205">
        <v>0</v>
      </c>
      <c r="U21" s="205">
        <v>0</v>
      </c>
    </row>
    <row r="22" spans="2:21" x14ac:dyDescent="0.3">
      <c r="B22" s="8"/>
      <c r="C22" s="8" t="s">
        <v>127</v>
      </c>
      <c r="D22" s="8"/>
      <c r="E22" s="8"/>
      <c r="F22" s="204">
        <f t="shared" si="2"/>
        <v>1</v>
      </c>
      <c r="G22" s="8"/>
      <c r="H22" s="205">
        <v>0</v>
      </c>
      <c r="I22" s="205">
        <v>0</v>
      </c>
      <c r="J22" s="205">
        <v>0</v>
      </c>
      <c r="K22" s="205">
        <v>1</v>
      </c>
      <c r="L22" s="205">
        <v>0</v>
      </c>
      <c r="M22" s="205">
        <v>0</v>
      </c>
      <c r="N22" s="205">
        <v>0</v>
      </c>
      <c r="O22" s="205">
        <v>0</v>
      </c>
      <c r="P22" s="205">
        <v>0</v>
      </c>
      <c r="Q22" s="205">
        <v>0</v>
      </c>
      <c r="R22" s="205">
        <v>0</v>
      </c>
      <c r="S22" s="205">
        <v>0</v>
      </c>
      <c r="T22" s="205">
        <v>0</v>
      </c>
      <c r="U22" s="205">
        <v>0</v>
      </c>
    </row>
    <row r="23" spans="2:21" x14ac:dyDescent="0.3">
      <c r="B23" s="8"/>
      <c r="C23" s="8" t="s">
        <v>128</v>
      </c>
      <c r="D23" s="8"/>
      <c r="E23" s="8"/>
      <c r="F23" s="204">
        <f t="shared" si="2"/>
        <v>0.99999999999999989</v>
      </c>
      <c r="G23" s="8"/>
      <c r="H23" s="205">
        <v>0.312</v>
      </c>
      <c r="I23" s="205">
        <v>0.29299999999999998</v>
      </c>
      <c r="J23" s="205">
        <v>0.29299999999999998</v>
      </c>
      <c r="K23" s="205">
        <v>0.10199999999999999</v>
      </c>
      <c r="L23" s="205">
        <v>0</v>
      </c>
      <c r="M23" s="205">
        <v>0</v>
      </c>
      <c r="N23" s="205">
        <v>0</v>
      </c>
      <c r="O23" s="205">
        <v>0</v>
      </c>
      <c r="P23" s="205">
        <v>0</v>
      </c>
      <c r="Q23" s="205">
        <v>0</v>
      </c>
      <c r="R23" s="205">
        <v>0</v>
      </c>
      <c r="S23" s="205">
        <v>0</v>
      </c>
      <c r="T23" s="205">
        <v>0</v>
      </c>
      <c r="U23" s="205">
        <v>0</v>
      </c>
    </row>
    <row r="24" spans="2:21" x14ac:dyDescent="0.3">
      <c r="B24" s="8"/>
      <c r="C24" s="8" t="s">
        <v>133</v>
      </c>
      <c r="D24" s="8"/>
      <c r="E24" s="8"/>
      <c r="F24" s="204">
        <f t="shared" si="2"/>
        <v>0.99999999999999989</v>
      </c>
      <c r="G24" s="8"/>
      <c r="H24" s="205">
        <v>0.3</v>
      </c>
      <c r="I24" s="205">
        <v>0.3</v>
      </c>
      <c r="J24" s="205">
        <v>0.3</v>
      </c>
      <c r="K24" s="205">
        <v>0.1</v>
      </c>
      <c r="L24" s="205">
        <v>0</v>
      </c>
      <c r="M24" s="205">
        <v>0</v>
      </c>
      <c r="N24" s="205">
        <v>0</v>
      </c>
      <c r="O24" s="205">
        <v>0</v>
      </c>
      <c r="P24" s="205">
        <v>0</v>
      </c>
      <c r="Q24" s="205">
        <v>0</v>
      </c>
      <c r="R24" s="205">
        <v>0</v>
      </c>
      <c r="S24" s="205">
        <v>0</v>
      </c>
      <c r="T24" s="205">
        <v>0</v>
      </c>
      <c r="U24" s="205">
        <v>0</v>
      </c>
    </row>
    <row r="25" spans="2:21" x14ac:dyDescent="0.3">
      <c r="B25" s="8"/>
      <c r="C25" s="8" t="s">
        <v>129</v>
      </c>
      <c r="D25" s="8"/>
      <c r="E25" s="8"/>
      <c r="F25" s="204">
        <f t="shared" si="2"/>
        <v>1</v>
      </c>
      <c r="G25" s="8"/>
      <c r="H25" s="205">
        <v>0</v>
      </c>
      <c r="I25" s="205">
        <v>0.191</v>
      </c>
      <c r="J25" s="205">
        <v>0.19600000000000001</v>
      </c>
      <c r="K25" s="205">
        <v>0.2</v>
      </c>
      <c r="L25" s="205">
        <v>0.308</v>
      </c>
      <c r="M25" s="205">
        <v>0.105</v>
      </c>
      <c r="N25" s="205">
        <v>0</v>
      </c>
      <c r="O25" s="205">
        <v>0</v>
      </c>
      <c r="P25" s="205">
        <v>0</v>
      </c>
      <c r="Q25" s="205">
        <v>0</v>
      </c>
      <c r="R25" s="205">
        <v>0</v>
      </c>
      <c r="S25" s="205">
        <v>0</v>
      </c>
      <c r="T25" s="205">
        <v>0</v>
      </c>
      <c r="U25" s="205">
        <v>0</v>
      </c>
    </row>
    <row r="26" spans="2:21" x14ac:dyDescent="0.3">
      <c r="B26" s="8"/>
      <c r="C26" s="8" t="s">
        <v>130</v>
      </c>
      <c r="D26" s="8"/>
      <c r="E26" s="8"/>
      <c r="F26" s="204">
        <f t="shared" si="2"/>
        <v>0.99999999999999989</v>
      </c>
      <c r="G26" s="8"/>
      <c r="H26" s="205">
        <v>0.3</v>
      </c>
      <c r="I26" s="205">
        <v>0.3</v>
      </c>
      <c r="J26" s="205">
        <v>0.3</v>
      </c>
      <c r="K26" s="205">
        <v>0.1</v>
      </c>
      <c r="L26" s="205">
        <v>0</v>
      </c>
      <c r="M26" s="205">
        <v>0</v>
      </c>
      <c r="N26" s="205">
        <v>0</v>
      </c>
      <c r="O26" s="205">
        <v>0</v>
      </c>
      <c r="P26" s="205">
        <v>0</v>
      </c>
      <c r="Q26" s="205">
        <v>0</v>
      </c>
      <c r="R26" s="205">
        <v>0</v>
      </c>
      <c r="S26" s="205">
        <v>0</v>
      </c>
      <c r="T26" s="205">
        <v>0</v>
      </c>
      <c r="U26" s="205">
        <v>0</v>
      </c>
    </row>
    <row r="27" spans="2:21" x14ac:dyDescent="0.3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2:21" x14ac:dyDescent="0.3">
      <c r="B28" s="8"/>
      <c r="C28" s="52" t="s">
        <v>139</v>
      </c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</row>
    <row r="29" spans="2:21" x14ac:dyDescent="0.3">
      <c r="B29" s="8"/>
      <c r="C29" s="8" t="s">
        <v>132</v>
      </c>
      <c r="D29" s="8"/>
      <c r="E29" s="8"/>
      <c r="F29" s="204">
        <f t="shared" ref="F29:F36" si="3">SUM(H29:U29)</f>
        <v>1</v>
      </c>
      <c r="G29" s="8"/>
      <c r="H29" s="205">
        <v>1</v>
      </c>
      <c r="I29" s="205">
        <v>0</v>
      </c>
      <c r="J29" s="205">
        <v>0</v>
      </c>
      <c r="K29" s="205">
        <v>0</v>
      </c>
      <c r="L29" s="205">
        <v>0</v>
      </c>
      <c r="M29" s="205">
        <v>0</v>
      </c>
      <c r="N29" s="205">
        <v>0</v>
      </c>
      <c r="O29" s="205">
        <v>0</v>
      </c>
      <c r="P29" s="205">
        <v>0</v>
      </c>
      <c r="Q29" s="205">
        <v>0</v>
      </c>
      <c r="R29" s="205">
        <v>0</v>
      </c>
      <c r="S29" s="205">
        <v>0</v>
      </c>
      <c r="T29" s="205">
        <v>0</v>
      </c>
      <c r="U29" s="205">
        <v>0</v>
      </c>
    </row>
    <row r="30" spans="2:21" x14ac:dyDescent="0.3">
      <c r="B30" s="8"/>
      <c r="C30" s="8" t="s">
        <v>125</v>
      </c>
      <c r="D30" s="8"/>
      <c r="E30" s="8"/>
      <c r="F30" s="204">
        <f t="shared" si="3"/>
        <v>0.99999999999999989</v>
      </c>
      <c r="G30" s="8"/>
      <c r="H30" s="205">
        <v>0.3</v>
      </c>
      <c r="I30" s="205">
        <v>0.3</v>
      </c>
      <c r="J30" s="205">
        <v>0.3</v>
      </c>
      <c r="K30" s="205">
        <v>0.1</v>
      </c>
      <c r="L30" s="205">
        <v>0</v>
      </c>
      <c r="M30" s="205">
        <v>0</v>
      </c>
      <c r="N30" s="205">
        <v>0</v>
      </c>
      <c r="O30" s="205">
        <v>0</v>
      </c>
      <c r="P30" s="205">
        <v>0</v>
      </c>
      <c r="Q30" s="205">
        <v>0</v>
      </c>
      <c r="R30" s="205">
        <v>0</v>
      </c>
      <c r="S30" s="205">
        <v>0</v>
      </c>
      <c r="T30" s="205">
        <v>0</v>
      </c>
      <c r="U30" s="205">
        <v>0</v>
      </c>
    </row>
    <row r="31" spans="2:21" x14ac:dyDescent="0.3">
      <c r="B31" s="8"/>
      <c r="C31" s="8" t="s">
        <v>126</v>
      </c>
      <c r="D31" s="8"/>
      <c r="E31" s="8"/>
      <c r="F31" s="204">
        <f t="shared" si="3"/>
        <v>1</v>
      </c>
      <c r="G31" s="8"/>
      <c r="H31" s="205">
        <v>1</v>
      </c>
      <c r="I31" s="205">
        <v>0</v>
      </c>
      <c r="J31" s="205">
        <v>0</v>
      </c>
      <c r="K31" s="205">
        <v>0</v>
      </c>
      <c r="L31" s="205">
        <v>0</v>
      </c>
      <c r="M31" s="205">
        <v>0</v>
      </c>
      <c r="N31" s="205">
        <v>0</v>
      </c>
      <c r="O31" s="205">
        <v>0</v>
      </c>
      <c r="P31" s="205">
        <v>0</v>
      </c>
      <c r="Q31" s="205">
        <v>0</v>
      </c>
      <c r="R31" s="205">
        <v>0</v>
      </c>
      <c r="S31" s="205">
        <v>0</v>
      </c>
      <c r="T31" s="205">
        <v>0</v>
      </c>
      <c r="U31" s="205">
        <v>0</v>
      </c>
    </row>
    <row r="32" spans="2:21" x14ac:dyDescent="0.3">
      <c r="B32" s="8"/>
      <c r="C32" s="8" t="s">
        <v>127</v>
      </c>
      <c r="D32" s="8"/>
      <c r="E32" s="8"/>
      <c r="F32" s="204">
        <f t="shared" si="3"/>
        <v>1</v>
      </c>
      <c r="G32" s="8"/>
      <c r="H32" s="205">
        <v>0</v>
      </c>
      <c r="I32" s="205">
        <v>0</v>
      </c>
      <c r="J32" s="205">
        <v>0</v>
      </c>
      <c r="K32" s="205">
        <v>1</v>
      </c>
      <c r="L32" s="205">
        <v>0</v>
      </c>
      <c r="M32" s="205">
        <v>0</v>
      </c>
      <c r="N32" s="205">
        <v>0</v>
      </c>
      <c r="O32" s="205">
        <v>0</v>
      </c>
      <c r="P32" s="205">
        <v>0</v>
      </c>
      <c r="Q32" s="205">
        <v>0</v>
      </c>
      <c r="R32" s="205">
        <v>0</v>
      </c>
      <c r="S32" s="205">
        <v>0</v>
      </c>
      <c r="T32" s="205">
        <v>0</v>
      </c>
      <c r="U32" s="205">
        <v>0</v>
      </c>
    </row>
    <row r="33" spans="2:21" x14ac:dyDescent="0.3">
      <c r="B33" s="8"/>
      <c r="C33" s="8" t="s">
        <v>128</v>
      </c>
      <c r="D33" s="8"/>
      <c r="E33" s="8"/>
      <c r="F33" s="204">
        <f t="shared" si="3"/>
        <v>0.99999999999999989</v>
      </c>
      <c r="G33" s="8"/>
      <c r="H33" s="205">
        <v>0.312</v>
      </c>
      <c r="I33" s="205">
        <v>0.29299999999999998</v>
      </c>
      <c r="J33" s="205">
        <v>0.29299999999999998</v>
      </c>
      <c r="K33" s="205">
        <v>0.10199999999999999</v>
      </c>
      <c r="L33" s="205">
        <v>0</v>
      </c>
      <c r="M33" s="205">
        <v>0</v>
      </c>
      <c r="N33" s="205">
        <v>0</v>
      </c>
      <c r="O33" s="205">
        <v>0</v>
      </c>
      <c r="P33" s="205">
        <v>0</v>
      </c>
      <c r="Q33" s="205">
        <v>0</v>
      </c>
      <c r="R33" s="205">
        <v>0</v>
      </c>
      <c r="S33" s="205">
        <v>0</v>
      </c>
      <c r="T33" s="205">
        <v>0</v>
      </c>
      <c r="U33" s="205">
        <v>0</v>
      </c>
    </row>
    <row r="34" spans="2:21" x14ac:dyDescent="0.3">
      <c r="B34" s="8"/>
      <c r="C34" s="8" t="s">
        <v>133</v>
      </c>
      <c r="D34" s="8"/>
      <c r="E34" s="8"/>
      <c r="F34" s="204">
        <f t="shared" si="3"/>
        <v>0.99999999999999989</v>
      </c>
      <c r="G34" s="8"/>
      <c r="H34" s="205">
        <v>0.3</v>
      </c>
      <c r="I34" s="205">
        <v>0.3</v>
      </c>
      <c r="J34" s="205">
        <v>0.3</v>
      </c>
      <c r="K34" s="205">
        <v>0.1</v>
      </c>
      <c r="L34" s="205">
        <v>0</v>
      </c>
      <c r="M34" s="205">
        <v>0</v>
      </c>
      <c r="N34" s="205">
        <v>0</v>
      </c>
      <c r="O34" s="205">
        <v>0</v>
      </c>
      <c r="P34" s="205">
        <v>0</v>
      </c>
      <c r="Q34" s="205">
        <v>0</v>
      </c>
      <c r="R34" s="205">
        <v>0</v>
      </c>
      <c r="S34" s="205">
        <v>0</v>
      </c>
      <c r="T34" s="205">
        <v>0</v>
      </c>
      <c r="U34" s="205">
        <v>0</v>
      </c>
    </row>
    <row r="35" spans="2:21" x14ac:dyDescent="0.3">
      <c r="B35" s="8"/>
      <c r="C35" s="8" t="s">
        <v>129</v>
      </c>
      <c r="D35" s="8"/>
      <c r="E35" s="8"/>
      <c r="F35" s="204">
        <f t="shared" si="3"/>
        <v>0.99999999999999989</v>
      </c>
      <c r="G35" s="8"/>
      <c r="H35" s="205">
        <v>4.8000000000000001E-2</v>
      </c>
      <c r="I35" s="205">
        <v>0.29099999999999998</v>
      </c>
      <c r="J35" s="205">
        <v>0.29899999999999999</v>
      </c>
      <c r="K35" s="205">
        <v>0.25800000000000001</v>
      </c>
      <c r="L35" s="205">
        <v>0.104</v>
      </c>
      <c r="M35" s="205">
        <v>0</v>
      </c>
      <c r="N35" s="205">
        <v>0</v>
      </c>
      <c r="O35" s="205">
        <v>0</v>
      </c>
      <c r="P35" s="205">
        <v>0</v>
      </c>
      <c r="Q35" s="205">
        <v>0</v>
      </c>
      <c r="R35" s="205">
        <v>0</v>
      </c>
      <c r="S35" s="205">
        <v>0</v>
      </c>
      <c r="T35" s="205">
        <v>0</v>
      </c>
      <c r="U35" s="205">
        <v>0</v>
      </c>
    </row>
    <row r="36" spans="2:21" x14ac:dyDescent="0.3">
      <c r="B36" s="8"/>
      <c r="C36" s="8" t="s">
        <v>130</v>
      </c>
      <c r="D36" s="8"/>
      <c r="E36" s="8"/>
      <c r="F36" s="204">
        <f t="shared" si="3"/>
        <v>0.99999999999999989</v>
      </c>
      <c r="G36" s="8"/>
      <c r="H36" s="205">
        <v>0.3</v>
      </c>
      <c r="I36" s="205">
        <v>0.3</v>
      </c>
      <c r="J36" s="205">
        <v>0.3</v>
      </c>
      <c r="K36" s="205">
        <v>0.1</v>
      </c>
      <c r="L36" s="205">
        <v>0</v>
      </c>
      <c r="M36" s="205">
        <v>0</v>
      </c>
      <c r="N36" s="205">
        <v>0</v>
      </c>
      <c r="O36" s="205">
        <v>0</v>
      </c>
      <c r="P36" s="205">
        <v>0</v>
      </c>
      <c r="Q36" s="205">
        <v>0</v>
      </c>
      <c r="R36" s="205">
        <v>0</v>
      </c>
      <c r="S36" s="205">
        <v>0</v>
      </c>
      <c r="T36" s="205">
        <v>0</v>
      </c>
      <c r="U36" s="205">
        <v>0</v>
      </c>
    </row>
    <row r="37" spans="2:2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</row>
    <row r="38" spans="2:21" x14ac:dyDescent="0.3">
      <c r="B38" s="8"/>
      <c r="C38" s="52" t="s">
        <v>140</v>
      </c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</row>
    <row r="39" spans="2:21" x14ac:dyDescent="0.3">
      <c r="B39" s="8"/>
      <c r="C39" s="8" t="s">
        <v>132</v>
      </c>
      <c r="D39" s="8"/>
      <c r="E39" s="8"/>
      <c r="F39" s="204">
        <f t="shared" ref="F39:F46" si="4">SUM(H39:U39)</f>
        <v>1</v>
      </c>
      <c r="G39" s="8"/>
      <c r="H39" s="205">
        <v>1</v>
      </c>
      <c r="I39" s="205">
        <v>0</v>
      </c>
      <c r="J39" s="205">
        <v>0</v>
      </c>
      <c r="K39" s="205">
        <v>0</v>
      </c>
      <c r="L39" s="205">
        <v>0</v>
      </c>
      <c r="M39" s="205">
        <v>0</v>
      </c>
      <c r="N39" s="205">
        <v>0</v>
      </c>
      <c r="O39" s="205">
        <v>0</v>
      </c>
      <c r="P39" s="205">
        <v>0</v>
      </c>
      <c r="Q39" s="205">
        <v>0</v>
      </c>
      <c r="R39" s="205">
        <v>0</v>
      </c>
      <c r="S39" s="205">
        <v>0</v>
      </c>
      <c r="T39" s="205">
        <v>0</v>
      </c>
      <c r="U39" s="205">
        <v>0</v>
      </c>
    </row>
    <row r="40" spans="2:21" x14ac:dyDescent="0.3">
      <c r="B40" s="8"/>
      <c r="C40" s="8" t="s">
        <v>125</v>
      </c>
      <c r="D40" s="8"/>
      <c r="E40" s="8"/>
      <c r="F40" s="204">
        <f t="shared" si="4"/>
        <v>0.99999999999999989</v>
      </c>
      <c r="G40" s="8"/>
      <c r="H40" s="205">
        <v>0.3</v>
      </c>
      <c r="I40" s="205">
        <v>0.3</v>
      </c>
      <c r="J40" s="205">
        <v>0.3</v>
      </c>
      <c r="K40" s="205">
        <v>0.1</v>
      </c>
      <c r="L40" s="205">
        <v>0</v>
      </c>
      <c r="M40" s="205">
        <v>0</v>
      </c>
      <c r="N40" s="205">
        <v>0</v>
      </c>
      <c r="O40" s="205">
        <v>0</v>
      </c>
      <c r="P40" s="205">
        <v>0</v>
      </c>
      <c r="Q40" s="205">
        <v>0</v>
      </c>
      <c r="R40" s="205">
        <v>0</v>
      </c>
      <c r="S40" s="205">
        <v>0</v>
      </c>
      <c r="T40" s="205">
        <v>0</v>
      </c>
      <c r="U40" s="205">
        <v>0</v>
      </c>
    </row>
    <row r="41" spans="2:21" x14ac:dyDescent="0.3">
      <c r="B41" s="8"/>
      <c r="C41" s="8" t="s">
        <v>126</v>
      </c>
      <c r="D41" s="8"/>
      <c r="E41" s="8"/>
      <c r="F41" s="204">
        <f t="shared" si="4"/>
        <v>1</v>
      </c>
      <c r="G41" s="8"/>
      <c r="H41" s="205">
        <v>1</v>
      </c>
      <c r="I41" s="205">
        <v>0</v>
      </c>
      <c r="J41" s="205">
        <v>0</v>
      </c>
      <c r="K41" s="205">
        <v>0</v>
      </c>
      <c r="L41" s="205">
        <v>0</v>
      </c>
      <c r="M41" s="205">
        <v>0</v>
      </c>
      <c r="N41" s="205">
        <v>0</v>
      </c>
      <c r="O41" s="205">
        <v>0</v>
      </c>
      <c r="P41" s="205">
        <v>0</v>
      </c>
      <c r="Q41" s="205">
        <v>0</v>
      </c>
      <c r="R41" s="205">
        <v>0</v>
      </c>
      <c r="S41" s="205">
        <v>0</v>
      </c>
      <c r="T41" s="205">
        <v>0</v>
      </c>
      <c r="U41" s="205">
        <v>0</v>
      </c>
    </row>
    <row r="42" spans="2:21" x14ac:dyDescent="0.3">
      <c r="B42" s="8"/>
      <c r="C42" s="8" t="s">
        <v>127</v>
      </c>
      <c r="D42" s="8"/>
      <c r="E42" s="8"/>
      <c r="F42" s="204">
        <f t="shared" si="4"/>
        <v>1</v>
      </c>
      <c r="G42" s="8"/>
      <c r="H42" s="205">
        <v>0</v>
      </c>
      <c r="I42" s="205">
        <v>0</v>
      </c>
      <c r="J42" s="205">
        <v>0</v>
      </c>
      <c r="K42" s="205">
        <v>1</v>
      </c>
      <c r="L42" s="205">
        <v>0</v>
      </c>
      <c r="M42" s="205">
        <v>0</v>
      </c>
      <c r="N42" s="205">
        <v>0</v>
      </c>
      <c r="O42" s="205">
        <v>0</v>
      </c>
      <c r="P42" s="205">
        <v>0</v>
      </c>
      <c r="Q42" s="205">
        <v>0</v>
      </c>
      <c r="R42" s="205">
        <v>0</v>
      </c>
      <c r="S42" s="205">
        <v>0</v>
      </c>
      <c r="T42" s="205">
        <v>0</v>
      </c>
      <c r="U42" s="205">
        <v>0</v>
      </c>
    </row>
    <row r="43" spans="2:21" x14ac:dyDescent="0.3">
      <c r="B43" s="8"/>
      <c r="C43" s="8" t="s">
        <v>128</v>
      </c>
      <c r="D43" s="8"/>
      <c r="E43" s="8"/>
      <c r="F43" s="204">
        <f t="shared" si="4"/>
        <v>0.99999999999999989</v>
      </c>
      <c r="G43" s="8"/>
      <c r="H43" s="205">
        <v>0.31</v>
      </c>
      <c r="I43" s="205">
        <v>0.29399999999999998</v>
      </c>
      <c r="J43" s="205">
        <v>0.29399999999999998</v>
      </c>
      <c r="K43" s="205">
        <v>0.10199999999999999</v>
      </c>
      <c r="L43" s="205">
        <v>0</v>
      </c>
      <c r="M43" s="205">
        <v>0</v>
      </c>
      <c r="N43" s="205">
        <v>0</v>
      </c>
      <c r="O43" s="205">
        <v>0</v>
      </c>
      <c r="P43" s="205">
        <v>0</v>
      </c>
      <c r="Q43" s="205">
        <v>0</v>
      </c>
      <c r="R43" s="205">
        <v>0</v>
      </c>
      <c r="S43" s="205">
        <v>0</v>
      </c>
      <c r="T43" s="205">
        <v>0</v>
      </c>
      <c r="U43" s="205">
        <v>0</v>
      </c>
    </row>
    <row r="44" spans="2:21" x14ac:dyDescent="0.3">
      <c r="B44" s="8"/>
      <c r="C44" s="8" t="s">
        <v>133</v>
      </c>
      <c r="D44" s="8"/>
      <c r="E44" s="8"/>
      <c r="F44" s="204">
        <f t="shared" si="4"/>
        <v>0.99999999999999989</v>
      </c>
      <c r="G44" s="8"/>
      <c r="H44" s="205">
        <v>0.3</v>
      </c>
      <c r="I44" s="205">
        <v>0.3</v>
      </c>
      <c r="J44" s="205">
        <v>0.3</v>
      </c>
      <c r="K44" s="205">
        <v>0.1</v>
      </c>
      <c r="L44" s="205">
        <v>0</v>
      </c>
      <c r="M44" s="205">
        <v>0</v>
      </c>
      <c r="N44" s="205">
        <v>0</v>
      </c>
      <c r="O44" s="205">
        <v>0</v>
      </c>
      <c r="P44" s="205">
        <v>0</v>
      </c>
      <c r="Q44" s="205">
        <v>0</v>
      </c>
      <c r="R44" s="205">
        <v>0</v>
      </c>
      <c r="S44" s="205">
        <v>0</v>
      </c>
      <c r="T44" s="205">
        <v>0</v>
      </c>
      <c r="U44" s="205">
        <v>0</v>
      </c>
    </row>
    <row r="45" spans="2:21" x14ac:dyDescent="0.3">
      <c r="B45" s="8"/>
      <c r="C45" s="8" t="s">
        <v>129</v>
      </c>
      <c r="D45" s="8"/>
      <c r="E45" s="8"/>
      <c r="F45" s="204">
        <f t="shared" si="4"/>
        <v>1</v>
      </c>
      <c r="G45" s="8"/>
      <c r="H45" s="205">
        <v>1</v>
      </c>
      <c r="I45" s="205">
        <v>0</v>
      </c>
      <c r="J45" s="205">
        <v>0</v>
      </c>
      <c r="K45" s="205">
        <v>0</v>
      </c>
      <c r="L45" s="205">
        <v>0</v>
      </c>
      <c r="M45" s="205">
        <v>0</v>
      </c>
      <c r="N45" s="205">
        <v>0</v>
      </c>
      <c r="O45" s="205">
        <v>0</v>
      </c>
      <c r="P45" s="205">
        <v>0</v>
      </c>
      <c r="Q45" s="205">
        <v>0</v>
      </c>
      <c r="R45" s="205">
        <v>0</v>
      </c>
      <c r="S45" s="205">
        <v>0</v>
      </c>
      <c r="T45" s="205">
        <v>0</v>
      </c>
      <c r="U45" s="205">
        <v>0</v>
      </c>
    </row>
    <row r="46" spans="2:21" x14ac:dyDescent="0.3">
      <c r="B46" s="8"/>
      <c r="C46" s="8" t="s">
        <v>130</v>
      </c>
      <c r="D46" s="8"/>
      <c r="E46" s="8"/>
      <c r="F46" s="204">
        <f t="shared" si="4"/>
        <v>0.99999999999999989</v>
      </c>
      <c r="G46" s="8"/>
      <c r="H46" s="205">
        <v>0.3</v>
      </c>
      <c r="I46" s="205">
        <v>0.3</v>
      </c>
      <c r="J46" s="205">
        <v>0.3</v>
      </c>
      <c r="K46" s="205">
        <v>0.1</v>
      </c>
      <c r="L46" s="205">
        <v>0</v>
      </c>
      <c r="M46" s="205">
        <v>0</v>
      </c>
      <c r="N46" s="205">
        <v>0</v>
      </c>
      <c r="O46" s="205">
        <v>0</v>
      </c>
      <c r="P46" s="205">
        <v>0</v>
      </c>
      <c r="Q46" s="205">
        <v>0</v>
      </c>
      <c r="R46" s="205">
        <v>0</v>
      </c>
      <c r="S46" s="205">
        <v>0</v>
      </c>
      <c r="T46" s="205">
        <v>0</v>
      </c>
      <c r="U46" s="205">
        <v>0</v>
      </c>
    </row>
    <row r="47" spans="2:2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spans="2:21" x14ac:dyDescent="0.3">
      <c r="B48" s="8"/>
      <c r="C48" s="52" t="s">
        <v>758</v>
      </c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</row>
    <row r="49" spans="2:21" x14ac:dyDescent="0.3">
      <c r="B49" s="8"/>
      <c r="C49" s="8" t="s">
        <v>132</v>
      </c>
      <c r="D49" s="8"/>
      <c r="E49" s="8"/>
      <c r="F49" s="204">
        <f t="shared" ref="F49:F56" si="5">SUM(H49:U49)</f>
        <v>1</v>
      </c>
      <c r="G49" s="8"/>
      <c r="H49" s="205">
        <v>1</v>
      </c>
      <c r="I49" s="205">
        <v>0</v>
      </c>
      <c r="J49" s="205">
        <v>0</v>
      </c>
      <c r="K49" s="205">
        <v>0</v>
      </c>
      <c r="L49" s="205">
        <v>0</v>
      </c>
      <c r="M49" s="205">
        <v>0</v>
      </c>
      <c r="N49" s="205">
        <v>0</v>
      </c>
      <c r="O49" s="205">
        <v>0</v>
      </c>
      <c r="P49" s="205">
        <v>0</v>
      </c>
      <c r="Q49" s="205">
        <v>0</v>
      </c>
      <c r="R49" s="205">
        <v>0</v>
      </c>
      <c r="S49" s="205">
        <v>0</v>
      </c>
      <c r="T49" s="205">
        <v>0</v>
      </c>
      <c r="U49" s="205">
        <v>0</v>
      </c>
    </row>
    <row r="50" spans="2:21" x14ac:dyDescent="0.3">
      <c r="B50" s="8"/>
      <c r="C50" s="8" t="s">
        <v>125</v>
      </c>
      <c r="D50" s="8"/>
      <c r="E50" s="8"/>
      <c r="F50" s="204">
        <f t="shared" si="5"/>
        <v>0.99999999999999989</v>
      </c>
      <c r="G50" s="8"/>
      <c r="H50" s="205">
        <v>0.3</v>
      </c>
      <c r="I50" s="205">
        <v>0.3</v>
      </c>
      <c r="J50" s="205">
        <v>0.3</v>
      </c>
      <c r="K50" s="205">
        <v>0.1</v>
      </c>
      <c r="L50" s="205">
        <v>0</v>
      </c>
      <c r="M50" s="205">
        <v>0</v>
      </c>
      <c r="N50" s="205">
        <v>0</v>
      </c>
      <c r="O50" s="205">
        <v>0</v>
      </c>
      <c r="P50" s="205">
        <v>0</v>
      </c>
      <c r="Q50" s="205">
        <v>0</v>
      </c>
      <c r="R50" s="205">
        <v>0</v>
      </c>
      <c r="S50" s="205">
        <v>0</v>
      </c>
      <c r="T50" s="205">
        <v>0</v>
      </c>
      <c r="U50" s="205">
        <v>0</v>
      </c>
    </row>
    <row r="51" spans="2:21" x14ac:dyDescent="0.3">
      <c r="B51" s="8"/>
      <c r="C51" s="8" t="s">
        <v>126</v>
      </c>
      <c r="D51" s="8"/>
      <c r="E51" s="8"/>
      <c r="F51" s="204">
        <f t="shared" si="5"/>
        <v>1</v>
      </c>
      <c r="G51" s="8"/>
      <c r="H51" s="205">
        <v>1</v>
      </c>
      <c r="I51" s="205">
        <v>0</v>
      </c>
      <c r="J51" s="205">
        <v>0</v>
      </c>
      <c r="K51" s="205">
        <v>0</v>
      </c>
      <c r="L51" s="205">
        <v>0</v>
      </c>
      <c r="M51" s="205">
        <v>0</v>
      </c>
      <c r="N51" s="205">
        <v>0</v>
      </c>
      <c r="O51" s="205">
        <v>0</v>
      </c>
      <c r="P51" s="205">
        <v>0</v>
      </c>
      <c r="Q51" s="205">
        <v>0</v>
      </c>
      <c r="R51" s="205">
        <v>0</v>
      </c>
      <c r="S51" s="205">
        <v>0</v>
      </c>
      <c r="T51" s="205">
        <v>0</v>
      </c>
      <c r="U51" s="205">
        <v>0</v>
      </c>
    </row>
    <row r="52" spans="2:21" x14ac:dyDescent="0.3">
      <c r="B52" s="8"/>
      <c r="C52" s="8" t="s">
        <v>127</v>
      </c>
      <c r="D52" s="8"/>
      <c r="E52" s="8"/>
      <c r="F52" s="204">
        <f t="shared" si="5"/>
        <v>1</v>
      </c>
      <c r="G52" s="8"/>
      <c r="H52" s="205">
        <v>0</v>
      </c>
      <c r="I52" s="205">
        <v>0</v>
      </c>
      <c r="J52" s="205">
        <v>0</v>
      </c>
      <c r="K52" s="205">
        <v>1</v>
      </c>
      <c r="L52" s="205">
        <v>0</v>
      </c>
      <c r="M52" s="205">
        <v>0</v>
      </c>
      <c r="N52" s="205">
        <v>0</v>
      </c>
      <c r="O52" s="205">
        <v>0</v>
      </c>
      <c r="P52" s="205">
        <v>0</v>
      </c>
      <c r="Q52" s="205">
        <v>0</v>
      </c>
      <c r="R52" s="205">
        <v>0</v>
      </c>
      <c r="S52" s="205">
        <v>0</v>
      </c>
      <c r="T52" s="205">
        <v>0</v>
      </c>
      <c r="U52" s="205">
        <v>0</v>
      </c>
    </row>
    <row r="53" spans="2:21" x14ac:dyDescent="0.3">
      <c r="B53" s="8"/>
      <c r="C53" s="8" t="s">
        <v>128</v>
      </c>
      <c r="D53" s="8"/>
      <c r="E53" s="8"/>
      <c r="F53" s="204">
        <f t="shared" si="5"/>
        <v>1</v>
      </c>
      <c r="G53" s="8"/>
      <c r="H53" s="205">
        <v>0.315</v>
      </c>
      <c r="I53" s="205">
        <v>0.29199999999999998</v>
      </c>
      <c r="J53" s="205">
        <v>0.29199999999999998</v>
      </c>
      <c r="K53" s="205">
        <v>0.10100000000000001</v>
      </c>
      <c r="L53" s="205">
        <v>0</v>
      </c>
      <c r="M53" s="205">
        <v>0</v>
      </c>
      <c r="N53" s="205">
        <v>0</v>
      </c>
      <c r="O53" s="205">
        <v>0</v>
      </c>
      <c r="P53" s="205">
        <v>0</v>
      </c>
      <c r="Q53" s="205">
        <v>0</v>
      </c>
      <c r="R53" s="205">
        <v>0</v>
      </c>
      <c r="S53" s="205">
        <v>0</v>
      </c>
      <c r="T53" s="205">
        <v>0</v>
      </c>
      <c r="U53" s="205">
        <v>0</v>
      </c>
    </row>
    <row r="54" spans="2:21" x14ac:dyDescent="0.3">
      <c r="B54" s="8"/>
      <c r="C54" s="8" t="s">
        <v>133</v>
      </c>
      <c r="D54" s="8"/>
      <c r="E54" s="8"/>
      <c r="F54" s="204">
        <f t="shared" si="5"/>
        <v>0.99999999999999989</v>
      </c>
      <c r="G54" s="8"/>
      <c r="H54" s="205">
        <v>0.3</v>
      </c>
      <c r="I54" s="205">
        <v>0.3</v>
      </c>
      <c r="J54" s="205">
        <v>0.3</v>
      </c>
      <c r="K54" s="205">
        <v>0.1</v>
      </c>
      <c r="L54" s="205">
        <v>0</v>
      </c>
      <c r="M54" s="205">
        <v>0</v>
      </c>
      <c r="N54" s="205">
        <v>0</v>
      </c>
      <c r="O54" s="205">
        <v>0</v>
      </c>
      <c r="P54" s="205">
        <v>0</v>
      </c>
      <c r="Q54" s="205">
        <v>0</v>
      </c>
      <c r="R54" s="205">
        <v>0</v>
      </c>
      <c r="S54" s="205">
        <v>0</v>
      </c>
      <c r="T54" s="205">
        <v>0</v>
      </c>
      <c r="U54" s="205">
        <v>0</v>
      </c>
    </row>
    <row r="55" spans="2:21" x14ac:dyDescent="0.3">
      <c r="B55" s="8"/>
      <c r="C55" s="8" t="s">
        <v>129</v>
      </c>
      <c r="D55" s="8"/>
      <c r="E55" s="8"/>
      <c r="F55" s="204">
        <f t="shared" si="5"/>
        <v>1</v>
      </c>
      <c r="G55" s="8"/>
      <c r="H55" s="205">
        <v>1</v>
      </c>
      <c r="I55" s="205">
        <v>0</v>
      </c>
      <c r="J55" s="205">
        <v>0</v>
      </c>
      <c r="K55" s="205">
        <v>0</v>
      </c>
      <c r="L55" s="205">
        <v>0</v>
      </c>
      <c r="M55" s="205">
        <v>0</v>
      </c>
      <c r="N55" s="205">
        <v>0</v>
      </c>
      <c r="O55" s="205">
        <v>0</v>
      </c>
      <c r="P55" s="205">
        <v>0</v>
      </c>
      <c r="Q55" s="205">
        <v>0</v>
      </c>
      <c r="R55" s="205">
        <v>0</v>
      </c>
      <c r="S55" s="205">
        <v>0</v>
      </c>
      <c r="T55" s="205">
        <v>0</v>
      </c>
      <c r="U55" s="205">
        <v>0</v>
      </c>
    </row>
    <row r="56" spans="2:21" x14ac:dyDescent="0.3">
      <c r="B56" s="8"/>
      <c r="C56" s="8" t="s">
        <v>130</v>
      </c>
      <c r="D56" s="8"/>
      <c r="E56" s="8"/>
      <c r="F56" s="204">
        <f t="shared" si="5"/>
        <v>0.99999999999999989</v>
      </c>
      <c r="G56" s="8"/>
      <c r="H56" s="205">
        <v>0.3</v>
      </c>
      <c r="I56" s="205">
        <v>0.3</v>
      </c>
      <c r="J56" s="205">
        <v>0.3</v>
      </c>
      <c r="K56" s="205">
        <v>0.1</v>
      </c>
      <c r="L56" s="205">
        <v>0</v>
      </c>
      <c r="M56" s="205">
        <v>0</v>
      </c>
      <c r="N56" s="205">
        <v>0</v>
      </c>
      <c r="O56" s="205">
        <v>0</v>
      </c>
      <c r="P56" s="205">
        <v>0</v>
      </c>
      <c r="Q56" s="205">
        <v>0</v>
      </c>
      <c r="R56" s="205">
        <v>0</v>
      </c>
      <c r="S56" s="205">
        <v>0</v>
      </c>
      <c r="T56" s="205">
        <v>0</v>
      </c>
      <c r="U56" s="205">
        <v>0</v>
      </c>
    </row>
    <row r="58" spans="2:21" x14ac:dyDescent="0.3">
      <c r="B58" s="8"/>
      <c r="C58" s="52" t="s">
        <v>758</v>
      </c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</row>
    <row r="59" spans="2:21" x14ac:dyDescent="0.3">
      <c r="B59" s="8"/>
      <c r="C59" s="8" t="s">
        <v>132</v>
      </c>
      <c r="D59" s="8"/>
      <c r="E59" s="8"/>
      <c r="F59" s="204">
        <f t="shared" ref="F59:F66" si="6">SUM(H59:U59)</f>
        <v>1</v>
      </c>
      <c r="G59" s="8"/>
      <c r="H59" s="205">
        <v>1</v>
      </c>
      <c r="I59" s="205">
        <v>0</v>
      </c>
      <c r="J59" s="205">
        <v>0</v>
      </c>
      <c r="K59" s="205">
        <v>0</v>
      </c>
      <c r="L59" s="205">
        <v>0</v>
      </c>
      <c r="M59" s="205">
        <v>0</v>
      </c>
      <c r="N59" s="205">
        <v>0</v>
      </c>
      <c r="O59" s="205">
        <v>0</v>
      </c>
      <c r="P59" s="205">
        <v>0</v>
      </c>
      <c r="Q59" s="205">
        <v>0</v>
      </c>
      <c r="R59" s="205">
        <v>0</v>
      </c>
      <c r="S59" s="205">
        <v>0</v>
      </c>
      <c r="T59" s="205">
        <v>0</v>
      </c>
      <c r="U59" s="205">
        <v>0</v>
      </c>
    </row>
    <row r="60" spans="2:21" x14ac:dyDescent="0.3">
      <c r="B60" s="8"/>
      <c r="C60" s="8" t="s">
        <v>125</v>
      </c>
      <c r="D60" s="8"/>
      <c r="E60" s="8"/>
      <c r="F60" s="204">
        <f t="shared" si="6"/>
        <v>0.99999999999999989</v>
      </c>
      <c r="G60" s="8"/>
      <c r="H60" s="205">
        <v>0.3</v>
      </c>
      <c r="I60" s="205">
        <v>0.3</v>
      </c>
      <c r="J60" s="205">
        <v>0.3</v>
      </c>
      <c r="K60" s="205">
        <v>0.1</v>
      </c>
      <c r="L60" s="205">
        <v>0</v>
      </c>
      <c r="M60" s="205">
        <v>0</v>
      </c>
      <c r="N60" s="205">
        <v>0</v>
      </c>
      <c r="O60" s="205">
        <v>0</v>
      </c>
      <c r="P60" s="205">
        <v>0</v>
      </c>
      <c r="Q60" s="205">
        <v>0</v>
      </c>
      <c r="R60" s="205">
        <v>0</v>
      </c>
      <c r="S60" s="205">
        <v>0</v>
      </c>
      <c r="T60" s="205">
        <v>0</v>
      </c>
      <c r="U60" s="205">
        <v>0</v>
      </c>
    </row>
    <row r="61" spans="2:21" x14ac:dyDescent="0.3">
      <c r="B61" s="8"/>
      <c r="C61" s="8" t="s">
        <v>126</v>
      </c>
      <c r="D61" s="8"/>
      <c r="E61" s="8"/>
      <c r="F61" s="204">
        <f t="shared" si="6"/>
        <v>1</v>
      </c>
      <c r="G61" s="8"/>
      <c r="H61" s="205">
        <v>1</v>
      </c>
      <c r="I61" s="205">
        <v>0</v>
      </c>
      <c r="J61" s="205">
        <v>0</v>
      </c>
      <c r="K61" s="205">
        <v>0</v>
      </c>
      <c r="L61" s="205">
        <v>0</v>
      </c>
      <c r="M61" s="205">
        <v>0</v>
      </c>
      <c r="N61" s="205">
        <v>0</v>
      </c>
      <c r="O61" s="205">
        <v>0</v>
      </c>
      <c r="P61" s="205">
        <v>0</v>
      </c>
      <c r="Q61" s="205">
        <v>0</v>
      </c>
      <c r="R61" s="205">
        <v>0</v>
      </c>
      <c r="S61" s="205">
        <v>0</v>
      </c>
      <c r="T61" s="205">
        <v>0</v>
      </c>
      <c r="U61" s="205">
        <v>0</v>
      </c>
    </row>
    <row r="62" spans="2:21" x14ac:dyDescent="0.3">
      <c r="B62" s="8"/>
      <c r="C62" s="8" t="s">
        <v>127</v>
      </c>
      <c r="D62" s="8"/>
      <c r="E62" s="8"/>
      <c r="F62" s="204">
        <f t="shared" si="6"/>
        <v>1</v>
      </c>
      <c r="G62" s="8"/>
      <c r="H62" s="205">
        <v>0</v>
      </c>
      <c r="I62" s="205">
        <v>0</v>
      </c>
      <c r="J62" s="205">
        <v>0</v>
      </c>
      <c r="K62" s="205">
        <v>1</v>
      </c>
      <c r="L62" s="205">
        <v>0</v>
      </c>
      <c r="M62" s="205">
        <v>0</v>
      </c>
      <c r="N62" s="205">
        <v>0</v>
      </c>
      <c r="O62" s="205">
        <v>0</v>
      </c>
      <c r="P62" s="205">
        <v>0</v>
      </c>
      <c r="Q62" s="205">
        <v>0</v>
      </c>
      <c r="R62" s="205">
        <v>0</v>
      </c>
      <c r="S62" s="205">
        <v>0</v>
      </c>
      <c r="T62" s="205">
        <v>0</v>
      </c>
      <c r="U62" s="205">
        <v>0</v>
      </c>
    </row>
    <row r="63" spans="2:21" x14ac:dyDescent="0.3">
      <c r="B63" s="8"/>
      <c r="C63" s="8" t="s">
        <v>128</v>
      </c>
      <c r="D63" s="8"/>
      <c r="E63" s="8"/>
      <c r="F63" s="204">
        <f t="shared" si="6"/>
        <v>1</v>
      </c>
      <c r="G63" s="8"/>
      <c r="H63" s="205">
        <v>0.315</v>
      </c>
      <c r="I63" s="205">
        <v>0.29199999999999998</v>
      </c>
      <c r="J63" s="205">
        <v>0.29199999999999998</v>
      </c>
      <c r="K63" s="205">
        <v>0.10100000000000001</v>
      </c>
      <c r="L63" s="205">
        <v>0</v>
      </c>
      <c r="M63" s="205">
        <v>0</v>
      </c>
      <c r="N63" s="205">
        <v>0</v>
      </c>
      <c r="O63" s="205">
        <v>0</v>
      </c>
      <c r="P63" s="205">
        <v>0</v>
      </c>
      <c r="Q63" s="205">
        <v>0</v>
      </c>
      <c r="R63" s="205">
        <v>0</v>
      </c>
      <c r="S63" s="205">
        <v>0</v>
      </c>
      <c r="T63" s="205">
        <v>0</v>
      </c>
      <c r="U63" s="205">
        <v>0</v>
      </c>
    </row>
    <row r="64" spans="2:21" x14ac:dyDescent="0.3">
      <c r="B64" s="8"/>
      <c r="C64" s="8" t="s">
        <v>133</v>
      </c>
      <c r="D64" s="8"/>
      <c r="E64" s="8"/>
      <c r="F64" s="204">
        <f t="shared" si="6"/>
        <v>0.99999999999999989</v>
      </c>
      <c r="G64" s="8"/>
      <c r="H64" s="205">
        <v>0.3</v>
      </c>
      <c r="I64" s="205">
        <v>0.3</v>
      </c>
      <c r="J64" s="205">
        <v>0.3</v>
      </c>
      <c r="K64" s="205">
        <v>0.1</v>
      </c>
      <c r="L64" s="205">
        <v>0</v>
      </c>
      <c r="M64" s="205">
        <v>0</v>
      </c>
      <c r="N64" s="205">
        <v>0</v>
      </c>
      <c r="O64" s="205">
        <v>0</v>
      </c>
      <c r="P64" s="205">
        <v>0</v>
      </c>
      <c r="Q64" s="205">
        <v>0</v>
      </c>
      <c r="R64" s="205">
        <v>0</v>
      </c>
      <c r="S64" s="205">
        <v>0</v>
      </c>
      <c r="T64" s="205">
        <v>0</v>
      </c>
      <c r="U64" s="205">
        <v>0</v>
      </c>
    </row>
    <row r="65" spans="2:21" x14ac:dyDescent="0.3">
      <c r="B65" s="8"/>
      <c r="C65" s="8" t="s">
        <v>129</v>
      </c>
      <c r="D65" s="8"/>
      <c r="E65" s="8"/>
      <c r="F65" s="204">
        <f t="shared" si="6"/>
        <v>1</v>
      </c>
      <c r="G65" s="8"/>
      <c r="H65" s="205">
        <v>1</v>
      </c>
      <c r="I65" s="205">
        <v>0</v>
      </c>
      <c r="J65" s="205">
        <v>0</v>
      </c>
      <c r="K65" s="205">
        <v>0</v>
      </c>
      <c r="L65" s="205">
        <v>0</v>
      </c>
      <c r="M65" s="205">
        <v>0</v>
      </c>
      <c r="N65" s="205">
        <v>0</v>
      </c>
      <c r="O65" s="205">
        <v>0</v>
      </c>
      <c r="P65" s="205">
        <v>0</v>
      </c>
      <c r="Q65" s="205">
        <v>0</v>
      </c>
      <c r="R65" s="205">
        <v>0</v>
      </c>
      <c r="S65" s="205">
        <v>0</v>
      </c>
      <c r="T65" s="205">
        <v>0</v>
      </c>
      <c r="U65" s="205">
        <v>0</v>
      </c>
    </row>
    <row r="66" spans="2:21" x14ac:dyDescent="0.3">
      <c r="B66" s="8"/>
      <c r="C66" s="8" t="s">
        <v>130</v>
      </c>
      <c r="D66" s="8"/>
      <c r="E66" s="8"/>
      <c r="F66" s="204">
        <f t="shared" si="6"/>
        <v>0.99999999999999989</v>
      </c>
      <c r="G66" s="8"/>
      <c r="H66" s="205">
        <v>0.3</v>
      </c>
      <c r="I66" s="205">
        <v>0.3</v>
      </c>
      <c r="J66" s="205">
        <v>0.3</v>
      </c>
      <c r="K66" s="205">
        <v>0.1</v>
      </c>
      <c r="L66" s="205">
        <v>0</v>
      </c>
      <c r="M66" s="205">
        <v>0</v>
      </c>
      <c r="N66" s="205">
        <v>0</v>
      </c>
      <c r="O66" s="205">
        <v>0</v>
      </c>
      <c r="P66" s="205">
        <v>0</v>
      </c>
      <c r="Q66" s="205">
        <v>0</v>
      </c>
      <c r="R66" s="205">
        <v>0</v>
      </c>
      <c r="S66" s="205">
        <v>0</v>
      </c>
      <c r="T66" s="205">
        <v>0</v>
      </c>
      <c r="U66" s="205">
        <v>0</v>
      </c>
    </row>
    <row r="67" spans="2:21" x14ac:dyDescent="0.3">
      <c r="B67" s="8"/>
      <c r="C67" s="141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  <row r="68" spans="2:21" x14ac:dyDescent="0.3">
      <c r="B68" s="52" t="s">
        <v>754</v>
      </c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</row>
    <row r="69" spans="2:21" x14ac:dyDescent="0.3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</row>
    <row r="70" spans="2:21" x14ac:dyDescent="0.3">
      <c r="B70" s="8"/>
      <c r="C70" s="52" t="s">
        <v>137</v>
      </c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</row>
    <row r="71" spans="2:21" x14ac:dyDescent="0.3">
      <c r="B71" s="8"/>
      <c r="C71" s="8" t="s">
        <v>132</v>
      </c>
      <c r="D71" s="8"/>
      <c r="E71" s="8"/>
      <c r="F71" s="204">
        <f t="shared" ref="F71:F78" si="7">SUM(H71:U71)</f>
        <v>1</v>
      </c>
      <c r="G71" s="8"/>
      <c r="H71" s="205">
        <v>1</v>
      </c>
      <c r="I71" s="205">
        <v>0</v>
      </c>
      <c r="J71" s="205">
        <v>0</v>
      </c>
      <c r="K71" s="205">
        <v>0</v>
      </c>
      <c r="L71" s="205">
        <v>0</v>
      </c>
      <c r="M71" s="205">
        <v>0</v>
      </c>
      <c r="N71" s="205"/>
      <c r="O71" s="205">
        <v>0</v>
      </c>
      <c r="P71" s="205">
        <v>0</v>
      </c>
      <c r="Q71" s="205">
        <v>0</v>
      </c>
      <c r="R71" s="205">
        <v>0</v>
      </c>
      <c r="S71" s="205">
        <v>0</v>
      </c>
      <c r="T71" s="205">
        <v>0</v>
      </c>
      <c r="U71" s="205">
        <v>0</v>
      </c>
    </row>
    <row r="72" spans="2:21" x14ac:dyDescent="0.3">
      <c r="B72" s="8"/>
      <c r="C72" s="8" t="s">
        <v>125</v>
      </c>
      <c r="D72" s="8"/>
      <c r="E72" s="8"/>
      <c r="F72" s="204">
        <f t="shared" si="7"/>
        <v>0.99999999999999989</v>
      </c>
      <c r="G72" s="8"/>
      <c r="H72" s="205">
        <v>0.1</v>
      </c>
      <c r="I72" s="205">
        <v>0.25</v>
      </c>
      <c r="J72" s="205">
        <v>0.3</v>
      </c>
      <c r="K72" s="205">
        <v>0.25</v>
      </c>
      <c r="L72" s="205">
        <v>0.1</v>
      </c>
      <c r="M72" s="205">
        <v>0</v>
      </c>
      <c r="N72" s="205"/>
      <c r="O72" s="205">
        <v>0</v>
      </c>
      <c r="P72" s="205">
        <v>0</v>
      </c>
      <c r="Q72" s="205">
        <v>0</v>
      </c>
      <c r="R72" s="205">
        <v>0</v>
      </c>
      <c r="S72" s="205">
        <v>0</v>
      </c>
      <c r="T72" s="205">
        <v>0</v>
      </c>
      <c r="U72" s="205">
        <v>0</v>
      </c>
    </row>
    <row r="73" spans="2:21" x14ac:dyDescent="0.3">
      <c r="B73" s="8"/>
      <c r="C73" s="8" t="s">
        <v>126</v>
      </c>
      <c r="D73" s="8"/>
      <c r="E73" s="8"/>
      <c r="F73" s="204">
        <f t="shared" si="7"/>
        <v>0.99999999999999989</v>
      </c>
      <c r="G73" s="8"/>
      <c r="H73" s="205">
        <v>0.1</v>
      </c>
      <c r="I73" s="205">
        <v>0.25</v>
      </c>
      <c r="J73" s="205">
        <v>0.3</v>
      </c>
      <c r="K73" s="205">
        <v>0.25</v>
      </c>
      <c r="L73" s="205">
        <v>0.1</v>
      </c>
      <c r="M73" s="205">
        <v>0</v>
      </c>
      <c r="N73" s="205"/>
      <c r="O73" s="205">
        <v>0</v>
      </c>
      <c r="P73" s="205">
        <v>0</v>
      </c>
      <c r="Q73" s="205">
        <v>0</v>
      </c>
      <c r="R73" s="205">
        <v>0</v>
      </c>
      <c r="S73" s="205">
        <v>0</v>
      </c>
      <c r="T73" s="205">
        <v>0</v>
      </c>
      <c r="U73" s="205">
        <v>0</v>
      </c>
    </row>
    <row r="74" spans="2:21" x14ac:dyDescent="0.3">
      <c r="B74" s="8"/>
      <c r="C74" s="8" t="s">
        <v>127</v>
      </c>
      <c r="D74" s="8"/>
      <c r="E74" s="8"/>
      <c r="F74" s="204">
        <f t="shared" si="7"/>
        <v>0.99999999999999989</v>
      </c>
      <c r="G74" s="8"/>
      <c r="H74" s="205">
        <v>0.1</v>
      </c>
      <c r="I74" s="205">
        <v>0.25</v>
      </c>
      <c r="J74" s="205">
        <v>0.3</v>
      </c>
      <c r="K74" s="205">
        <v>0.25</v>
      </c>
      <c r="L74" s="205">
        <v>0.1</v>
      </c>
      <c r="M74" s="205">
        <v>0</v>
      </c>
      <c r="N74" s="205"/>
      <c r="O74" s="205">
        <v>0</v>
      </c>
      <c r="P74" s="205">
        <v>0</v>
      </c>
      <c r="Q74" s="205">
        <v>0</v>
      </c>
      <c r="R74" s="205">
        <v>0</v>
      </c>
      <c r="S74" s="205">
        <v>0</v>
      </c>
      <c r="T74" s="205">
        <v>0</v>
      </c>
      <c r="U74" s="205">
        <v>0</v>
      </c>
    </row>
    <row r="75" spans="2:21" x14ac:dyDescent="0.3">
      <c r="B75" s="8"/>
      <c r="C75" s="8" t="s">
        <v>128</v>
      </c>
      <c r="D75" s="8"/>
      <c r="E75" s="8"/>
      <c r="F75" s="204">
        <f t="shared" si="7"/>
        <v>0.99999999999999989</v>
      </c>
      <c r="G75" s="8"/>
      <c r="H75" s="205">
        <v>0.1</v>
      </c>
      <c r="I75" s="205">
        <v>0.25</v>
      </c>
      <c r="J75" s="205">
        <v>0.3</v>
      </c>
      <c r="K75" s="205">
        <v>0.25</v>
      </c>
      <c r="L75" s="205">
        <v>0.1</v>
      </c>
      <c r="M75" s="205">
        <v>0</v>
      </c>
      <c r="N75" s="205"/>
      <c r="O75" s="205">
        <v>0</v>
      </c>
      <c r="P75" s="205">
        <v>0</v>
      </c>
      <c r="Q75" s="205">
        <v>0</v>
      </c>
      <c r="R75" s="205">
        <v>0</v>
      </c>
      <c r="S75" s="205">
        <v>0</v>
      </c>
      <c r="T75" s="205">
        <v>0</v>
      </c>
      <c r="U75" s="205">
        <v>0</v>
      </c>
    </row>
    <row r="76" spans="2:21" x14ac:dyDescent="0.3">
      <c r="B76" s="8"/>
      <c r="C76" s="8" t="s">
        <v>133</v>
      </c>
      <c r="D76" s="8"/>
      <c r="E76" s="8"/>
      <c r="F76" s="204">
        <f t="shared" si="7"/>
        <v>0.99999999999999989</v>
      </c>
      <c r="G76" s="8"/>
      <c r="H76" s="205">
        <v>0.1</v>
      </c>
      <c r="I76" s="205">
        <v>0.25</v>
      </c>
      <c r="J76" s="205">
        <v>0.3</v>
      </c>
      <c r="K76" s="205">
        <v>0.25</v>
      </c>
      <c r="L76" s="205">
        <v>0.1</v>
      </c>
      <c r="M76" s="205">
        <v>0</v>
      </c>
      <c r="N76" s="205"/>
      <c r="O76" s="205">
        <v>0</v>
      </c>
      <c r="P76" s="205">
        <v>0</v>
      </c>
      <c r="Q76" s="205">
        <v>0</v>
      </c>
      <c r="R76" s="205">
        <v>0</v>
      </c>
      <c r="S76" s="205">
        <v>0</v>
      </c>
      <c r="T76" s="205">
        <v>0</v>
      </c>
      <c r="U76" s="205">
        <v>0</v>
      </c>
    </row>
    <row r="77" spans="2:21" x14ac:dyDescent="0.3">
      <c r="B77" s="141"/>
      <c r="C77" s="8" t="s">
        <v>129</v>
      </c>
      <c r="D77" s="8"/>
      <c r="E77" s="8"/>
      <c r="F77" s="204">
        <f t="shared" si="7"/>
        <v>0.99999999999999989</v>
      </c>
      <c r="G77" s="8"/>
      <c r="H77" s="205">
        <v>0.1</v>
      </c>
      <c r="I77" s="205">
        <v>0.25</v>
      </c>
      <c r="J77" s="205">
        <v>0.3</v>
      </c>
      <c r="K77" s="205">
        <v>0.25</v>
      </c>
      <c r="L77" s="205">
        <v>0.1</v>
      </c>
      <c r="M77" s="205">
        <v>0</v>
      </c>
      <c r="N77" s="205"/>
      <c r="O77" s="205">
        <v>0</v>
      </c>
      <c r="P77" s="205">
        <v>0</v>
      </c>
      <c r="Q77" s="205">
        <v>0</v>
      </c>
      <c r="R77" s="205">
        <v>0</v>
      </c>
      <c r="S77" s="205">
        <v>0</v>
      </c>
      <c r="T77" s="205">
        <v>0</v>
      </c>
      <c r="U77" s="205">
        <v>0</v>
      </c>
    </row>
    <row r="78" spans="2:21" x14ac:dyDescent="0.3">
      <c r="B78" s="141"/>
      <c r="C78" s="8" t="s">
        <v>130</v>
      </c>
      <c r="D78" s="8"/>
      <c r="E78" s="8"/>
      <c r="F78" s="204">
        <f t="shared" si="7"/>
        <v>0.99999999999999989</v>
      </c>
      <c r="G78" s="8"/>
      <c r="H78" s="205">
        <v>0.1</v>
      </c>
      <c r="I78" s="205">
        <v>0.25</v>
      </c>
      <c r="J78" s="205">
        <v>0.3</v>
      </c>
      <c r="K78" s="205">
        <v>0.25</v>
      </c>
      <c r="L78" s="205">
        <v>0.1</v>
      </c>
      <c r="M78" s="205">
        <v>0</v>
      </c>
      <c r="N78" s="205"/>
      <c r="O78" s="205">
        <v>0</v>
      </c>
      <c r="P78" s="205">
        <v>0</v>
      </c>
      <c r="Q78" s="205">
        <v>0</v>
      </c>
      <c r="R78" s="205">
        <v>0</v>
      </c>
      <c r="S78" s="205">
        <v>0</v>
      </c>
      <c r="T78" s="205">
        <v>0</v>
      </c>
      <c r="U78" s="205">
        <v>0</v>
      </c>
    </row>
    <row r="79" spans="2:21" x14ac:dyDescent="0.3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</row>
    <row r="80" spans="2:21" x14ac:dyDescent="0.3">
      <c r="B80" s="8"/>
      <c r="C80" s="52" t="s">
        <v>138</v>
      </c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</row>
    <row r="81" spans="2:21" x14ac:dyDescent="0.3">
      <c r="B81" s="8"/>
      <c r="C81" s="8" t="s">
        <v>132</v>
      </c>
      <c r="D81" s="8"/>
      <c r="E81" s="8"/>
      <c r="F81" s="204">
        <f t="shared" ref="F81:F88" si="8">SUM(H81:U81)</f>
        <v>1</v>
      </c>
      <c r="G81" s="8"/>
      <c r="H81" s="205">
        <v>1</v>
      </c>
      <c r="I81" s="205">
        <v>0</v>
      </c>
      <c r="J81" s="205">
        <v>0</v>
      </c>
      <c r="K81" s="205">
        <v>0</v>
      </c>
      <c r="L81" s="205">
        <v>0</v>
      </c>
      <c r="M81" s="205">
        <v>0</v>
      </c>
      <c r="N81" s="205">
        <v>0</v>
      </c>
      <c r="O81" s="205">
        <v>0</v>
      </c>
      <c r="P81" s="205">
        <v>0</v>
      </c>
      <c r="Q81" s="205">
        <v>0</v>
      </c>
      <c r="R81" s="205">
        <v>0</v>
      </c>
      <c r="S81" s="205">
        <v>0</v>
      </c>
      <c r="T81" s="205">
        <v>0</v>
      </c>
      <c r="U81" s="205">
        <v>0</v>
      </c>
    </row>
    <row r="82" spans="2:21" x14ac:dyDescent="0.3">
      <c r="B82" s="8"/>
      <c r="C82" s="8" t="s">
        <v>125</v>
      </c>
      <c r="D82" s="8"/>
      <c r="E82" s="8"/>
      <c r="F82" s="204">
        <f t="shared" si="8"/>
        <v>1</v>
      </c>
      <c r="G82" s="8"/>
      <c r="H82" s="205">
        <v>0.1</v>
      </c>
      <c r="I82" s="205">
        <v>0.1</v>
      </c>
      <c r="J82" s="205">
        <v>0.25</v>
      </c>
      <c r="K82" s="205">
        <v>0.25</v>
      </c>
      <c r="L82" s="205">
        <v>0.25</v>
      </c>
      <c r="M82" s="205">
        <v>0.05</v>
      </c>
      <c r="N82" s="205">
        <v>0</v>
      </c>
      <c r="O82" s="205">
        <v>0</v>
      </c>
      <c r="P82" s="205">
        <v>0</v>
      </c>
      <c r="Q82" s="205">
        <v>0</v>
      </c>
      <c r="R82" s="205">
        <v>0</v>
      </c>
      <c r="S82" s="205">
        <v>0</v>
      </c>
      <c r="T82" s="205">
        <v>0</v>
      </c>
      <c r="U82" s="205">
        <v>0</v>
      </c>
    </row>
    <row r="83" spans="2:21" x14ac:dyDescent="0.3">
      <c r="B83" s="8"/>
      <c r="C83" s="8" t="s">
        <v>126</v>
      </c>
      <c r="D83" s="8"/>
      <c r="E83" s="8"/>
      <c r="F83" s="204">
        <f t="shared" si="8"/>
        <v>1</v>
      </c>
      <c r="G83" s="8"/>
      <c r="H83" s="205">
        <v>0.1</v>
      </c>
      <c r="I83" s="205">
        <v>0.1</v>
      </c>
      <c r="J83" s="205">
        <v>0.25</v>
      </c>
      <c r="K83" s="205">
        <v>0.25</v>
      </c>
      <c r="L83" s="205">
        <v>0.25</v>
      </c>
      <c r="M83" s="205">
        <v>0.05</v>
      </c>
      <c r="N83" s="205">
        <v>0</v>
      </c>
      <c r="O83" s="205">
        <v>0</v>
      </c>
      <c r="P83" s="205">
        <v>0</v>
      </c>
      <c r="Q83" s="205">
        <v>0</v>
      </c>
      <c r="R83" s="205">
        <v>0</v>
      </c>
      <c r="S83" s="205">
        <v>0</v>
      </c>
      <c r="T83" s="205">
        <v>0</v>
      </c>
      <c r="U83" s="205">
        <v>0</v>
      </c>
    </row>
    <row r="84" spans="2:21" x14ac:dyDescent="0.3">
      <c r="B84" s="8"/>
      <c r="C84" s="8" t="s">
        <v>127</v>
      </c>
      <c r="D84" s="8"/>
      <c r="E84" s="8"/>
      <c r="F84" s="204">
        <f t="shared" si="8"/>
        <v>1</v>
      </c>
      <c r="G84" s="8"/>
      <c r="H84" s="205">
        <v>0.1</v>
      </c>
      <c r="I84" s="205">
        <v>0.1</v>
      </c>
      <c r="J84" s="205">
        <v>0.25</v>
      </c>
      <c r="K84" s="205">
        <v>0.25</v>
      </c>
      <c r="L84" s="205">
        <v>0.25</v>
      </c>
      <c r="M84" s="205">
        <v>0.05</v>
      </c>
      <c r="N84" s="205">
        <v>0</v>
      </c>
      <c r="O84" s="205">
        <v>0</v>
      </c>
      <c r="P84" s="205">
        <v>0</v>
      </c>
      <c r="Q84" s="205">
        <v>0</v>
      </c>
      <c r="R84" s="205">
        <v>0</v>
      </c>
      <c r="S84" s="205">
        <v>0</v>
      </c>
      <c r="T84" s="205">
        <v>0</v>
      </c>
      <c r="U84" s="205">
        <v>0</v>
      </c>
    </row>
    <row r="85" spans="2:21" x14ac:dyDescent="0.3">
      <c r="B85" s="8"/>
      <c r="C85" s="8" t="s">
        <v>128</v>
      </c>
      <c r="D85" s="8"/>
      <c r="E85" s="8"/>
      <c r="F85" s="204">
        <f t="shared" si="8"/>
        <v>1</v>
      </c>
      <c r="G85" s="8"/>
      <c r="H85" s="205">
        <v>0.1</v>
      </c>
      <c r="I85" s="205">
        <v>0.1</v>
      </c>
      <c r="J85" s="205">
        <v>0.25</v>
      </c>
      <c r="K85" s="205">
        <v>0.25</v>
      </c>
      <c r="L85" s="205">
        <v>0.25</v>
      </c>
      <c r="M85" s="205">
        <v>0.05</v>
      </c>
      <c r="N85" s="205">
        <v>0</v>
      </c>
      <c r="O85" s="205">
        <v>0</v>
      </c>
      <c r="P85" s="205">
        <v>0</v>
      </c>
      <c r="Q85" s="205">
        <v>0</v>
      </c>
      <c r="R85" s="205">
        <v>0</v>
      </c>
      <c r="S85" s="205">
        <v>0</v>
      </c>
      <c r="T85" s="205">
        <v>0</v>
      </c>
      <c r="U85" s="205">
        <v>0</v>
      </c>
    </row>
    <row r="86" spans="2:21" x14ac:dyDescent="0.3">
      <c r="B86" s="8"/>
      <c r="C86" s="8" t="s">
        <v>133</v>
      </c>
      <c r="D86" s="8"/>
      <c r="E86" s="8"/>
      <c r="F86" s="204">
        <f t="shared" si="8"/>
        <v>1</v>
      </c>
      <c r="G86" s="8"/>
      <c r="H86" s="205">
        <v>0.1</v>
      </c>
      <c r="I86" s="205">
        <v>0.1</v>
      </c>
      <c r="J86" s="205">
        <v>0.25</v>
      </c>
      <c r="K86" s="205">
        <v>0.25</v>
      </c>
      <c r="L86" s="205">
        <v>0.25</v>
      </c>
      <c r="M86" s="205">
        <v>0.05</v>
      </c>
      <c r="N86" s="205">
        <v>0</v>
      </c>
      <c r="O86" s="205">
        <v>0</v>
      </c>
      <c r="P86" s="205">
        <v>0</v>
      </c>
      <c r="Q86" s="205">
        <v>0</v>
      </c>
      <c r="R86" s="205">
        <v>0</v>
      </c>
      <c r="S86" s="205">
        <v>0</v>
      </c>
      <c r="T86" s="205">
        <v>0</v>
      </c>
      <c r="U86" s="205">
        <v>0</v>
      </c>
    </row>
    <row r="87" spans="2:21" x14ac:dyDescent="0.3">
      <c r="B87" s="8"/>
      <c r="C87" s="8" t="s">
        <v>129</v>
      </c>
      <c r="D87" s="8"/>
      <c r="E87" s="8"/>
      <c r="F87" s="204">
        <f t="shared" si="8"/>
        <v>1</v>
      </c>
      <c r="G87" s="8"/>
      <c r="H87" s="205">
        <v>0.1</v>
      </c>
      <c r="I87" s="205">
        <v>0.1</v>
      </c>
      <c r="J87" s="205">
        <v>0.25</v>
      </c>
      <c r="K87" s="205">
        <v>0.25</v>
      </c>
      <c r="L87" s="205">
        <v>0.25</v>
      </c>
      <c r="M87" s="205">
        <v>0.05</v>
      </c>
      <c r="N87" s="205">
        <v>0</v>
      </c>
      <c r="O87" s="205">
        <v>0</v>
      </c>
      <c r="P87" s="205">
        <v>0</v>
      </c>
      <c r="Q87" s="205">
        <v>0</v>
      </c>
      <c r="R87" s="205">
        <v>0</v>
      </c>
      <c r="S87" s="205">
        <v>0</v>
      </c>
      <c r="T87" s="205">
        <v>0</v>
      </c>
      <c r="U87" s="205">
        <v>0</v>
      </c>
    </row>
    <row r="88" spans="2:21" x14ac:dyDescent="0.3">
      <c r="B88" s="8"/>
      <c r="C88" s="8" t="s">
        <v>130</v>
      </c>
      <c r="D88" s="8"/>
      <c r="E88" s="8"/>
      <c r="F88" s="204">
        <f t="shared" si="8"/>
        <v>1</v>
      </c>
      <c r="G88" s="8"/>
      <c r="H88" s="205">
        <v>0.1</v>
      </c>
      <c r="I88" s="205">
        <v>0.1</v>
      </c>
      <c r="J88" s="205">
        <v>0.25</v>
      </c>
      <c r="K88" s="205">
        <v>0.25</v>
      </c>
      <c r="L88" s="205">
        <v>0.25</v>
      </c>
      <c r="M88" s="205">
        <v>0.05</v>
      </c>
      <c r="N88" s="205">
        <v>0</v>
      </c>
      <c r="O88" s="205">
        <v>0</v>
      </c>
      <c r="P88" s="205">
        <v>0</v>
      </c>
      <c r="Q88" s="205">
        <v>0</v>
      </c>
      <c r="R88" s="205">
        <v>0</v>
      </c>
      <c r="S88" s="205">
        <v>0</v>
      </c>
      <c r="T88" s="205">
        <v>0</v>
      </c>
      <c r="U88" s="205">
        <v>0</v>
      </c>
    </row>
    <row r="89" spans="2:21" x14ac:dyDescent="0.3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</row>
    <row r="90" spans="2:21" x14ac:dyDescent="0.3">
      <c r="B90" s="8"/>
      <c r="C90" s="52" t="s">
        <v>139</v>
      </c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</row>
    <row r="91" spans="2:21" x14ac:dyDescent="0.3">
      <c r="B91" s="8"/>
      <c r="C91" s="8" t="s">
        <v>132</v>
      </c>
      <c r="D91" s="8"/>
      <c r="E91" s="8"/>
      <c r="F91" s="204">
        <f t="shared" ref="F91:F98" si="9">SUM(H91:U91)</f>
        <v>1</v>
      </c>
      <c r="G91" s="8"/>
      <c r="H91" s="205">
        <v>1</v>
      </c>
      <c r="I91" s="205">
        <v>0</v>
      </c>
      <c r="J91" s="205">
        <v>0</v>
      </c>
      <c r="K91" s="205">
        <v>0</v>
      </c>
      <c r="L91" s="205">
        <v>0</v>
      </c>
      <c r="M91" s="205">
        <v>0</v>
      </c>
      <c r="N91" s="205">
        <v>0</v>
      </c>
      <c r="O91" s="205">
        <v>0</v>
      </c>
      <c r="P91" s="205">
        <v>0</v>
      </c>
      <c r="Q91" s="205">
        <v>0</v>
      </c>
      <c r="R91" s="205">
        <v>0</v>
      </c>
      <c r="S91" s="205">
        <v>0</v>
      </c>
      <c r="T91" s="205">
        <v>0</v>
      </c>
      <c r="U91" s="205">
        <v>0</v>
      </c>
    </row>
    <row r="92" spans="2:21" x14ac:dyDescent="0.3">
      <c r="B92" s="8"/>
      <c r="C92" s="8" t="s">
        <v>125</v>
      </c>
      <c r="D92" s="8"/>
      <c r="E92" s="8"/>
      <c r="F92" s="204">
        <f t="shared" si="9"/>
        <v>0.99999999999999989</v>
      </c>
      <c r="G92" s="8"/>
      <c r="H92" s="205">
        <v>0.1</v>
      </c>
      <c r="I92" s="205">
        <v>0.25</v>
      </c>
      <c r="J92" s="205">
        <v>0.3</v>
      </c>
      <c r="K92" s="205">
        <v>0.25</v>
      </c>
      <c r="L92" s="205">
        <v>0.1</v>
      </c>
      <c r="M92" s="205">
        <v>0</v>
      </c>
      <c r="N92" s="205">
        <v>0</v>
      </c>
      <c r="O92" s="205">
        <v>0</v>
      </c>
      <c r="P92" s="205">
        <v>0</v>
      </c>
      <c r="Q92" s="205">
        <v>0</v>
      </c>
      <c r="R92" s="205">
        <v>0</v>
      </c>
      <c r="S92" s="205">
        <v>0</v>
      </c>
      <c r="T92" s="205">
        <v>0</v>
      </c>
      <c r="U92" s="205">
        <v>0</v>
      </c>
    </row>
    <row r="93" spans="2:21" x14ac:dyDescent="0.3">
      <c r="B93" s="8"/>
      <c r="C93" s="8" t="s">
        <v>126</v>
      </c>
      <c r="D93" s="8"/>
      <c r="E93" s="8"/>
      <c r="F93" s="204">
        <f t="shared" si="9"/>
        <v>0.99999999999999989</v>
      </c>
      <c r="G93" s="8"/>
      <c r="H93" s="205">
        <v>0.1</v>
      </c>
      <c r="I93" s="205">
        <v>0.25</v>
      </c>
      <c r="J93" s="205">
        <v>0.3</v>
      </c>
      <c r="K93" s="205">
        <v>0.25</v>
      </c>
      <c r="L93" s="205">
        <v>0.1</v>
      </c>
      <c r="M93" s="205">
        <v>0</v>
      </c>
      <c r="N93" s="205">
        <v>0</v>
      </c>
      <c r="O93" s="205">
        <v>0</v>
      </c>
      <c r="P93" s="205">
        <v>0</v>
      </c>
      <c r="Q93" s="205">
        <v>0</v>
      </c>
      <c r="R93" s="205">
        <v>0</v>
      </c>
      <c r="S93" s="205">
        <v>0</v>
      </c>
      <c r="T93" s="205">
        <v>0</v>
      </c>
      <c r="U93" s="205">
        <v>0</v>
      </c>
    </row>
    <row r="94" spans="2:21" x14ac:dyDescent="0.3">
      <c r="B94" s="8"/>
      <c r="C94" s="8" t="s">
        <v>127</v>
      </c>
      <c r="D94" s="8"/>
      <c r="E94" s="8"/>
      <c r="F94" s="204">
        <f t="shared" si="9"/>
        <v>0.99999999999999989</v>
      </c>
      <c r="G94" s="8"/>
      <c r="H94" s="205">
        <v>0.1</v>
      </c>
      <c r="I94" s="205">
        <v>0.25</v>
      </c>
      <c r="J94" s="205">
        <v>0.3</v>
      </c>
      <c r="K94" s="205">
        <v>0.25</v>
      </c>
      <c r="L94" s="205">
        <v>0.1</v>
      </c>
      <c r="M94" s="205">
        <v>0</v>
      </c>
      <c r="N94" s="205">
        <v>0</v>
      </c>
      <c r="O94" s="205">
        <v>0</v>
      </c>
      <c r="P94" s="205">
        <v>0</v>
      </c>
      <c r="Q94" s="205">
        <v>0</v>
      </c>
      <c r="R94" s="205">
        <v>0</v>
      </c>
      <c r="S94" s="205">
        <v>0</v>
      </c>
      <c r="T94" s="205">
        <v>0</v>
      </c>
      <c r="U94" s="205">
        <v>0</v>
      </c>
    </row>
    <row r="95" spans="2:21" x14ac:dyDescent="0.3">
      <c r="B95" s="8"/>
      <c r="C95" s="8" t="s">
        <v>128</v>
      </c>
      <c r="D95" s="8"/>
      <c r="E95" s="8"/>
      <c r="F95" s="204">
        <f t="shared" si="9"/>
        <v>0.99999999999999989</v>
      </c>
      <c r="G95" s="8"/>
      <c r="H95" s="205">
        <v>0.1</v>
      </c>
      <c r="I95" s="205">
        <v>0.25</v>
      </c>
      <c r="J95" s="205">
        <v>0.3</v>
      </c>
      <c r="K95" s="205">
        <v>0.25</v>
      </c>
      <c r="L95" s="205">
        <v>0.1</v>
      </c>
      <c r="M95" s="205">
        <v>0</v>
      </c>
      <c r="N95" s="205">
        <v>0</v>
      </c>
      <c r="O95" s="205">
        <v>0</v>
      </c>
      <c r="P95" s="205">
        <v>0</v>
      </c>
      <c r="Q95" s="205">
        <v>0</v>
      </c>
      <c r="R95" s="205">
        <v>0</v>
      </c>
      <c r="S95" s="205">
        <v>0</v>
      </c>
      <c r="T95" s="205">
        <v>0</v>
      </c>
      <c r="U95" s="205">
        <v>0</v>
      </c>
    </row>
    <row r="96" spans="2:21" x14ac:dyDescent="0.3">
      <c r="B96" s="8"/>
      <c r="C96" s="8" t="s">
        <v>133</v>
      </c>
      <c r="D96" s="8"/>
      <c r="E96" s="8"/>
      <c r="F96" s="204">
        <f t="shared" si="9"/>
        <v>0.99999999999999989</v>
      </c>
      <c r="G96" s="8"/>
      <c r="H96" s="205">
        <v>0.1</v>
      </c>
      <c r="I96" s="205">
        <v>0.25</v>
      </c>
      <c r="J96" s="205">
        <v>0.3</v>
      </c>
      <c r="K96" s="205">
        <v>0.25</v>
      </c>
      <c r="L96" s="205">
        <v>0.1</v>
      </c>
      <c r="M96" s="205">
        <v>0</v>
      </c>
      <c r="N96" s="205">
        <v>0</v>
      </c>
      <c r="O96" s="205">
        <v>0</v>
      </c>
      <c r="P96" s="205">
        <v>0</v>
      </c>
      <c r="Q96" s="205">
        <v>0</v>
      </c>
      <c r="R96" s="205">
        <v>0</v>
      </c>
      <c r="S96" s="205">
        <v>0</v>
      </c>
      <c r="T96" s="205">
        <v>0</v>
      </c>
      <c r="U96" s="205">
        <v>0</v>
      </c>
    </row>
    <row r="97" spans="2:21" x14ac:dyDescent="0.3">
      <c r="B97" s="8"/>
      <c r="C97" s="8" t="s">
        <v>129</v>
      </c>
      <c r="D97" s="8"/>
      <c r="E97" s="8"/>
      <c r="F97" s="204">
        <f t="shared" si="9"/>
        <v>0.99999999999999989</v>
      </c>
      <c r="G97" s="8"/>
      <c r="H97" s="205">
        <v>0.1</v>
      </c>
      <c r="I97" s="205">
        <v>0.25</v>
      </c>
      <c r="J97" s="205">
        <v>0.3</v>
      </c>
      <c r="K97" s="205">
        <v>0.25</v>
      </c>
      <c r="L97" s="205">
        <v>0.1</v>
      </c>
      <c r="M97" s="205">
        <v>0</v>
      </c>
      <c r="N97" s="205">
        <v>0</v>
      </c>
      <c r="O97" s="205">
        <v>0</v>
      </c>
      <c r="P97" s="205">
        <v>0</v>
      </c>
      <c r="Q97" s="205">
        <v>0</v>
      </c>
      <c r="R97" s="205">
        <v>0</v>
      </c>
      <c r="S97" s="205">
        <v>0</v>
      </c>
      <c r="T97" s="205">
        <v>0</v>
      </c>
      <c r="U97" s="205">
        <v>0</v>
      </c>
    </row>
    <row r="98" spans="2:21" x14ac:dyDescent="0.3">
      <c r="B98" s="8"/>
      <c r="C98" s="8" t="s">
        <v>130</v>
      </c>
      <c r="D98" s="8"/>
      <c r="E98" s="8"/>
      <c r="F98" s="204">
        <f t="shared" si="9"/>
        <v>0.99999999999999989</v>
      </c>
      <c r="G98" s="8"/>
      <c r="H98" s="205">
        <v>0.1</v>
      </c>
      <c r="I98" s="205">
        <v>0.25</v>
      </c>
      <c r="J98" s="205">
        <v>0.3</v>
      </c>
      <c r="K98" s="205">
        <v>0.25</v>
      </c>
      <c r="L98" s="205">
        <v>0.1</v>
      </c>
      <c r="M98" s="205">
        <v>0</v>
      </c>
      <c r="N98" s="205">
        <v>0</v>
      </c>
      <c r="O98" s="205">
        <v>0</v>
      </c>
      <c r="P98" s="205">
        <v>0</v>
      </c>
      <c r="Q98" s="205">
        <v>0</v>
      </c>
      <c r="R98" s="205">
        <v>0</v>
      </c>
      <c r="S98" s="205">
        <v>0</v>
      </c>
      <c r="T98" s="205">
        <v>0</v>
      </c>
      <c r="U98" s="205">
        <v>0</v>
      </c>
    </row>
    <row r="99" spans="2:21" x14ac:dyDescent="0.3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</row>
    <row r="100" spans="2:21" x14ac:dyDescent="0.3">
      <c r="B100" s="8"/>
      <c r="C100" s="52" t="s">
        <v>140</v>
      </c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</row>
    <row r="101" spans="2:21" x14ac:dyDescent="0.3">
      <c r="B101" s="8"/>
      <c r="C101" s="8" t="s">
        <v>132</v>
      </c>
      <c r="D101" s="8"/>
      <c r="E101" s="8"/>
      <c r="F101" s="204">
        <f t="shared" ref="F101:F108" si="10">SUM(H101:U101)</f>
        <v>1</v>
      </c>
      <c r="G101" s="8"/>
      <c r="H101" s="205">
        <v>1</v>
      </c>
      <c r="I101" s="205">
        <v>0</v>
      </c>
      <c r="J101" s="205">
        <v>0</v>
      </c>
      <c r="K101" s="205">
        <v>0</v>
      </c>
      <c r="L101" s="205">
        <v>0</v>
      </c>
      <c r="M101" s="205">
        <v>0</v>
      </c>
      <c r="N101" s="205">
        <v>0</v>
      </c>
      <c r="O101" s="205">
        <v>0</v>
      </c>
      <c r="P101" s="205">
        <v>0</v>
      </c>
      <c r="Q101" s="205">
        <v>0</v>
      </c>
      <c r="R101" s="205">
        <v>0</v>
      </c>
      <c r="S101" s="205">
        <v>0</v>
      </c>
      <c r="T101" s="205">
        <v>0</v>
      </c>
      <c r="U101" s="205">
        <v>0</v>
      </c>
    </row>
    <row r="102" spans="2:21" x14ac:dyDescent="0.3">
      <c r="B102" s="8"/>
      <c r="C102" s="8" t="s">
        <v>125</v>
      </c>
      <c r="D102" s="8"/>
      <c r="E102" s="8"/>
      <c r="F102" s="204">
        <f t="shared" si="10"/>
        <v>0.99999999999999989</v>
      </c>
      <c r="G102" s="8"/>
      <c r="H102" s="205">
        <v>0.1</v>
      </c>
      <c r="I102" s="205">
        <v>0.25</v>
      </c>
      <c r="J102" s="205">
        <v>0.3</v>
      </c>
      <c r="K102" s="205">
        <v>0.25</v>
      </c>
      <c r="L102" s="205">
        <v>0.1</v>
      </c>
      <c r="M102" s="205">
        <v>0</v>
      </c>
      <c r="N102" s="205">
        <v>0</v>
      </c>
      <c r="O102" s="205">
        <v>0</v>
      </c>
      <c r="P102" s="205">
        <v>0</v>
      </c>
      <c r="Q102" s="205">
        <v>0</v>
      </c>
      <c r="R102" s="205">
        <v>0</v>
      </c>
      <c r="S102" s="205">
        <v>0</v>
      </c>
      <c r="T102" s="205">
        <v>0</v>
      </c>
      <c r="U102" s="205">
        <v>0</v>
      </c>
    </row>
    <row r="103" spans="2:21" x14ac:dyDescent="0.3">
      <c r="B103" s="8"/>
      <c r="C103" s="8" t="s">
        <v>126</v>
      </c>
      <c r="D103" s="8"/>
      <c r="E103" s="8"/>
      <c r="F103" s="204">
        <f t="shared" si="10"/>
        <v>0.99999999999999989</v>
      </c>
      <c r="G103" s="8"/>
      <c r="H103" s="205">
        <v>0.1</v>
      </c>
      <c r="I103" s="205">
        <v>0.25</v>
      </c>
      <c r="J103" s="205">
        <v>0.3</v>
      </c>
      <c r="K103" s="205">
        <v>0.25</v>
      </c>
      <c r="L103" s="205">
        <v>0.1</v>
      </c>
      <c r="M103" s="205">
        <v>0</v>
      </c>
      <c r="N103" s="205">
        <v>0</v>
      </c>
      <c r="O103" s="205">
        <v>0</v>
      </c>
      <c r="P103" s="205">
        <v>0</v>
      </c>
      <c r="Q103" s="205">
        <v>0</v>
      </c>
      <c r="R103" s="205">
        <v>0</v>
      </c>
      <c r="S103" s="205">
        <v>0</v>
      </c>
      <c r="T103" s="205">
        <v>0</v>
      </c>
      <c r="U103" s="205">
        <v>0</v>
      </c>
    </row>
    <row r="104" spans="2:21" x14ac:dyDescent="0.3">
      <c r="B104" s="8"/>
      <c r="C104" s="8" t="s">
        <v>127</v>
      </c>
      <c r="D104" s="8"/>
      <c r="E104" s="8"/>
      <c r="F104" s="204">
        <f t="shared" si="10"/>
        <v>0.99999999999999989</v>
      </c>
      <c r="G104" s="8"/>
      <c r="H104" s="205">
        <v>0.1</v>
      </c>
      <c r="I104" s="205">
        <v>0.25</v>
      </c>
      <c r="J104" s="205">
        <v>0.3</v>
      </c>
      <c r="K104" s="205">
        <v>0.25</v>
      </c>
      <c r="L104" s="205">
        <v>0.1</v>
      </c>
      <c r="M104" s="205">
        <v>0</v>
      </c>
      <c r="N104" s="205">
        <v>0</v>
      </c>
      <c r="O104" s="205">
        <v>0</v>
      </c>
      <c r="P104" s="205">
        <v>0</v>
      </c>
      <c r="Q104" s="205">
        <v>0</v>
      </c>
      <c r="R104" s="205">
        <v>0</v>
      </c>
      <c r="S104" s="205">
        <v>0</v>
      </c>
      <c r="T104" s="205">
        <v>0</v>
      </c>
      <c r="U104" s="205">
        <v>0</v>
      </c>
    </row>
    <row r="105" spans="2:21" x14ac:dyDescent="0.3">
      <c r="B105" s="8"/>
      <c r="C105" s="8" t="s">
        <v>128</v>
      </c>
      <c r="D105" s="8"/>
      <c r="E105" s="8"/>
      <c r="F105" s="204">
        <f t="shared" si="10"/>
        <v>0.99999999999999989</v>
      </c>
      <c r="G105" s="8"/>
      <c r="H105" s="205">
        <v>0.1</v>
      </c>
      <c r="I105" s="205">
        <v>0.25</v>
      </c>
      <c r="J105" s="205">
        <v>0.3</v>
      </c>
      <c r="K105" s="205">
        <v>0.25</v>
      </c>
      <c r="L105" s="205">
        <v>0.1</v>
      </c>
      <c r="M105" s="205">
        <v>0</v>
      </c>
      <c r="N105" s="205">
        <v>0</v>
      </c>
      <c r="O105" s="205">
        <v>0</v>
      </c>
      <c r="P105" s="205">
        <v>0</v>
      </c>
      <c r="Q105" s="205">
        <v>0</v>
      </c>
      <c r="R105" s="205">
        <v>0</v>
      </c>
      <c r="S105" s="205">
        <v>0</v>
      </c>
      <c r="T105" s="205">
        <v>0</v>
      </c>
      <c r="U105" s="205">
        <v>0</v>
      </c>
    </row>
    <row r="106" spans="2:21" x14ac:dyDescent="0.3">
      <c r="B106" s="8"/>
      <c r="C106" s="8" t="s">
        <v>133</v>
      </c>
      <c r="D106" s="8"/>
      <c r="E106" s="8"/>
      <c r="F106" s="204">
        <f t="shared" si="10"/>
        <v>0.99999999999999989</v>
      </c>
      <c r="G106" s="8"/>
      <c r="H106" s="205">
        <v>0.1</v>
      </c>
      <c r="I106" s="205">
        <v>0.25</v>
      </c>
      <c r="J106" s="205">
        <v>0.3</v>
      </c>
      <c r="K106" s="205">
        <v>0.25</v>
      </c>
      <c r="L106" s="205">
        <v>0.1</v>
      </c>
      <c r="M106" s="205">
        <v>0</v>
      </c>
      <c r="N106" s="205">
        <v>0</v>
      </c>
      <c r="O106" s="205">
        <v>0</v>
      </c>
      <c r="P106" s="205">
        <v>0</v>
      </c>
      <c r="Q106" s="205">
        <v>0</v>
      </c>
      <c r="R106" s="205">
        <v>0</v>
      </c>
      <c r="S106" s="205">
        <v>0</v>
      </c>
      <c r="T106" s="205">
        <v>0</v>
      </c>
      <c r="U106" s="205">
        <v>0</v>
      </c>
    </row>
    <row r="107" spans="2:21" x14ac:dyDescent="0.3">
      <c r="B107" s="8"/>
      <c r="C107" s="8" t="s">
        <v>129</v>
      </c>
      <c r="D107" s="8"/>
      <c r="E107" s="8"/>
      <c r="F107" s="204">
        <f t="shared" si="10"/>
        <v>0.99999999999999989</v>
      </c>
      <c r="G107" s="8"/>
      <c r="H107" s="205">
        <v>0.1</v>
      </c>
      <c r="I107" s="205">
        <v>0.25</v>
      </c>
      <c r="J107" s="205">
        <v>0.3</v>
      </c>
      <c r="K107" s="205">
        <v>0.25</v>
      </c>
      <c r="L107" s="205">
        <v>0.1</v>
      </c>
      <c r="M107" s="205">
        <v>0</v>
      </c>
      <c r="N107" s="205">
        <v>0</v>
      </c>
      <c r="O107" s="205">
        <v>0</v>
      </c>
      <c r="P107" s="205">
        <v>0</v>
      </c>
      <c r="Q107" s="205">
        <v>0</v>
      </c>
      <c r="R107" s="205">
        <v>0</v>
      </c>
      <c r="S107" s="205">
        <v>0</v>
      </c>
      <c r="T107" s="205">
        <v>0</v>
      </c>
      <c r="U107" s="205">
        <v>0</v>
      </c>
    </row>
    <row r="108" spans="2:21" x14ac:dyDescent="0.3">
      <c r="B108" s="8"/>
      <c r="C108" s="8" t="s">
        <v>130</v>
      </c>
      <c r="D108" s="8"/>
      <c r="E108" s="8"/>
      <c r="F108" s="204">
        <f t="shared" si="10"/>
        <v>0.99999999999999989</v>
      </c>
      <c r="G108" s="8"/>
      <c r="H108" s="205">
        <v>0.1</v>
      </c>
      <c r="I108" s="205">
        <v>0.25</v>
      </c>
      <c r="J108" s="205">
        <v>0.3</v>
      </c>
      <c r="K108" s="205">
        <v>0.25</v>
      </c>
      <c r="L108" s="205">
        <v>0.1</v>
      </c>
      <c r="M108" s="205">
        <v>0</v>
      </c>
      <c r="N108" s="205">
        <v>0</v>
      </c>
      <c r="O108" s="205">
        <v>0</v>
      </c>
      <c r="P108" s="205">
        <v>0</v>
      </c>
      <c r="Q108" s="205">
        <v>0</v>
      </c>
      <c r="R108" s="205">
        <v>0</v>
      </c>
      <c r="S108" s="205">
        <v>0</v>
      </c>
      <c r="T108" s="205">
        <v>0</v>
      </c>
      <c r="U108" s="205">
        <v>0</v>
      </c>
    </row>
    <row r="109" spans="2:21" x14ac:dyDescent="0.3"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</row>
    <row r="110" spans="2:21" x14ac:dyDescent="0.3">
      <c r="B110" s="8"/>
      <c r="C110" s="52" t="s">
        <v>758</v>
      </c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</row>
    <row r="111" spans="2:21" x14ac:dyDescent="0.3">
      <c r="B111" s="8"/>
      <c r="C111" s="8" t="s">
        <v>132</v>
      </c>
      <c r="D111" s="8"/>
      <c r="E111" s="8"/>
      <c r="F111" s="204">
        <f t="shared" ref="F111:F118" si="11">SUM(H111:U111)</f>
        <v>1</v>
      </c>
      <c r="G111" s="8"/>
      <c r="H111" s="205">
        <v>1</v>
      </c>
      <c r="I111" s="205">
        <v>0</v>
      </c>
      <c r="J111" s="205">
        <v>0</v>
      </c>
      <c r="K111" s="205">
        <v>0</v>
      </c>
      <c r="L111" s="205">
        <v>0</v>
      </c>
      <c r="M111" s="205">
        <v>0</v>
      </c>
      <c r="N111" s="205">
        <v>0</v>
      </c>
      <c r="O111" s="205">
        <v>0</v>
      </c>
      <c r="P111" s="205">
        <v>0</v>
      </c>
      <c r="Q111" s="205">
        <v>0</v>
      </c>
      <c r="R111" s="205">
        <v>0</v>
      </c>
      <c r="S111" s="205">
        <v>0</v>
      </c>
      <c r="T111" s="205">
        <v>0</v>
      </c>
      <c r="U111" s="205">
        <v>0</v>
      </c>
    </row>
    <row r="112" spans="2:21" x14ac:dyDescent="0.3">
      <c r="B112" s="8"/>
      <c r="C112" s="8" t="s">
        <v>125</v>
      </c>
      <c r="D112" s="8"/>
      <c r="E112" s="8"/>
      <c r="F112" s="204">
        <f t="shared" si="11"/>
        <v>0.99999999999999989</v>
      </c>
      <c r="G112" s="8"/>
      <c r="H112" s="205">
        <v>0.1</v>
      </c>
      <c r="I112" s="205">
        <v>0.25</v>
      </c>
      <c r="J112" s="205">
        <v>0.3</v>
      </c>
      <c r="K112" s="205">
        <v>0.25</v>
      </c>
      <c r="L112" s="205">
        <v>0.1</v>
      </c>
      <c r="M112" s="205">
        <v>0</v>
      </c>
      <c r="N112" s="205">
        <v>0</v>
      </c>
      <c r="O112" s="205">
        <v>0</v>
      </c>
      <c r="P112" s="205">
        <v>0</v>
      </c>
      <c r="Q112" s="205">
        <v>0</v>
      </c>
      <c r="R112" s="205">
        <v>0</v>
      </c>
      <c r="S112" s="205">
        <v>0</v>
      </c>
      <c r="T112" s="205">
        <v>0</v>
      </c>
      <c r="U112" s="205">
        <v>0</v>
      </c>
    </row>
    <row r="113" spans="1:21" x14ac:dyDescent="0.3">
      <c r="A113" t="s">
        <v>759</v>
      </c>
      <c r="B113" s="8"/>
      <c r="C113" s="8" t="s">
        <v>126</v>
      </c>
      <c r="D113" s="8"/>
      <c r="E113" s="8"/>
      <c r="F113" s="204">
        <f t="shared" si="11"/>
        <v>0.99999999999999989</v>
      </c>
      <c r="G113" s="8"/>
      <c r="H113" s="205">
        <v>0.1</v>
      </c>
      <c r="I113" s="205">
        <v>0.25</v>
      </c>
      <c r="J113" s="205">
        <v>0.3</v>
      </c>
      <c r="K113" s="205">
        <v>0.25</v>
      </c>
      <c r="L113" s="205">
        <v>0.1</v>
      </c>
      <c r="M113" s="205">
        <v>0</v>
      </c>
      <c r="N113" s="205">
        <v>0</v>
      </c>
      <c r="O113" s="205">
        <v>0</v>
      </c>
      <c r="P113" s="205">
        <v>0</v>
      </c>
      <c r="Q113" s="205">
        <v>0</v>
      </c>
      <c r="R113" s="205">
        <v>0</v>
      </c>
      <c r="S113" s="205">
        <v>0</v>
      </c>
      <c r="T113" s="205">
        <v>0</v>
      </c>
      <c r="U113" s="205">
        <v>0</v>
      </c>
    </row>
    <row r="114" spans="1:21" x14ac:dyDescent="0.3">
      <c r="B114" s="8"/>
      <c r="C114" s="8" t="s">
        <v>127</v>
      </c>
      <c r="D114" s="8"/>
      <c r="E114" s="8"/>
      <c r="F114" s="204">
        <f t="shared" si="11"/>
        <v>0.99999999999999989</v>
      </c>
      <c r="G114" s="8"/>
      <c r="H114" s="205">
        <v>0.1</v>
      </c>
      <c r="I114" s="205">
        <v>0.25</v>
      </c>
      <c r="J114" s="205">
        <v>0.3</v>
      </c>
      <c r="K114" s="205">
        <v>0.25</v>
      </c>
      <c r="L114" s="205">
        <v>0.1</v>
      </c>
      <c r="M114" s="205">
        <v>0</v>
      </c>
      <c r="N114" s="205">
        <v>0</v>
      </c>
      <c r="O114" s="205">
        <v>0</v>
      </c>
      <c r="P114" s="205">
        <v>0</v>
      </c>
      <c r="Q114" s="205">
        <v>0</v>
      </c>
      <c r="R114" s="205">
        <v>0</v>
      </c>
      <c r="S114" s="205">
        <v>0</v>
      </c>
      <c r="T114" s="205">
        <v>0</v>
      </c>
      <c r="U114" s="205">
        <v>0</v>
      </c>
    </row>
    <row r="115" spans="1:21" x14ac:dyDescent="0.3">
      <c r="B115" s="8"/>
      <c r="C115" s="8" t="s">
        <v>128</v>
      </c>
      <c r="D115" s="8"/>
      <c r="E115" s="8"/>
      <c r="F115" s="204">
        <f t="shared" si="11"/>
        <v>0.99999999999999989</v>
      </c>
      <c r="G115" s="8"/>
      <c r="H115" s="205">
        <v>0.1</v>
      </c>
      <c r="I115" s="205">
        <v>0.25</v>
      </c>
      <c r="J115" s="205">
        <v>0.3</v>
      </c>
      <c r="K115" s="205">
        <v>0.25</v>
      </c>
      <c r="L115" s="205">
        <v>0.1</v>
      </c>
      <c r="M115" s="205">
        <v>0</v>
      </c>
      <c r="N115" s="205">
        <v>0</v>
      </c>
      <c r="O115" s="205">
        <v>0</v>
      </c>
      <c r="P115" s="205">
        <v>0</v>
      </c>
      <c r="Q115" s="205">
        <v>0</v>
      </c>
      <c r="R115" s="205">
        <v>0</v>
      </c>
      <c r="S115" s="205">
        <v>0</v>
      </c>
      <c r="T115" s="205">
        <v>0</v>
      </c>
      <c r="U115" s="205">
        <v>0</v>
      </c>
    </row>
    <row r="116" spans="1:21" x14ac:dyDescent="0.3">
      <c r="B116" s="8"/>
      <c r="C116" s="8" t="s">
        <v>133</v>
      </c>
      <c r="D116" s="8"/>
      <c r="E116" s="8"/>
      <c r="F116" s="204">
        <f t="shared" si="11"/>
        <v>0.99999999999999989</v>
      </c>
      <c r="G116" s="8"/>
      <c r="H116" s="205">
        <v>0.1</v>
      </c>
      <c r="I116" s="205">
        <v>0.25</v>
      </c>
      <c r="J116" s="205">
        <v>0.3</v>
      </c>
      <c r="K116" s="205">
        <v>0.25</v>
      </c>
      <c r="L116" s="205">
        <v>0.1</v>
      </c>
      <c r="M116" s="205">
        <v>0</v>
      </c>
      <c r="N116" s="205">
        <v>0</v>
      </c>
      <c r="O116" s="205">
        <v>0</v>
      </c>
      <c r="P116" s="205">
        <v>0</v>
      </c>
      <c r="Q116" s="205">
        <v>0</v>
      </c>
      <c r="R116" s="205">
        <v>0</v>
      </c>
      <c r="S116" s="205">
        <v>0</v>
      </c>
      <c r="T116" s="205">
        <v>0</v>
      </c>
      <c r="U116" s="205">
        <v>0</v>
      </c>
    </row>
    <row r="117" spans="1:21" x14ac:dyDescent="0.3">
      <c r="B117" s="8"/>
      <c r="C117" s="8" t="s">
        <v>129</v>
      </c>
      <c r="D117" s="8"/>
      <c r="E117" s="8"/>
      <c r="F117" s="204">
        <f t="shared" si="11"/>
        <v>0.99999999999999989</v>
      </c>
      <c r="G117" s="8"/>
      <c r="H117" s="205">
        <v>0.1</v>
      </c>
      <c r="I117" s="205">
        <v>0.25</v>
      </c>
      <c r="J117" s="205">
        <v>0.3</v>
      </c>
      <c r="K117" s="205">
        <v>0.25</v>
      </c>
      <c r="L117" s="205">
        <v>0.1</v>
      </c>
      <c r="M117" s="205">
        <v>0</v>
      </c>
      <c r="N117" s="205">
        <v>0</v>
      </c>
      <c r="O117" s="205">
        <v>0</v>
      </c>
      <c r="P117" s="205">
        <v>0</v>
      </c>
      <c r="Q117" s="205">
        <v>0</v>
      </c>
      <c r="R117" s="205">
        <v>0</v>
      </c>
      <c r="S117" s="205">
        <v>0</v>
      </c>
      <c r="T117" s="205">
        <v>0</v>
      </c>
      <c r="U117" s="205">
        <v>0</v>
      </c>
    </row>
    <row r="118" spans="1:21" x14ac:dyDescent="0.3">
      <c r="B118" s="8"/>
      <c r="C118" s="8" t="s">
        <v>130</v>
      </c>
      <c r="D118" s="8"/>
      <c r="E118" s="8"/>
      <c r="F118" s="204">
        <f t="shared" si="11"/>
        <v>0.99999999999999989</v>
      </c>
      <c r="G118" s="8"/>
      <c r="H118" s="205">
        <v>0.1</v>
      </c>
      <c r="I118" s="205">
        <v>0.25</v>
      </c>
      <c r="J118" s="205">
        <v>0.3</v>
      </c>
      <c r="K118" s="205">
        <v>0.25</v>
      </c>
      <c r="L118" s="205">
        <v>0.1</v>
      </c>
      <c r="M118" s="205">
        <v>0</v>
      </c>
      <c r="N118" s="205">
        <v>0</v>
      </c>
      <c r="O118" s="205">
        <v>0</v>
      </c>
      <c r="P118" s="205">
        <v>0</v>
      </c>
      <c r="Q118" s="205">
        <v>0</v>
      </c>
      <c r="R118" s="205">
        <v>0</v>
      </c>
      <c r="S118" s="205">
        <v>0</v>
      </c>
      <c r="T118" s="205">
        <v>0</v>
      </c>
      <c r="U118" s="205">
        <v>0</v>
      </c>
    </row>
    <row r="120" spans="1:21" x14ac:dyDescent="0.3">
      <c r="C120" s="52" t="s">
        <v>757</v>
      </c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</row>
    <row r="121" spans="1:21" x14ac:dyDescent="0.3">
      <c r="C121" s="8" t="s">
        <v>132</v>
      </c>
      <c r="D121" s="8"/>
      <c r="E121" s="8"/>
      <c r="F121" s="204">
        <f t="shared" ref="F121:F128" si="12">SUM(H121:U121)</f>
        <v>1</v>
      </c>
      <c r="G121" s="8"/>
      <c r="H121" s="205">
        <v>1</v>
      </c>
      <c r="I121" s="205">
        <v>0</v>
      </c>
      <c r="J121" s="205">
        <v>0</v>
      </c>
      <c r="K121" s="205">
        <v>0</v>
      </c>
      <c r="L121" s="205">
        <v>0</v>
      </c>
      <c r="M121" s="205">
        <v>0</v>
      </c>
      <c r="N121" s="205">
        <v>0</v>
      </c>
      <c r="O121" s="205">
        <v>0</v>
      </c>
      <c r="P121" s="205">
        <v>0</v>
      </c>
      <c r="Q121" s="205">
        <v>0</v>
      </c>
      <c r="R121" s="205">
        <v>0</v>
      </c>
      <c r="S121" s="205">
        <v>0</v>
      </c>
      <c r="T121" s="205">
        <v>0</v>
      </c>
      <c r="U121" s="205">
        <v>0</v>
      </c>
    </row>
    <row r="122" spans="1:21" x14ac:dyDescent="0.3">
      <c r="C122" s="8" t="s">
        <v>125</v>
      </c>
      <c r="D122" s="8"/>
      <c r="E122" s="8"/>
      <c r="F122" s="204">
        <f t="shared" si="12"/>
        <v>1</v>
      </c>
      <c r="G122" s="8"/>
      <c r="H122" s="205">
        <v>0.1</v>
      </c>
      <c r="I122" s="205">
        <v>0.1</v>
      </c>
      <c r="J122" s="205">
        <v>0.25</v>
      </c>
      <c r="K122" s="205">
        <v>0.25</v>
      </c>
      <c r="L122" s="205">
        <v>0.25</v>
      </c>
      <c r="M122" s="205">
        <v>0.05</v>
      </c>
      <c r="N122" s="205">
        <v>0</v>
      </c>
      <c r="O122" s="205">
        <v>0</v>
      </c>
      <c r="P122" s="205">
        <v>0</v>
      </c>
      <c r="Q122" s="205">
        <v>0</v>
      </c>
      <c r="R122" s="205">
        <v>0</v>
      </c>
      <c r="S122" s="205">
        <v>0</v>
      </c>
      <c r="T122" s="205">
        <v>0</v>
      </c>
      <c r="U122" s="205">
        <v>0</v>
      </c>
    </row>
    <row r="123" spans="1:21" x14ac:dyDescent="0.3">
      <c r="C123" s="8" t="s">
        <v>126</v>
      </c>
      <c r="D123" s="8"/>
      <c r="E123" s="8"/>
      <c r="F123" s="204">
        <f t="shared" si="12"/>
        <v>1</v>
      </c>
      <c r="G123" s="8"/>
      <c r="H123" s="205">
        <v>0.1</v>
      </c>
      <c r="I123" s="205">
        <v>0.1</v>
      </c>
      <c r="J123" s="205">
        <v>0.25</v>
      </c>
      <c r="K123" s="205">
        <v>0.25</v>
      </c>
      <c r="L123" s="205">
        <v>0.25</v>
      </c>
      <c r="M123" s="205">
        <v>0.05</v>
      </c>
      <c r="N123" s="205">
        <v>0</v>
      </c>
      <c r="O123" s="205">
        <v>0</v>
      </c>
      <c r="P123" s="205">
        <v>0</v>
      </c>
      <c r="Q123" s="205">
        <v>0</v>
      </c>
      <c r="R123" s="205">
        <v>0</v>
      </c>
      <c r="S123" s="205">
        <v>0</v>
      </c>
      <c r="T123" s="205">
        <v>0</v>
      </c>
      <c r="U123" s="205">
        <v>0</v>
      </c>
    </row>
    <row r="124" spans="1:21" x14ac:dyDescent="0.3">
      <c r="C124" s="8" t="s">
        <v>127</v>
      </c>
      <c r="D124" s="8"/>
      <c r="E124" s="8"/>
      <c r="F124" s="204">
        <f t="shared" si="12"/>
        <v>1</v>
      </c>
      <c r="G124" s="8"/>
      <c r="H124" s="205">
        <v>0.1</v>
      </c>
      <c r="I124" s="205">
        <v>0.1</v>
      </c>
      <c r="J124" s="205">
        <v>0.25</v>
      </c>
      <c r="K124" s="205">
        <v>0.25</v>
      </c>
      <c r="L124" s="205">
        <v>0.25</v>
      </c>
      <c r="M124" s="205">
        <v>0.05</v>
      </c>
      <c r="N124" s="205">
        <v>0</v>
      </c>
      <c r="O124" s="205">
        <v>0</v>
      </c>
      <c r="P124" s="205">
        <v>0</v>
      </c>
      <c r="Q124" s="205">
        <v>0</v>
      </c>
      <c r="R124" s="205">
        <v>0</v>
      </c>
      <c r="S124" s="205">
        <v>0</v>
      </c>
      <c r="T124" s="205">
        <v>0</v>
      </c>
      <c r="U124" s="205">
        <v>0</v>
      </c>
    </row>
    <row r="125" spans="1:21" x14ac:dyDescent="0.3">
      <c r="C125" s="8" t="s">
        <v>128</v>
      </c>
      <c r="D125" s="8"/>
      <c r="E125" s="8"/>
      <c r="F125" s="204">
        <f t="shared" si="12"/>
        <v>1</v>
      </c>
      <c r="G125" s="8"/>
      <c r="H125" s="205">
        <v>0.1</v>
      </c>
      <c r="I125" s="205">
        <v>0.1</v>
      </c>
      <c r="J125" s="205">
        <v>0.25</v>
      </c>
      <c r="K125" s="205">
        <v>0.25</v>
      </c>
      <c r="L125" s="205">
        <v>0.25</v>
      </c>
      <c r="M125" s="205">
        <v>0.05</v>
      </c>
      <c r="N125" s="205">
        <v>0</v>
      </c>
      <c r="O125" s="205">
        <v>0</v>
      </c>
      <c r="P125" s="205">
        <v>0</v>
      </c>
      <c r="Q125" s="205">
        <v>0</v>
      </c>
      <c r="R125" s="205">
        <v>0</v>
      </c>
      <c r="S125" s="205">
        <v>0</v>
      </c>
      <c r="T125" s="205">
        <v>0</v>
      </c>
      <c r="U125" s="205">
        <v>0</v>
      </c>
    </row>
    <row r="126" spans="1:21" x14ac:dyDescent="0.3">
      <c r="C126" s="8" t="s">
        <v>133</v>
      </c>
      <c r="D126" s="8"/>
      <c r="E126" s="8"/>
      <c r="F126" s="204">
        <f t="shared" si="12"/>
        <v>1</v>
      </c>
      <c r="G126" s="8"/>
      <c r="H126" s="205">
        <v>0.1</v>
      </c>
      <c r="I126" s="205">
        <v>0.1</v>
      </c>
      <c r="J126" s="205">
        <v>0.25</v>
      </c>
      <c r="K126" s="205">
        <v>0.25</v>
      </c>
      <c r="L126" s="205">
        <v>0.25</v>
      </c>
      <c r="M126" s="205">
        <v>0.05</v>
      </c>
      <c r="N126" s="205">
        <v>0</v>
      </c>
      <c r="O126" s="205">
        <v>0</v>
      </c>
      <c r="P126" s="205">
        <v>0</v>
      </c>
      <c r="Q126" s="205">
        <v>0</v>
      </c>
      <c r="R126" s="205">
        <v>0</v>
      </c>
      <c r="S126" s="205">
        <v>0</v>
      </c>
      <c r="T126" s="205">
        <v>0</v>
      </c>
      <c r="U126" s="205">
        <v>0</v>
      </c>
    </row>
    <row r="127" spans="1:21" x14ac:dyDescent="0.3">
      <c r="C127" s="8" t="s">
        <v>129</v>
      </c>
      <c r="D127" s="8"/>
      <c r="E127" s="8"/>
      <c r="F127" s="204">
        <f t="shared" si="12"/>
        <v>1</v>
      </c>
      <c r="G127" s="8"/>
      <c r="H127" s="205">
        <v>0.1</v>
      </c>
      <c r="I127" s="205">
        <v>0.1</v>
      </c>
      <c r="J127" s="205">
        <v>0.25</v>
      </c>
      <c r="K127" s="205">
        <v>0.25</v>
      </c>
      <c r="L127" s="205">
        <v>0.25</v>
      </c>
      <c r="M127" s="205">
        <v>0.05</v>
      </c>
      <c r="N127" s="205">
        <v>0</v>
      </c>
      <c r="O127" s="205">
        <v>0</v>
      </c>
      <c r="P127" s="205">
        <v>0</v>
      </c>
      <c r="Q127" s="205">
        <v>0</v>
      </c>
      <c r="R127" s="205">
        <v>0</v>
      </c>
      <c r="S127" s="205">
        <v>0</v>
      </c>
      <c r="T127" s="205">
        <v>0</v>
      </c>
      <c r="U127" s="205">
        <v>0</v>
      </c>
    </row>
    <row r="128" spans="1:21" x14ac:dyDescent="0.3">
      <c r="C128" s="8" t="s">
        <v>130</v>
      </c>
      <c r="D128" s="8"/>
      <c r="E128" s="8"/>
      <c r="F128" s="204">
        <f t="shared" si="12"/>
        <v>1</v>
      </c>
      <c r="G128" s="8"/>
      <c r="H128" s="205">
        <v>0.1</v>
      </c>
      <c r="I128" s="205">
        <v>0.1</v>
      </c>
      <c r="J128" s="205">
        <v>0.25</v>
      </c>
      <c r="K128" s="205">
        <v>0.25</v>
      </c>
      <c r="L128" s="205">
        <v>0.25</v>
      </c>
      <c r="M128" s="205">
        <v>0.05</v>
      </c>
      <c r="N128" s="205">
        <v>0</v>
      </c>
      <c r="O128" s="205">
        <v>0</v>
      </c>
      <c r="P128" s="205">
        <v>0</v>
      </c>
      <c r="Q128" s="205">
        <v>0</v>
      </c>
      <c r="R128" s="205">
        <v>0</v>
      </c>
      <c r="S128" s="205">
        <v>0</v>
      </c>
      <c r="T128" s="205">
        <v>0</v>
      </c>
      <c r="U128" s="205">
        <v>0</v>
      </c>
    </row>
    <row r="130" spans="2:21" x14ac:dyDescent="0.3">
      <c r="B130" s="21" t="s">
        <v>193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4CF8A-F9CA-4858-9788-3B2EDB14D9EE}">
  <sheetPr codeName="Sheet5"/>
  <dimension ref="A1:AC179"/>
  <sheetViews>
    <sheetView showGridLines="0" zoomScale="80" zoomScaleNormal="80" workbookViewId="0">
      <pane xSplit="6" ySplit="4" topLeftCell="G5" activePane="bottomRight" state="frozen"/>
      <selection pane="topRight" activeCell="E1" sqref="E1"/>
      <selection pane="bottomLeft" activeCell="A5" sqref="A5"/>
      <selection pane="bottomRight" activeCell="F16" sqref="F16"/>
    </sheetView>
  </sheetViews>
  <sheetFormatPr defaultRowHeight="12.6" x14ac:dyDescent="0.3"/>
  <cols>
    <col min="1" max="2" width="2.21875" style="250" customWidth="1"/>
    <col min="3" max="3" width="44.44140625" style="250" customWidth="1"/>
    <col min="4" max="4" width="12.77734375" style="250" customWidth="1"/>
    <col min="5" max="5" width="12.77734375" style="253" customWidth="1"/>
    <col min="6" max="22" width="13" style="250" customWidth="1"/>
    <col min="23" max="16384" width="8.88671875" style="250"/>
  </cols>
  <sheetData>
    <row r="1" spans="2:29" ht="15" customHeight="1" x14ac:dyDescent="0.3">
      <c r="B1" s="15" t="s">
        <v>423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spans="2:29" ht="15" customHeight="1" x14ac:dyDescent="0.3">
      <c r="B2" s="251" t="s">
        <v>564</v>
      </c>
      <c r="D2" s="251"/>
      <c r="E2" s="252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</row>
    <row r="3" spans="2:29" ht="15" customHeight="1" x14ac:dyDescent="0.3">
      <c r="B3" s="251" t="s">
        <v>568</v>
      </c>
    </row>
    <row r="4" spans="2:29" ht="15" customHeight="1" x14ac:dyDescent="0.3">
      <c r="B4" s="254"/>
      <c r="C4" s="254" t="s">
        <v>0</v>
      </c>
      <c r="D4" s="217" t="s">
        <v>43</v>
      </c>
      <c r="E4" s="255" t="s">
        <v>271</v>
      </c>
      <c r="F4" s="217" t="s">
        <v>23</v>
      </c>
      <c r="G4" s="256" t="s">
        <v>198</v>
      </c>
      <c r="H4" s="217">
        <v>2025</v>
      </c>
      <c r="I4" s="217">
        <f t="shared" ref="I4:V4" si="0">H4+1</f>
        <v>2026</v>
      </c>
      <c r="J4" s="217">
        <f t="shared" si="0"/>
        <v>2027</v>
      </c>
      <c r="K4" s="217">
        <f t="shared" si="0"/>
        <v>2028</v>
      </c>
      <c r="L4" s="217">
        <f t="shared" si="0"/>
        <v>2029</v>
      </c>
      <c r="M4" s="217">
        <f t="shared" si="0"/>
        <v>2030</v>
      </c>
      <c r="N4" s="217">
        <f t="shared" si="0"/>
        <v>2031</v>
      </c>
      <c r="O4" s="217">
        <f t="shared" si="0"/>
        <v>2032</v>
      </c>
      <c r="P4" s="217">
        <f t="shared" si="0"/>
        <v>2033</v>
      </c>
      <c r="Q4" s="217">
        <f t="shared" si="0"/>
        <v>2034</v>
      </c>
      <c r="R4" s="217">
        <f t="shared" si="0"/>
        <v>2035</v>
      </c>
      <c r="S4" s="217">
        <f t="shared" si="0"/>
        <v>2036</v>
      </c>
      <c r="T4" s="217">
        <f t="shared" si="0"/>
        <v>2037</v>
      </c>
      <c r="U4" s="217">
        <f t="shared" si="0"/>
        <v>2038</v>
      </c>
      <c r="V4" s="217">
        <f t="shared" si="0"/>
        <v>2039</v>
      </c>
    </row>
    <row r="5" spans="2:29" ht="15" customHeight="1" x14ac:dyDescent="0.3"/>
    <row r="6" spans="2:29" ht="15" customHeight="1" x14ac:dyDescent="0.3">
      <c r="B6" s="257" t="s">
        <v>196</v>
      </c>
      <c r="C6" s="257"/>
      <c r="D6" s="257"/>
      <c r="E6" s="258"/>
      <c r="F6" s="259" t="s">
        <v>197</v>
      </c>
      <c r="G6" s="260" t="s">
        <v>198</v>
      </c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</row>
    <row r="7" spans="2:29" ht="15" customHeight="1" x14ac:dyDescent="0.3">
      <c r="C7" s="262" t="s">
        <v>777</v>
      </c>
      <c r="D7" s="15"/>
      <c r="E7" s="22" t="s">
        <v>70</v>
      </c>
      <c r="F7" s="263">
        <v>50000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2:29" ht="15" customHeight="1" x14ac:dyDescent="0.3">
      <c r="C8" s="15" t="s">
        <v>261</v>
      </c>
      <c r="D8" s="15"/>
      <c r="E8" s="261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2:29" ht="15" customHeight="1" x14ac:dyDescent="0.3">
      <c r="C9" s="262" t="s">
        <v>703</v>
      </c>
      <c r="D9" s="15"/>
      <c r="E9" s="22" t="s">
        <v>70</v>
      </c>
      <c r="F9" s="263">
        <v>2408188.9700000002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2:29" ht="15" customHeight="1" x14ac:dyDescent="0.3">
      <c r="C10" s="262" t="s">
        <v>704</v>
      </c>
      <c r="D10" s="15"/>
      <c r="E10" s="22" t="s">
        <v>70</v>
      </c>
      <c r="F10" s="364">
        <f>Capex!$K$210</f>
        <v>1350681.9178846832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2:29" ht="15" customHeight="1" x14ac:dyDescent="0.3">
      <c r="C11" s="262" t="s">
        <v>705</v>
      </c>
      <c r="D11" s="15"/>
      <c r="E11" s="22"/>
      <c r="F11" s="339">
        <f>F9-F10</f>
        <v>1057507.052115317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spans="2:29" ht="15" customHeight="1" x14ac:dyDescent="0.3">
      <c r="C12" s="262" t="s">
        <v>651</v>
      </c>
      <c r="D12" s="15"/>
      <c r="E12" s="22"/>
      <c r="F12" s="263">
        <v>2624543.9670000002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2:29" ht="15" customHeight="1" x14ac:dyDescent="0.3">
      <c r="C13" s="281" t="s">
        <v>706</v>
      </c>
      <c r="D13" s="15"/>
      <c r="E13" s="365" t="s">
        <v>70</v>
      </c>
      <c r="F13" s="366">
        <f>SUM(F11:F12)</f>
        <v>3682051.0191153171</v>
      </c>
      <c r="G13" s="15"/>
      <c r="H13" s="363"/>
      <c r="I13" s="363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2:29" ht="15" customHeight="1" x14ac:dyDescent="0.3">
      <c r="C14" s="262" t="s">
        <v>652</v>
      </c>
      <c r="D14" s="15"/>
      <c r="E14" s="22" t="s">
        <v>70</v>
      </c>
      <c r="F14" s="339">
        <f>F13-F15</f>
        <v>1282051.0191153171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2:29" ht="15" customHeight="1" x14ac:dyDescent="0.3">
      <c r="C15" s="262" t="s">
        <v>199</v>
      </c>
      <c r="D15" s="262"/>
      <c r="E15" s="22" t="s">
        <v>70</v>
      </c>
      <c r="F15" s="263">
        <v>2400000</v>
      </c>
      <c r="G15" s="264" t="s">
        <v>262</v>
      </c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</row>
    <row r="16" spans="2:29" ht="15" customHeight="1" x14ac:dyDescent="0.3">
      <c r="C16" s="262" t="s">
        <v>263</v>
      </c>
      <c r="D16" s="262"/>
      <c r="E16" s="266" t="s">
        <v>68</v>
      </c>
      <c r="F16" s="267">
        <v>6.3E-2</v>
      </c>
      <c r="G16" s="264" t="s">
        <v>200</v>
      </c>
      <c r="H16" s="265"/>
      <c r="I16" s="265"/>
      <c r="J16" s="265"/>
      <c r="K16" s="265"/>
      <c r="L16" s="265"/>
      <c r="M16" s="265"/>
      <c r="N16" s="265"/>
      <c r="O16" s="265"/>
      <c r="P16" s="265"/>
      <c r="Q16" s="265"/>
      <c r="R16" s="265"/>
      <c r="S16" s="265"/>
      <c r="T16" s="265"/>
      <c r="U16" s="265"/>
      <c r="V16" s="265"/>
    </row>
    <row r="17" spans="2:28" ht="15" customHeight="1" x14ac:dyDescent="0.3">
      <c r="C17" s="262" t="s">
        <v>622</v>
      </c>
      <c r="D17" s="262"/>
      <c r="E17" s="266" t="s">
        <v>148</v>
      </c>
      <c r="F17" s="330">
        <v>2026</v>
      </c>
      <c r="G17" s="264"/>
      <c r="H17" s="265"/>
      <c r="I17" s="265"/>
      <c r="J17" s="265"/>
      <c r="K17" s="265"/>
      <c r="L17" s="265"/>
      <c r="M17" s="265"/>
      <c r="N17" s="265"/>
      <c r="O17" s="265"/>
      <c r="P17" s="265"/>
      <c r="Q17" s="265"/>
      <c r="R17" s="265"/>
      <c r="S17" s="265"/>
      <c r="T17" s="265"/>
      <c r="U17" s="265"/>
      <c r="V17" s="265"/>
    </row>
    <row r="18" spans="2:28" ht="15" customHeight="1" x14ac:dyDescent="0.3">
      <c r="C18" s="262" t="s">
        <v>201</v>
      </c>
      <c r="D18" s="262"/>
      <c r="E18" s="266" t="s">
        <v>202</v>
      </c>
      <c r="F18" s="263">
        <v>7</v>
      </c>
      <c r="G18" s="264" t="s">
        <v>202</v>
      </c>
      <c r="H18" s="265"/>
      <c r="I18" s="265"/>
      <c r="J18" s="265"/>
      <c r="K18" s="265"/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5"/>
    </row>
    <row r="19" spans="2:28" ht="15" customHeight="1" x14ac:dyDescent="0.3">
      <c r="C19" s="262" t="s">
        <v>203</v>
      </c>
      <c r="D19" s="262"/>
      <c r="E19" s="266" t="s">
        <v>148</v>
      </c>
      <c r="F19" s="330">
        <v>2025</v>
      </c>
      <c r="G19" s="264" t="s">
        <v>204</v>
      </c>
      <c r="H19" s="265"/>
      <c r="I19" s="265"/>
      <c r="J19" s="265"/>
      <c r="K19" s="265"/>
      <c r="L19" s="265"/>
      <c r="M19" s="265"/>
      <c r="N19" s="265"/>
      <c r="O19" s="265"/>
      <c r="P19" s="265"/>
      <c r="Q19" s="265"/>
      <c r="R19" s="265"/>
      <c r="S19" s="265"/>
      <c r="T19" s="265"/>
      <c r="U19" s="265"/>
      <c r="V19" s="265"/>
    </row>
    <row r="20" spans="2:28" ht="25.2" x14ac:dyDescent="0.3">
      <c r="C20" s="262" t="s">
        <v>205</v>
      </c>
      <c r="D20" s="262"/>
      <c r="E20" s="266"/>
      <c r="F20" s="268" t="s">
        <v>257</v>
      </c>
      <c r="G20" s="264" t="s">
        <v>206</v>
      </c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</row>
    <row r="21" spans="2:28" ht="15" customHeight="1" x14ac:dyDescent="0.3">
      <c r="C21" s="262" t="s">
        <v>258</v>
      </c>
      <c r="D21" s="262"/>
      <c r="E21" s="266" t="s">
        <v>68</v>
      </c>
      <c r="F21" s="269">
        <f>SUM(H21:U21)</f>
        <v>1</v>
      </c>
      <c r="G21" s="265"/>
      <c r="H21" s="267">
        <v>0</v>
      </c>
      <c r="I21" s="267">
        <v>0</v>
      </c>
      <c r="J21" s="267">
        <v>0</v>
      </c>
      <c r="K21" s="267">
        <v>5.9985706010949401E-2</v>
      </c>
      <c r="L21" s="267">
        <v>6.6427343560230903E-2</v>
      </c>
      <c r="M21" s="267">
        <v>7.38102356172574E-2</v>
      </c>
      <c r="N21" s="267">
        <v>8.1647405594274899E-2</v>
      </c>
      <c r="O21" s="267">
        <v>0.47391463779218601</v>
      </c>
      <c r="P21" s="412">
        <f>1-SUM(H21:O21)</f>
        <v>0.24421467142510145</v>
      </c>
      <c r="Q21" s="267">
        <v>0</v>
      </c>
      <c r="R21" s="267">
        <v>0</v>
      </c>
      <c r="S21" s="267">
        <v>0</v>
      </c>
      <c r="T21" s="267">
        <v>0</v>
      </c>
      <c r="U21" s="267">
        <v>0</v>
      </c>
      <c r="V21" s="267">
        <v>0</v>
      </c>
    </row>
    <row r="22" spans="2:28" ht="15" customHeight="1" x14ac:dyDescent="0.3">
      <c r="C22" s="265"/>
      <c r="D22" s="265"/>
      <c r="E22" s="270"/>
      <c r="F22" s="265"/>
      <c r="G22" s="265"/>
      <c r="H22" s="265"/>
      <c r="I22" s="265"/>
      <c r="J22" s="265"/>
      <c r="K22" s="26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</row>
    <row r="23" spans="2:28" ht="15" customHeight="1" x14ac:dyDescent="0.3">
      <c r="C23" s="15" t="s">
        <v>251</v>
      </c>
      <c r="D23" s="15"/>
      <c r="E23" s="261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spans="2:28" ht="15" customHeight="1" x14ac:dyDescent="0.3">
      <c r="C24" s="262" t="s">
        <v>255</v>
      </c>
      <c r="D24" s="262"/>
      <c r="E24" s="266" t="s">
        <v>68</v>
      </c>
      <c r="F24" s="267">
        <v>1</v>
      </c>
      <c r="G24" s="264"/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</row>
    <row r="25" spans="2:28" ht="15" customHeight="1" x14ac:dyDescent="0.3">
      <c r="C25" s="262" t="s">
        <v>256</v>
      </c>
      <c r="D25" s="262"/>
      <c r="E25" s="266" t="s">
        <v>68</v>
      </c>
      <c r="F25" s="271">
        <f>1-F24</f>
        <v>0</v>
      </c>
      <c r="G25" s="264"/>
      <c r="H25" s="265"/>
      <c r="I25" s="265"/>
      <c r="J25" s="265"/>
      <c r="K25" s="265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</row>
    <row r="26" spans="2:28" ht="15" customHeight="1" x14ac:dyDescent="0.3">
      <c r="C26" s="262" t="s">
        <v>214</v>
      </c>
      <c r="D26" s="262"/>
      <c r="E26" s="266" t="s">
        <v>68</v>
      </c>
      <c r="F26" s="267">
        <v>6.3E-2</v>
      </c>
      <c r="G26" s="264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</row>
    <row r="27" spans="2:28" ht="15" customHeight="1" x14ac:dyDescent="0.3">
      <c r="C27" s="262" t="s">
        <v>215</v>
      </c>
      <c r="D27" s="262"/>
      <c r="E27" s="266" t="s">
        <v>68</v>
      </c>
      <c r="F27" s="267">
        <v>6.3E-2</v>
      </c>
      <c r="G27" s="264"/>
      <c r="H27" s="265"/>
      <c r="I27" s="265"/>
      <c r="J27" s="265"/>
      <c r="K27" s="265"/>
      <c r="L27" s="265"/>
      <c r="M27" s="265"/>
      <c r="N27" s="265"/>
      <c r="O27" s="265"/>
      <c r="P27" s="265"/>
      <c r="Q27" s="265"/>
      <c r="R27" s="265"/>
      <c r="S27" s="265"/>
      <c r="T27" s="265"/>
      <c r="U27" s="265"/>
      <c r="V27" s="265"/>
    </row>
    <row r="28" spans="2:28" ht="15" customHeight="1" x14ac:dyDescent="0.3">
      <c r="C28" s="262" t="s">
        <v>216</v>
      </c>
      <c r="D28" s="262"/>
      <c r="E28" s="266" t="s">
        <v>68</v>
      </c>
      <c r="F28" s="267">
        <v>0.01</v>
      </c>
      <c r="G28" s="264"/>
      <c r="H28" s="265"/>
      <c r="I28" s="265"/>
      <c r="J28" s="265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</row>
    <row r="29" spans="2:28" ht="15" customHeight="1" x14ac:dyDescent="0.3">
      <c r="C29" s="262" t="s">
        <v>217</v>
      </c>
      <c r="D29" s="262"/>
      <c r="E29" s="266" t="s">
        <v>68</v>
      </c>
      <c r="F29" s="329">
        <v>2028</v>
      </c>
      <c r="G29" s="264"/>
      <c r="H29" s="265"/>
      <c r="I29" s="265"/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5"/>
    </row>
    <row r="30" spans="2:28" ht="15" customHeight="1" x14ac:dyDescent="0.3">
      <c r="C30" s="262" t="s">
        <v>258</v>
      </c>
      <c r="D30" s="262"/>
      <c r="E30" s="266"/>
      <c r="F30" s="269">
        <f>SUM(H30:V30)</f>
        <v>1</v>
      </c>
      <c r="G30" s="262"/>
      <c r="H30" s="272">
        <v>0</v>
      </c>
      <c r="I30" s="272">
        <v>0</v>
      </c>
      <c r="J30" s="272">
        <v>0</v>
      </c>
      <c r="K30" s="272">
        <v>3.8392147247339303E-2</v>
      </c>
      <c r="L30" s="272">
        <v>5.4815396293376902E-2</v>
      </c>
      <c r="M30" s="272">
        <v>5.9982694148092201E-2</v>
      </c>
      <c r="N30" s="272">
        <v>6.6424008264840198E-2</v>
      </c>
      <c r="O30" s="272">
        <v>7.3806529629249301E-2</v>
      </c>
      <c r="P30" s="272">
        <v>8.1643306104502406E-2</v>
      </c>
      <c r="Q30" s="413">
        <f>1-SUM(H30:P30)</f>
        <v>0.62493591831259965</v>
      </c>
      <c r="R30" s="272">
        <v>0</v>
      </c>
      <c r="S30" s="272">
        <v>0</v>
      </c>
      <c r="T30" s="272">
        <v>0</v>
      </c>
      <c r="U30" s="272">
        <v>0</v>
      </c>
      <c r="V30" s="272">
        <v>0</v>
      </c>
    </row>
    <row r="31" spans="2:28" ht="15" customHeight="1" x14ac:dyDescent="0.3">
      <c r="C31" s="262"/>
      <c r="D31" s="262"/>
      <c r="E31" s="266"/>
      <c r="F31" s="262"/>
      <c r="G31" s="262"/>
      <c r="H31" s="262"/>
      <c r="I31" s="262"/>
      <c r="J31" s="262"/>
      <c r="K31" s="262"/>
      <c r="L31" s="262"/>
      <c r="M31" s="262"/>
      <c r="N31" s="262"/>
      <c r="O31" s="262"/>
      <c r="P31" s="262"/>
      <c r="Q31" s="262"/>
      <c r="R31" s="262"/>
      <c r="S31" s="262"/>
      <c r="T31" s="262"/>
      <c r="U31" s="262"/>
      <c r="V31" s="262"/>
      <c r="W31" s="262"/>
      <c r="X31" s="262"/>
      <c r="Y31" s="262"/>
      <c r="Z31" s="262"/>
      <c r="AA31" s="262"/>
      <c r="AB31" s="262"/>
    </row>
    <row r="32" spans="2:28" ht="15" customHeight="1" x14ac:dyDescent="0.3">
      <c r="B32" s="254" t="s">
        <v>653</v>
      </c>
      <c r="C32" s="254"/>
      <c r="D32" s="254"/>
      <c r="E32" s="255"/>
      <c r="F32" s="217"/>
      <c r="G32" s="254"/>
      <c r="H32" s="254"/>
      <c r="I32" s="254"/>
      <c r="J32" s="254"/>
      <c r="K32" s="254"/>
      <c r="L32" s="254"/>
      <c r="M32" s="254"/>
      <c r="N32" s="254"/>
      <c r="O32" s="254"/>
      <c r="P32" s="254"/>
      <c r="Q32" s="254"/>
      <c r="R32" s="254"/>
      <c r="S32" s="254"/>
      <c r="T32" s="254"/>
      <c r="U32" s="254"/>
      <c r="V32" s="254"/>
    </row>
    <row r="33" spans="2:24" ht="15" customHeight="1" x14ac:dyDescent="0.3">
      <c r="C33" s="265"/>
      <c r="D33" s="265"/>
      <c r="E33" s="270"/>
      <c r="F33" s="265"/>
      <c r="G33" s="265"/>
      <c r="H33" s="265"/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</row>
    <row r="34" spans="2:24" ht="15" customHeight="1" x14ac:dyDescent="0.3">
      <c r="B34" s="254"/>
      <c r="C34" s="254" t="s">
        <v>259</v>
      </c>
      <c r="D34" s="254"/>
      <c r="E34" s="255"/>
      <c r="F34" s="217"/>
      <c r="G34" s="254"/>
      <c r="H34" s="254"/>
      <c r="I34" s="254"/>
      <c r="J34" s="254"/>
      <c r="K34" s="254"/>
      <c r="L34" s="254"/>
      <c r="M34" s="254"/>
      <c r="N34" s="254"/>
      <c r="O34" s="254"/>
      <c r="P34" s="254"/>
      <c r="Q34" s="254"/>
      <c r="R34" s="254"/>
      <c r="S34" s="254"/>
      <c r="T34" s="254"/>
      <c r="U34" s="254"/>
      <c r="V34" s="254"/>
    </row>
    <row r="35" spans="2:24" ht="15" customHeight="1" x14ac:dyDescent="0.3">
      <c r="C35" s="262" t="s">
        <v>207</v>
      </c>
      <c r="D35" s="262"/>
      <c r="E35" s="266"/>
      <c r="F35" s="273"/>
      <c r="G35" s="274"/>
      <c r="H35" s="274">
        <v>0</v>
      </c>
      <c r="I35" s="274">
        <f t="shared" ref="I35:V35" si="1">H38</f>
        <v>2400000</v>
      </c>
      <c r="J35" s="274">
        <f t="shared" si="1"/>
        <v>2400000</v>
      </c>
      <c r="K35" s="274">
        <f t="shared" si="1"/>
        <v>2400000</v>
      </c>
      <c r="L35" s="274">
        <f t="shared" si="1"/>
        <v>2256034.3055737214</v>
      </c>
      <c r="M35" s="274">
        <f t="shared" si="1"/>
        <v>2096608.6810291673</v>
      </c>
      <c r="N35" s="274">
        <f t="shared" si="1"/>
        <v>1919464.1155477494</v>
      </c>
      <c r="O35" s="274">
        <f t="shared" si="1"/>
        <v>1723510.3421214898</v>
      </c>
      <c r="P35" s="274">
        <f t="shared" si="1"/>
        <v>586115.21142024337</v>
      </c>
      <c r="Q35" s="274">
        <f t="shared" si="1"/>
        <v>0</v>
      </c>
      <c r="R35" s="274">
        <f t="shared" si="1"/>
        <v>0</v>
      </c>
      <c r="S35" s="274">
        <f t="shared" si="1"/>
        <v>0</v>
      </c>
      <c r="T35" s="274">
        <f t="shared" si="1"/>
        <v>0</v>
      </c>
      <c r="U35" s="274">
        <f t="shared" si="1"/>
        <v>0</v>
      </c>
      <c r="V35" s="274">
        <f t="shared" si="1"/>
        <v>0</v>
      </c>
    </row>
    <row r="36" spans="2:24" ht="15" customHeight="1" x14ac:dyDescent="0.3">
      <c r="C36" s="262" t="s">
        <v>208</v>
      </c>
      <c r="D36" s="262"/>
      <c r="E36" s="266"/>
      <c r="F36" s="273">
        <f>SUM(H36:U36)</f>
        <v>2400000</v>
      </c>
      <c r="G36" s="274"/>
      <c r="H36" s="274">
        <f t="shared" ref="H36:V36" si="2">IF(H$4=$F$19,$F$15,0)</f>
        <v>2400000</v>
      </c>
      <c r="I36" s="274">
        <f t="shared" si="2"/>
        <v>0</v>
      </c>
      <c r="J36" s="274">
        <f t="shared" si="2"/>
        <v>0</v>
      </c>
      <c r="K36" s="274">
        <f t="shared" si="2"/>
        <v>0</v>
      </c>
      <c r="L36" s="274">
        <f t="shared" si="2"/>
        <v>0</v>
      </c>
      <c r="M36" s="274">
        <f t="shared" si="2"/>
        <v>0</v>
      </c>
      <c r="N36" s="274">
        <f t="shared" si="2"/>
        <v>0</v>
      </c>
      <c r="O36" s="274">
        <f t="shared" si="2"/>
        <v>0</v>
      </c>
      <c r="P36" s="274">
        <f t="shared" si="2"/>
        <v>0</v>
      </c>
      <c r="Q36" s="274">
        <f t="shared" si="2"/>
        <v>0</v>
      </c>
      <c r="R36" s="274">
        <f t="shared" si="2"/>
        <v>0</v>
      </c>
      <c r="S36" s="274">
        <f t="shared" si="2"/>
        <v>0</v>
      </c>
      <c r="T36" s="274">
        <f t="shared" si="2"/>
        <v>0</v>
      </c>
      <c r="U36" s="274">
        <f t="shared" si="2"/>
        <v>0</v>
      </c>
      <c r="V36" s="274">
        <f t="shared" si="2"/>
        <v>0</v>
      </c>
    </row>
    <row r="37" spans="2:24" ht="15" customHeight="1" x14ac:dyDescent="0.3">
      <c r="C37" s="262" t="s">
        <v>209</v>
      </c>
      <c r="D37" s="262"/>
      <c r="E37" s="266"/>
      <c r="F37" s="273">
        <f>SUM(H37:U37)</f>
        <v>-2400000</v>
      </c>
      <c r="G37" s="274"/>
      <c r="H37" s="274">
        <f t="shared" ref="H37:V37" si="3">-MIN(H35+H36, $F$15*H21)</f>
        <v>0</v>
      </c>
      <c r="I37" s="274">
        <f t="shared" si="3"/>
        <v>0</v>
      </c>
      <c r="J37" s="274">
        <f t="shared" si="3"/>
        <v>0</v>
      </c>
      <c r="K37" s="274">
        <f t="shared" si="3"/>
        <v>-143965.69442627855</v>
      </c>
      <c r="L37" s="274">
        <f t="shared" si="3"/>
        <v>-159425.62454455416</v>
      </c>
      <c r="M37" s="274">
        <f t="shared" si="3"/>
        <v>-177144.56548141775</v>
      </c>
      <c r="N37" s="274">
        <f t="shared" si="3"/>
        <v>-195953.77342625975</v>
      </c>
      <c r="O37" s="274">
        <f t="shared" si="3"/>
        <v>-1137395.1307012464</v>
      </c>
      <c r="P37" s="274">
        <f t="shared" si="3"/>
        <v>-586115.21142024337</v>
      </c>
      <c r="Q37" s="274">
        <f t="shared" si="3"/>
        <v>0</v>
      </c>
      <c r="R37" s="274">
        <f t="shared" si="3"/>
        <v>0</v>
      </c>
      <c r="S37" s="274">
        <f t="shared" si="3"/>
        <v>0</v>
      </c>
      <c r="T37" s="274">
        <f t="shared" si="3"/>
        <v>0</v>
      </c>
      <c r="U37" s="274">
        <f t="shared" si="3"/>
        <v>0</v>
      </c>
      <c r="V37" s="274">
        <f t="shared" si="3"/>
        <v>0</v>
      </c>
    </row>
    <row r="38" spans="2:24" ht="15" customHeight="1" x14ac:dyDescent="0.3">
      <c r="C38" s="275" t="s">
        <v>210</v>
      </c>
      <c r="D38" s="275"/>
      <c r="E38" s="276"/>
      <c r="F38" s="277"/>
      <c r="G38" s="277"/>
      <c r="H38" s="277">
        <f t="shared" ref="H38:V38" si="4">IF(SUM(H35:H37)&lt;1,0,SUM(H35:H37))</f>
        <v>2400000</v>
      </c>
      <c r="I38" s="277">
        <f t="shared" si="4"/>
        <v>2400000</v>
      </c>
      <c r="J38" s="277">
        <f t="shared" si="4"/>
        <v>2400000</v>
      </c>
      <c r="K38" s="277">
        <f t="shared" si="4"/>
        <v>2256034.3055737214</v>
      </c>
      <c r="L38" s="277">
        <f t="shared" si="4"/>
        <v>2096608.6810291673</v>
      </c>
      <c r="M38" s="277">
        <f t="shared" si="4"/>
        <v>1919464.1155477494</v>
      </c>
      <c r="N38" s="277">
        <f t="shared" si="4"/>
        <v>1723510.3421214898</v>
      </c>
      <c r="O38" s="277">
        <f t="shared" si="4"/>
        <v>586115.21142024337</v>
      </c>
      <c r="P38" s="277">
        <f t="shared" si="4"/>
        <v>0</v>
      </c>
      <c r="Q38" s="277">
        <f t="shared" si="4"/>
        <v>0</v>
      </c>
      <c r="R38" s="277">
        <f t="shared" si="4"/>
        <v>0</v>
      </c>
      <c r="S38" s="277">
        <f t="shared" si="4"/>
        <v>0</v>
      </c>
      <c r="T38" s="277">
        <f t="shared" si="4"/>
        <v>0</v>
      </c>
      <c r="U38" s="277">
        <f t="shared" si="4"/>
        <v>0</v>
      </c>
      <c r="V38" s="277">
        <f t="shared" si="4"/>
        <v>0</v>
      </c>
    </row>
    <row r="39" spans="2:24" ht="15" customHeight="1" x14ac:dyDescent="0.3">
      <c r="C39" s="265"/>
      <c r="D39" s="265"/>
      <c r="E39" s="270"/>
      <c r="F39" s="278"/>
      <c r="G39" s="278"/>
      <c r="H39" s="278"/>
      <c r="I39" s="278"/>
      <c r="J39" s="278"/>
      <c r="K39" s="278"/>
      <c r="L39" s="278"/>
      <c r="M39" s="278"/>
      <c r="N39" s="278"/>
      <c r="O39" s="278"/>
      <c r="P39" s="278"/>
      <c r="Q39" s="278"/>
      <c r="R39" s="278"/>
      <c r="S39" s="278"/>
      <c r="T39" s="278"/>
      <c r="U39" s="278"/>
      <c r="V39" s="278"/>
    </row>
    <row r="40" spans="2:24" ht="15" customHeight="1" x14ac:dyDescent="0.3">
      <c r="C40" s="275" t="s">
        <v>260</v>
      </c>
      <c r="D40" s="275"/>
      <c r="E40" s="276"/>
      <c r="F40" s="277">
        <f>SUM(H40:U40)</f>
        <v>994249.15730861947</v>
      </c>
      <c r="G40" s="277"/>
      <c r="H40" s="277">
        <f t="shared" ref="H40:V40" si="5">IF(H4&gt;=F17,(H35+H36)*$F$16,0)</f>
        <v>0</v>
      </c>
      <c r="I40" s="277">
        <f t="shared" si="5"/>
        <v>151200</v>
      </c>
      <c r="J40" s="277">
        <f t="shared" si="5"/>
        <v>151200</v>
      </c>
      <c r="K40" s="277">
        <f t="shared" si="5"/>
        <v>151200</v>
      </c>
      <c r="L40" s="277">
        <f t="shared" si="5"/>
        <v>142130.16125114445</v>
      </c>
      <c r="M40" s="277">
        <f t="shared" si="5"/>
        <v>132086.34690483753</v>
      </c>
      <c r="N40" s="277">
        <f t="shared" si="5"/>
        <v>120926.23927950821</v>
      </c>
      <c r="O40" s="277">
        <f t="shared" si="5"/>
        <v>108581.15155365386</v>
      </c>
      <c r="P40" s="277">
        <f t="shared" si="5"/>
        <v>36925.258319475332</v>
      </c>
      <c r="Q40" s="277">
        <f t="shared" si="5"/>
        <v>0</v>
      </c>
      <c r="R40" s="277">
        <f t="shared" si="5"/>
        <v>0</v>
      </c>
      <c r="S40" s="277">
        <f t="shared" si="5"/>
        <v>0</v>
      </c>
      <c r="T40" s="277">
        <f t="shared" si="5"/>
        <v>0</v>
      </c>
      <c r="U40" s="277">
        <f t="shared" si="5"/>
        <v>0</v>
      </c>
      <c r="V40" s="277">
        <f t="shared" si="5"/>
        <v>0</v>
      </c>
    </row>
    <row r="41" spans="2:24" ht="15" customHeight="1" x14ac:dyDescent="0.3">
      <c r="C41" s="265"/>
      <c r="D41" s="265"/>
      <c r="E41" s="270"/>
      <c r="F41" s="278"/>
      <c r="G41" s="278"/>
      <c r="H41" s="278"/>
      <c r="I41" s="278"/>
      <c r="J41" s="278"/>
      <c r="K41" s="278"/>
      <c r="L41" s="278"/>
      <c r="M41" s="278"/>
      <c r="N41" s="278"/>
      <c r="O41" s="278"/>
      <c r="P41" s="278"/>
      <c r="Q41" s="278"/>
      <c r="R41" s="278"/>
      <c r="S41" s="278"/>
      <c r="T41" s="278"/>
      <c r="U41" s="278"/>
      <c r="V41" s="278"/>
    </row>
    <row r="42" spans="2:24" ht="15" customHeight="1" x14ac:dyDescent="0.3">
      <c r="B42" s="254" t="s">
        <v>654</v>
      </c>
      <c r="C42" s="254"/>
      <c r="D42" s="254"/>
      <c r="E42" s="255"/>
      <c r="F42" s="217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4"/>
      <c r="R42" s="254"/>
      <c r="S42" s="254"/>
      <c r="T42" s="254"/>
      <c r="U42" s="254"/>
      <c r="V42" s="254"/>
    </row>
    <row r="43" spans="2:24" ht="15" customHeight="1" x14ac:dyDescent="0.3">
      <c r="C43" s="257" t="s">
        <v>282</v>
      </c>
      <c r="D43" s="257"/>
      <c r="E43" s="257"/>
      <c r="F43" s="286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</row>
    <row r="44" spans="2:24" ht="15" customHeight="1" x14ac:dyDescent="0.3"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62"/>
      <c r="T44" s="262"/>
      <c r="U44" s="262"/>
      <c r="V44" s="262"/>
      <c r="W44" s="262"/>
      <c r="X44" s="262"/>
    </row>
    <row r="45" spans="2:24" ht="15" customHeight="1" x14ac:dyDescent="0.3">
      <c r="C45" s="292" t="s">
        <v>224</v>
      </c>
      <c r="D45" s="292"/>
      <c r="E45" s="292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</row>
    <row r="46" spans="2:24" ht="15" customHeight="1" x14ac:dyDescent="0.3">
      <c r="C46" s="262" t="s">
        <v>287</v>
      </c>
      <c r="D46" s="262"/>
      <c r="E46" s="262"/>
      <c r="F46" s="273">
        <f>H46</f>
        <v>0</v>
      </c>
      <c r="G46" s="274"/>
      <c r="H46" s="274">
        <f t="shared" ref="H46:V46" si="6">G48</f>
        <v>0</v>
      </c>
      <c r="I46" s="274">
        <f t="shared" si="6"/>
        <v>1282051.0191153171</v>
      </c>
      <c r="J46" s="274">
        <f t="shared" si="6"/>
        <v>1282051.0191153171</v>
      </c>
      <c r="K46" s="274">
        <f t="shared" si="6"/>
        <v>1282051.0191153171</v>
      </c>
      <c r="L46" s="274">
        <f t="shared" si="6"/>
        <v>1282051.0191153171</v>
      </c>
      <c r="M46" s="274">
        <f t="shared" si="6"/>
        <v>1282051.0191153171</v>
      </c>
      <c r="N46" s="274">
        <f t="shared" si="6"/>
        <v>1282051.0191153171</v>
      </c>
      <c r="O46" s="274">
        <f t="shared" si="6"/>
        <v>1282051.0191153171</v>
      </c>
      <c r="P46" s="274">
        <f t="shared" si="6"/>
        <v>1282051.0191153171</v>
      </c>
      <c r="Q46" s="274">
        <f t="shared" si="6"/>
        <v>1282051.0191153171</v>
      </c>
      <c r="R46" s="274">
        <f t="shared" si="6"/>
        <v>1282051.0191153171</v>
      </c>
      <c r="S46" s="274">
        <f t="shared" si="6"/>
        <v>1282051.0191153171</v>
      </c>
      <c r="T46" s="274">
        <f t="shared" si="6"/>
        <v>1282051.0191153171</v>
      </c>
      <c r="U46" s="274">
        <f t="shared" si="6"/>
        <v>1282051.0191153171</v>
      </c>
      <c r="V46" s="274">
        <f t="shared" si="6"/>
        <v>1282051.0191153171</v>
      </c>
    </row>
    <row r="47" spans="2:24" ht="15" customHeight="1" x14ac:dyDescent="0.3">
      <c r="C47" s="262" t="s">
        <v>284</v>
      </c>
      <c r="D47" s="262"/>
      <c r="E47" s="262"/>
      <c r="F47" s="273">
        <f>SUM(H47:V47)</f>
        <v>1282051.0191153171</v>
      </c>
      <c r="G47" s="274"/>
      <c r="H47" s="274">
        <f>IF(H$4=$F$19,F14,0)</f>
        <v>1282051.0191153171</v>
      </c>
      <c r="I47" s="274">
        <f t="shared" ref="I47:V47" si="7">IF(I$4=$F$19,G13,0)</f>
        <v>0</v>
      </c>
      <c r="J47" s="274">
        <f t="shared" si="7"/>
        <v>0</v>
      </c>
      <c r="K47" s="274">
        <f t="shared" si="7"/>
        <v>0</v>
      </c>
      <c r="L47" s="274">
        <f t="shared" si="7"/>
        <v>0</v>
      </c>
      <c r="M47" s="274">
        <f t="shared" si="7"/>
        <v>0</v>
      </c>
      <c r="N47" s="274">
        <f t="shared" si="7"/>
        <v>0</v>
      </c>
      <c r="O47" s="274">
        <f t="shared" si="7"/>
        <v>0</v>
      </c>
      <c r="P47" s="274">
        <f t="shared" si="7"/>
        <v>0</v>
      </c>
      <c r="Q47" s="274">
        <f t="shared" si="7"/>
        <v>0</v>
      </c>
      <c r="R47" s="274">
        <f t="shared" si="7"/>
        <v>0</v>
      </c>
      <c r="S47" s="274">
        <f t="shared" si="7"/>
        <v>0</v>
      </c>
      <c r="T47" s="274">
        <f t="shared" si="7"/>
        <v>0</v>
      </c>
      <c r="U47" s="274">
        <f t="shared" si="7"/>
        <v>0</v>
      </c>
      <c r="V47" s="274">
        <f t="shared" si="7"/>
        <v>0</v>
      </c>
    </row>
    <row r="48" spans="2:24" ht="15" customHeight="1" x14ac:dyDescent="0.3">
      <c r="C48" s="275" t="s">
        <v>331</v>
      </c>
      <c r="D48" s="275"/>
      <c r="E48" s="275"/>
      <c r="F48" s="277"/>
      <c r="G48" s="277"/>
      <c r="H48" s="277">
        <f t="shared" ref="H48:V48" si="8">SUM(H46:H47)</f>
        <v>1282051.0191153171</v>
      </c>
      <c r="I48" s="277">
        <f t="shared" si="8"/>
        <v>1282051.0191153171</v>
      </c>
      <c r="J48" s="277">
        <f t="shared" si="8"/>
        <v>1282051.0191153171</v>
      </c>
      <c r="K48" s="277">
        <f t="shared" si="8"/>
        <v>1282051.0191153171</v>
      </c>
      <c r="L48" s="277">
        <f t="shared" si="8"/>
        <v>1282051.0191153171</v>
      </c>
      <c r="M48" s="277">
        <f t="shared" si="8"/>
        <v>1282051.0191153171</v>
      </c>
      <c r="N48" s="277">
        <f t="shared" si="8"/>
        <v>1282051.0191153171</v>
      </c>
      <c r="O48" s="277">
        <f t="shared" si="8"/>
        <v>1282051.0191153171</v>
      </c>
      <c r="P48" s="277">
        <f t="shared" si="8"/>
        <v>1282051.0191153171</v>
      </c>
      <c r="Q48" s="277">
        <f t="shared" si="8"/>
        <v>1282051.0191153171</v>
      </c>
      <c r="R48" s="277">
        <f t="shared" si="8"/>
        <v>1282051.0191153171</v>
      </c>
      <c r="S48" s="277">
        <f t="shared" si="8"/>
        <v>1282051.0191153171</v>
      </c>
      <c r="T48" s="277">
        <f t="shared" si="8"/>
        <v>1282051.0191153171</v>
      </c>
      <c r="U48" s="277">
        <f t="shared" si="8"/>
        <v>1282051.0191153171</v>
      </c>
      <c r="V48" s="277">
        <f t="shared" si="8"/>
        <v>1282051.0191153171</v>
      </c>
    </row>
    <row r="49" spans="2:22" ht="15" customHeight="1" x14ac:dyDescent="0.3">
      <c r="E49" s="250"/>
    </row>
    <row r="50" spans="2:22" ht="15" customHeight="1" x14ac:dyDescent="0.3">
      <c r="B50" s="254" t="s">
        <v>279</v>
      </c>
      <c r="C50" s="254"/>
      <c r="D50" s="254"/>
      <c r="E50" s="255"/>
      <c r="F50" s="279"/>
      <c r="G50" s="280"/>
      <c r="H50" s="280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</row>
    <row r="51" spans="2:22" ht="15" customHeight="1" x14ac:dyDescent="0.3">
      <c r="C51" s="265"/>
      <c r="D51" s="265"/>
      <c r="E51" s="270"/>
      <c r="F51" s="278"/>
      <c r="G51" s="278"/>
      <c r="H51" s="278"/>
      <c r="I51" s="278"/>
      <c r="J51" s="278"/>
      <c r="K51" s="278"/>
      <c r="L51" s="278"/>
      <c r="M51" s="278"/>
      <c r="N51" s="278"/>
      <c r="O51" s="278"/>
      <c r="P51" s="278"/>
      <c r="Q51" s="278"/>
      <c r="R51" s="278"/>
      <c r="S51" s="278"/>
      <c r="T51" s="278"/>
      <c r="U51" s="278"/>
      <c r="V51" s="278"/>
    </row>
    <row r="52" spans="2:22" ht="15" customHeight="1" x14ac:dyDescent="0.3">
      <c r="C52" s="262" t="s">
        <v>211</v>
      </c>
      <c r="D52" s="262"/>
      <c r="E52" s="266"/>
      <c r="F52" s="273">
        <f>SUM(H52:U52)</f>
        <v>3561464.4974854346</v>
      </c>
      <c r="G52" s="274"/>
      <c r="H52" s="274">
        <f>Capex!L197</f>
        <v>0</v>
      </c>
      <c r="I52" s="274">
        <f>Capex!M197</f>
        <v>356146.44974854356</v>
      </c>
      <c r="J52" s="274">
        <f>Capex!N197</f>
        <v>673301.70039017079</v>
      </c>
      <c r="K52" s="274">
        <f>Capex!O197</f>
        <v>996084.54125190119</v>
      </c>
      <c r="L52" s="274">
        <f>Capex!P197</f>
        <v>890366.12437135866</v>
      </c>
      <c r="M52" s="274">
        <f>Capex!Q197</f>
        <v>573210.87372973142</v>
      </c>
      <c r="N52" s="274">
        <f>Capex!R197</f>
        <v>72354.807993729308</v>
      </c>
      <c r="O52" s="274">
        <f>Capex!S197</f>
        <v>0</v>
      </c>
      <c r="P52" s="274">
        <f>Capex!T197</f>
        <v>0</v>
      </c>
      <c r="Q52" s="274">
        <f>Capex!U197</f>
        <v>0</v>
      </c>
      <c r="R52" s="274">
        <f>Capex!V197</f>
        <v>0</v>
      </c>
      <c r="S52" s="274">
        <f>Capex!W197</f>
        <v>0</v>
      </c>
      <c r="T52" s="274">
        <f>Capex!X197</f>
        <v>0</v>
      </c>
      <c r="U52" s="274">
        <f>Capex!Y197</f>
        <v>0</v>
      </c>
      <c r="V52" s="274"/>
    </row>
    <row r="53" spans="2:22" ht="15" customHeight="1" x14ac:dyDescent="0.3">
      <c r="C53" s="262" t="s">
        <v>539</v>
      </c>
      <c r="D53" s="262"/>
      <c r="E53" s="266"/>
      <c r="F53" s="273">
        <f>SUM(H53:U53)</f>
        <v>4973234.6929531377</v>
      </c>
      <c r="G53" s="274"/>
      <c r="H53" s="274">
        <f>SUM(Revenue!L16:L18)</f>
        <v>0</v>
      </c>
      <c r="I53" s="274">
        <f>SUM(Revenue!M16:M18)</f>
        <v>37769.535652202489</v>
      </c>
      <c r="J53" s="274">
        <f>SUM(Revenue!N16:N18)</f>
        <v>725615.38563715992</v>
      </c>
      <c r="K53" s="274">
        <f>SUM(Revenue!O16:O18)</f>
        <v>1719744.3242277876</v>
      </c>
      <c r="L53" s="274">
        <f>SUM(Revenue!P16:P18)</f>
        <v>2002224.1627883306</v>
      </c>
      <c r="M53" s="274">
        <f>SUM(Revenue!Q16:Q18)</f>
        <v>408141.43464765686</v>
      </c>
      <c r="N53" s="274">
        <f>SUM(Revenue!R16:R18)</f>
        <v>79739.850000000006</v>
      </c>
      <c r="O53" s="274">
        <f>SUM(Revenue!S16:S18)</f>
        <v>0</v>
      </c>
      <c r="P53" s="274">
        <f>SUM(Revenue!T16:T18)</f>
        <v>0</v>
      </c>
      <c r="Q53" s="274">
        <f>SUM(Revenue!U16:U18)</f>
        <v>0</v>
      </c>
      <c r="R53" s="274">
        <f>SUM(Revenue!V16:V18)</f>
        <v>0</v>
      </c>
      <c r="S53" s="274">
        <f>SUM(Revenue!W16:W18)</f>
        <v>0</v>
      </c>
      <c r="T53" s="274">
        <f>SUM(Revenue!X16:X18)</f>
        <v>0</v>
      </c>
      <c r="U53" s="274">
        <f>SUM(Revenue!Y16:Y18)</f>
        <v>0</v>
      </c>
      <c r="V53" s="274">
        <f>SUM(Revenue!Z16:Z18)</f>
        <v>0</v>
      </c>
    </row>
    <row r="54" spans="2:22" s="12" customFormat="1" ht="15" customHeight="1" x14ac:dyDescent="0.3">
      <c r="C54" s="450" t="s">
        <v>537</v>
      </c>
      <c r="D54" s="451"/>
      <c r="E54" s="451"/>
      <c r="F54" s="452">
        <f>SUM(H54:U54)</f>
        <v>-195739.7937181255</v>
      </c>
      <c r="G54" s="453"/>
      <c r="H54" s="453">
        <f>'Wafi Escrow'!G32</f>
        <v>0</v>
      </c>
      <c r="I54" s="453">
        <f>'Wafi Escrow'!H32</f>
        <v>-1510.7814260880996</v>
      </c>
      <c r="J54" s="453">
        <f>'Wafi Escrow'!I32</f>
        <v>-29024.615425486398</v>
      </c>
      <c r="K54" s="453">
        <f>'Wafi Escrow'!J32</f>
        <v>-68789.772969111509</v>
      </c>
      <c r="L54" s="453">
        <f>'Wafi Escrow'!K32</f>
        <v>-80088.966511533232</v>
      </c>
      <c r="M54" s="453">
        <f>'Wafi Escrow'!L32</f>
        <v>-16325.657385906276</v>
      </c>
      <c r="N54" s="453">
        <f>'Wafi Escrow'!M32</f>
        <v>0</v>
      </c>
      <c r="O54" s="453">
        <f>'Wafi Escrow'!N32</f>
        <v>0</v>
      </c>
      <c r="P54" s="453">
        <f>'Wafi Escrow'!O32</f>
        <v>0</v>
      </c>
      <c r="Q54" s="453">
        <f>'Wafi Escrow'!P32</f>
        <v>0</v>
      </c>
      <c r="R54" s="453">
        <f>'Wafi Escrow'!Q32</f>
        <v>0</v>
      </c>
      <c r="S54" s="453">
        <f>'Wafi Escrow'!R32</f>
        <v>0</v>
      </c>
      <c r="T54" s="453">
        <f>'Wafi Escrow'!S32</f>
        <v>0</v>
      </c>
      <c r="U54" s="453">
        <f>'Wafi Escrow'!T32</f>
        <v>0</v>
      </c>
      <c r="V54" s="453">
        <f>'Wafi Escrow'!U32</f>
        <v>0</v>
      </c>
    </row>
    <row r="55" spans="2:22" s="12" customFormat="1" ht="15" customHeight="1" x14ac:dyDescent="0.3">
      <c r="C55" s="454" t="s">
        <v>538</v>
      </c>
      <c r="D55" s="455"/>
      <c r="E55" s="455"/>
      <c r="F55" s="430">
        <f>SUM(H55:U55)</f>
        <v>195739.79371812553</v>
      </c>
      <c r="G55" s="436"/>
      <c r="H55" s="436">
        <f>'Wafi Escrow'!G33</f>
        <v>0</v>
      </c>
      <c r="I55" s="436">
        <f>'Wafi Escrow'!H33</f>
        <v>0</v>
      </c>
      <c r="J55" s="436">
        <f>'Wafi Escrow'!I33</f>
        <v>0</v>
      </c>
      <c r="K55" s="436">
        <f>'Wafi Escrow'!J33</f>
        <v>0</v>
      </c>
      <c r="L55" s="436">
        <f>'Wafi Escrow'!K33</f>
        <v>0</v>
      </c>
      <c r="M55" s="436">
        <f>'Wafi Escrow'!L33</f>
        <v>195739.79371812553</v>
      </c>
      <c r="N55" s="436">
        <f>'Wafi Escrow'!M33</f>
        <v>0</v>
      </c>
      <c r="O55" s="436">
        <f>'Wafi Escrow'!N33</f>
        <v>0</v>
      </c>
      <c r="P55" s="436">
        <f>'Wafi Escrow'!O33</f>
        <v>0</v>
      </c>
      <c r="Q55" s="436">
        <f>'Wafi Escrow'!P33</f>
        <v>0</v>
      </c>
      <c r="R55" s="436">
        <f>'Wafi Escrow'!Q33</f>
        <v>0</v>
      </c>
      <c r="S55" s="436">
        <f>'Wafi Escrow'!R33</f>
        <v>0</v>
      </c>
      <c r="T55" s="436">
        <f>'Wafi Escrow'!S33</f>
        <v>0</v>
      </c>
      <c r="U55" s="436">
        <f>'Wafi Escrow'!T33</f>
        <v>0</v>
      </c>
      <c r="V55" s="436">
        <f>'Wafi Escrow'!U33</f>
        <v>0</v>
      </c>
    </row>
    <row r="56" spans="2:22" s="12" customFormat="1" ht="15" customHeight="1" x14ac:dyDescent="0.3">
      <c r="C56" s="281" t="s">
        <v>540</v>
      </c>
      <c r="F56" s="11">
        <f>SUM(F53:F55)</f>
        <v>4973234.6929531377</v>
      </c>
      <c r="G56" s="10"/>
      <c r="H56" s="11">
        <f t="shared" ref="H56:V56" si="9">SUM(H53:H55)</f>
        <v>0</v>
      </c>
      <c r="I56" s="11">
        <f t="shared" si="9"/>
        <v>36258.75422611439</v>
      </c>
      <c r="J56" s="11">
        <f t="shared" si="9"/>
        <v>696590.77021167357</v>
      </c>
      <c r="K56" s="11">
        <f t="shared" si="9"/>
        <v>1650954.551258676</v>
      </c>
      <c r="L56" s="11">
        <f t="shared" si="9"/>
        <v>1922135.1962767974</v>
      </c>
      <c r="M56" s="11">
        <f t="shared" si="9"/>
        <v>587555.57097987609</v>
      </c>
      <c r="N56" s="11">
        <f t="shared" si="9"/>
        <v>79739.850000000006</v>
      </c>
      <c r="O56" s="11">
        <f t="shared" si="9"/>
        <v>0</v>
      </c>
      <c r="P56" s="11">
        <f t="shared" si="9"/>
        <v>0</v>
      </c>
      <c r="Q56" s="11">
        <f t="shared" si="9"/>
        <v>0</v>
      </c>
      <c r="R56" s="11">
        <f t="shared" si="9"/>
        <v>0</v>
      </c>
      <c r="S56" s="11">
        <f t="shared" si="9"/>
        <v>0</v>
      </c>
      <c r="T56" s="11">
        <f t="shared" si="9"/>
        <v>0</v>
      </c>
      <c r="U56" s="11">
        <f t="shared" si="9"/>
        <v>0</v>
      </c>
      <c r="V56" s="11">
        <f t="shared" si="9"/>
        <v>0</v>
      </c>
    </row>
    <row r="57" spans="2:22" ht="15" customHeight="1" x14ac:dyDescent="0.3">
      <c r="C57" s="282" t="s">
        <v>541</v>
      </c>
      <c r="D57" s="282"/>
      <c r="E57" s="283"/>
      <c r="F57" s="284">
        <f>SUM(H57:U57)</f>
        <v>3241576.8019630057</v>
      </c>
      <c r="G57" s="284"/>
      <c r="H57" s="284">
        <f t="shared" ref="H57:V57" si="10">MIN(MAX(H56,0),H52)</f>
        <v>0</v>
      </c>
      <c r="I57" s="284">
        <f t="shared" si="10"/>
        <v>36258.75422611439</v>
      </c>
      <c r="J57" s="284">
        <f t="shared" si="10"/>
        <v>673301.70039017079</v>
      </c>
      <c r="K57" s="284">
        <f t="shared" si="10"/>
        <v>996084.54125190119</v>
      </c>
      <c r="L57" s="284">
        <f t="shared" si="10"/>
        <v>890366.12437135866</v>
      </c>
      <c r="M57" s="284">
        <f t="shared" si="10"/>
        <v>573210.87372973142</v>
      </c>
      <c r="N57" s="284">
        <f t="shared" si="10"/>
        <v>72354.807993729308</v>
      </c>
      <c r="O57" s="284">
        <f t="shared" si="10"/>
        <v>0</v>
      </c>
      <c r="P57" s="284">
        <f t="shared" si="10"/>
        <v>0</v>
      </c>
      <c r="Q57" s="284">
        <f t="shared" si="10"/>
        <v>0</v>
      </c>
      <c r="R57" s="284">
        <f t="shared" si="10"/>
        <v>0</v>
      </c>
      <c r="S57" s="284">
        <f t="shared" si="10"/>
        <v>0</v>
      </c>
      <c r="T57" s="284">
        <f t="shared" si="10"/>
        <v>0</v>
      </c>
      <c r="U57" s="284">
        <f t="shared" si="10"/>
        <v>0</v>
      </c>
      <c r="V57" s="284">
        <f t="shared" si="10"/>
        <v>0</v>
      </c>
    </row>
    <row r="58" spans="2:22" ht="15" customHeight="1" x14ac:dyDescent="0.3"/>
    <row r="59" spans="2:22" ht="15" customHeight="1" x14ac:dyDescent="0.3">
      <c r="C59" s="262" t="s">
        <v>212</v>
      </c>
      <c r="D59" s="262"/>
      <c r="E59" s="266"/>
      <c r="F59" s="273">
        <f>SUM(H59:U59)</f>
        <v>1315972.2367743305</v>
      </c>
      <c r="G59" s="274"/>
      <c r="H59" s="274">
        <f>IF((H52-G57)&gt;0,H52-G57,0)</f>
        <v>0</v>
      </c>
      <c r="I59" s="274">
        <f t="shared" ref="I59:V59" si="11">IF((I52-H57)&gt;0,I52-H57,0)</f>
        <v>356146.44974854356</v>
      </c>
      <c r="J59" s="274">
        <f t="shared" si="11"/>
        <v>637042.94616405643</v>
      </c>
      <c r="K59" s="274">
        <f t="shared" si="11"/>
        <v>322782.84086173039</v>
      </c>
      <c r="L59" s="274">
        <f t="shared" si="11"/>
        <v>0</v>
      </c>
      <c r="M59" s="274">
        <f t="shared" si="11"/>
        <v>0</v>
      </c>
      <c r="N59" s="274">
        <f t="shared" si="11"/>
        <v>0</v>
      </c>
      <c r="O59" s="274">
        <f t="shared" si="11"/>
        <v>0</v>
      </c>
      <c r="P59" s="274">
        <f t="shared" si="11"/>
        <v>0</v>
      </c>
      <c r="Q59" s="274">
        <f t="shared" si="11"/>
        <v>0</v>
      </c>
      <c r="R59" s="274">
        <f t="shared" si="11"/>
        <v>0</v>
      </c>
      <c r="S59" s="274">
        <f t="shared" si="11"/>
        <v>0</v>
      </c>
      <c r="T59" s="274">
        <f t="shared" si="11"/>
        <v>0</v>
      </c>
      <c r="U59" s="274">
        <f t="shared" si="11"/>
        <v>0</v>
      </c>
      <c r="V59" s="274">
        <f t="shared" si="11"/>
        <v>0</v>
      </c>
    </row>
    <row r="60" spans="2:22" ht="15" customHeight="1" x14ac:dyDescent="0.3">
      <c r="C60" s="262"/>
      <c r="D60" s="262"/>
      <c r="E60" s="266"/>
      <c r="F60" s="273"/>
      <c r="G60" s="274"/>
      <c r="H60" s="274"/>
      <c r="I60" s="274"/>
      <c r="J60" s="274"/>
      <c r="K60" s="274"/>
      <c r="L60" s="274"/>
      <c r="M60" s="274"/>
      <c r="N60" s="274"/>
      <c r="O60" s="274"/>
      <c r="P60" s="274"/>
      <c r="Q60" s="274"/>
      <c r="R60" s="274"/>
      <c r="S60" s="274"/>
      <c r="T60" s="274"/>
      <c r="U60" s="274"/>
      <c r="V60" s="274"/>
    </row>
    <row r="61" spans="2:22" ht="15" customHeight="1" x14ac:dyDescent="0.3">
      <c r="C61" s="281" t="s">
        <v>760</v>
      </c>
      <c r="D61" s="262"/>
      <c r="E61" s="266"/>
      <c r="F61" s="273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</row>
    <row r="62" spans="2:22" ht="15" customHeight="1" x14ac:dyDescent="0.3">
      <c r="C62" s="281" t="s">
        <v>41</v>
      </c>
      <c r="D62" s="262"/>
      <c r="E62" s="266"/>
      <c r="F62" s="273"/>
      <c r="G62" s="274"/>
      <c r="H62" s="274">
        <f>CF!F70</f>
        <v>0</v>
      </c>
      <c r="I62" s="274">
        <f ca="1">CF!G70</f>
        <v>0</v>
      </c>
      <c r="J62" s="274">
        <f ca="1">CF!H70</f>
        <v>50000</v>
      </c>
      <c r="K62" s="274">
        <f ca="1">CF!I70</f>
        <v>50000</v>
      </c>
      <c r="L62" s="274">
        <f ca="1">CF!J70</f>
        <v>526101.76506496151</v>
      </c>
      <c r="M62" s="274">
        <f ca="1">CF!K70</f>
        <v>1431657.1689432985</v>
      </c>
      <c r="N62" s="274">
        <f ca="1">CF!L70</f>
        <v>2491660.5879044225</v>
      </c>
      <c r="O62" s="274">
        <f ca="1">CF!M70</f>
        <v>2661736.5756934211</v>
      </c>
      <c r="P62" s="274">
        <f ca="1">CF!N70</f>
        <v>1646345.4077245276</v>
      </c>
      <c r="Q62" s="274">
        <f ca="1">CF!O70</f>
        <v>1257700.4602425434</v>
      </c>
      <c r="R62" s="274">
        <f ca="1">CF!P70</f>
        <v>1294357.5727462596</v>
      </c>
      <c r="S62" s="274">
        <f ca="1">CF!Q70</f>
        <v>1592299.9652763363</v>
      </c>
      <c r="T62" s="274">
        <f ca="1">CF!R70</f>
        <v>1899217.6273624697</v>
      </c>
      <c r="U62" s="274">
        <f ca="1">CF!S70</f>
        <v>2214931.5927472315</v>
      </c>
      <c r="V62" s="274">
        <f ca="1">CF!T70</f>
        <v>2539620.5435581962</v>
      </c>
    </row>
    <row r="63" spans="2:22" ht="15" customHeight="1" x14ac:dyDescent="0.3">
      <c r="C63" s="262" t="s">
        <v>761</v>
      </c>
      <c r="D63" s="262"/>
      <c r="E63" s="266"/>
      <c r="F63" s="273"/>
      <c r="G63" s="274"/>
      <c r="H63" s="274">
        <f ca="1">CF!F40</f>
        <v>0</v>
      </c>
      <c r="I63" s="274">
        <f ca="1">CF!G40</f>
        <v>205218.06265180971</v>
      </c>
      <c r="J63" s="274">
        <f ca="1">CF!H40</f>
        <v>847318.70344287448</v>
      </c>
      <c r="K63" s="274">
        <f ca="1">CF!I40</f>
        <v>1805988.5610719237</v>
      </c>
      <c r="L63" s="274">
        <f ca="1">CF!J40</f>
        <v>2141450.4553118078</v>
      </c>
      <c r="M63" s="274">
        <f ca="1">CF!K40</f>
        <v>1987071.4568658937</v>
      </c>
      <c r="N63" s="274">
        <f ca="1">CF!L40</f>
        <v>604951.59789631038</v>
      </c>
      <c r="O63" s="274">
        <f ca="1">CF!M40</f>
        <v>277444.46289850108</v>
      </c>
      <c r="P63" s="274">
        <f ca="1">CF!N40</f>
        <v>282469.29795385909</v>
      </c>
      <c r="Q63" s="274">
        <f ca="1">CF!O40</f>
        <v>289798.34274509788</v>
      </c>
      <c r="R63" s="274">
        <f ca="1">CF!P40</f>
        <v>297942.39253007522</v>
      </c>
      <c r="S63" s="274">
        <f ca="1">CF!Q40</f>
        <v>306917.66208615026</v>
      </c>
      <c r="T63" s="274">
        <f ca="1">CF!R40</f>
        <v>315713.96538470907</v>
      </c>
      <c r="U63" s="274">
        <f ca="1">CF!S40</f>
        <v>324688.95081090386</v>
      </c>
      <c r="V63" s="274">
        <f ca="1">CF!T40</f>
        <v>5330644.5639063939</v>
      </c>
    </row>
    <row r="64" spans="2:22" ht="15" customHeight="1" x14ac:dyDescent="0.3">
      <c r="C64" s="262" t="s">
        <v>762</v>
      </c>
      <c r="D64" s="262"/>
      <c r="E64" s="266"/>
      <c r="F64" s="273"/>
      <c r="G64" s="274"/>
      <c r="H64" s="274">
        <f>CF!F54</f>
        <v>-3682051.0191153171</v>
      </c>
      <c r="I64" s="274">
        <f>CF!G54</f>
        <v>-356146.44974854356</v>
      </c>
      <c r="J64" s="274">
        <f>CF!H54</f>
        <v>-673301.70039017079</v>
      </c>
      <c r="K64" s="274">
        <f>CF!I54</f>
        <v>-996084.54125190119</v>
      </c>
      <c r="L64" s="274">
        <f>CF!J54</f>
        <v>-890366.12437135866</v>
      </c>
      <c r="M64" s="274">
        <f>CF!K54</f>
        <v>-573210.87372973142</v>
      </c>
      <c r="N64" s="274">
        <f>CF!L54</f>
        <v>-72354.807993729308</v>
      </c>
      <c r="O64" s="274">
        <f>CF!M54</f>
        <v>0</v>
      </c>
      <c r="P64" s="274">
        <f>CF!N54</f>
        <v>0</v>
      </c>
      <c r="Q64" s="274">
        <f>CF!O54</f>
        <v>0</v>
      </c>
      <c r="R64" s="274">
        <f>CF!P54</f>
        <v>0</v>
      </c>
      <c r="S64" s="274">
        <f>CF!Q54</f>
        <v>0</v>
      </c>
      <c r="T64" s="274">
        <f>CF!R54</f>
        <v>0</v>
      </c>
      <c r="U64" s="274">
        <f>CF!S54</f>
        <v>0</v>
      </c>
      <c r="V64" s="274">
        <f>CF!T54</f>
        <v>0</v>
      </c>
    </row>
    <row r="65" spans="3:22" ht="15" customHeight="1" x14ac:dyDescent="0.3">
      <c r="C65" s="262" t="str">
        <f>CF!B56</f>
        <v>Equity Drawdown - T1</v>
      </c>
      <c r="D65" s="262"/>
      <c r="E65" s="266"/>
      <c r="F65" s="273"/>
      <c r="G65" s="274"/>
      <c r="H65" s="274">
        <f>CF!F56</f>
        <v>1282051.0191153171</v>
      </c>
      <c r="I65" s="274">
        <f>CF!G56</f>
        <v>0</v>
      </c>
      <c r="J65" s="274">
        <f>CF!H56</f>
        <v>0</v>
      </c>
      <c r="K65" s="274">
        <f>CF!I56</f>
        <v>0</v>
      </c>
      <c r="L65" s="274">
        <f>CF!J56</f>
        <v>0</v>
      </c>
      <c r="M65" s="274">
        <f>CF!K56</f>
        <v>0</v>
      </c>
      <c r="N65" s="274">
        <f>CF!L56</f>
        <v>0</v>
      </c>
      <c r="O65" s="274">
        <f>CF!M56</f>
        <v>0</v>
      </c>
      <c r="P65" s="274">
        <f>CF!N56</f>
        <v>0</v>
      </c>
      <c r="Q65" s="274">
        <f>CF!O56</f>
        <v>0</v>
      </c>
      <c r="R65" s="274">
        <f>CF!P56</f>
        <v>0</v>
      </c>
      <c r="S65" s="274">
        <f>CF!Q56</f>
        <v>0</v>
      </c>
      <c r="T65" s="274">
        <f>CF!R56</f>
        <v>0</v>
      </c>
      <c r="U65" s="274">
        <f>CF!S56</f>
        <v>0</v>
      </c>
      <c r="V65" s="274">
        <f>CF!T56</f>
        <v>0</v>
      </c>
    </row>
    <row r="66" spans="3:22" ht="15" customHeight="1" x14ac:dyDescent="0.3">
      <c r="C66" s="262" t="str">
        <f>CF!B58</f>
        <v>Debt Drawdown - T1</v>
      </c>
      <c r="D66" s="262"/>
      <c r="E66" s="266"/>
      <c r="F66" s="273"/>
      <c r="G66" s="274"/>
      <c r="H66" s="274">
        <f>CF!F58</f>
        <v>2400000</v>
      </c>
      <c r="I66" s="274">
        <f>CF!G58</f>
        <v>0</v>
      </c>
      <c r="J66" s="274">
        <f>CF!H58</f>
        <v>0</v>
      </c>
      <c r="K66" s="274">
        <f>CF!I58</f>
        <v>0</v>
      </c>
      <c r="L66" s="274">
        <f>CF!J58</f>
        <v>0</v>
      </c>
      <c r="M66" s="274">
        <f>CF!K58</f>
        <v>0</v>
      </c>
      <c r="N66" s="274">
        <f>CF!L58</f>
        <v>0</v>
      </c>
      <c r="O66" s="274">
        <f>CF!M58</f>
        <v>0</v>
      </c>
      <c r="P66" s="274">
        <f>CF!N58</f>
        <v>0</v>
      </c>
      <c r="Q66" s="274">
        <f>CF!O58</f>
        <v>0</v>
      </c>
      <c r="R66" s="274">
        <f>CF!P58</f>
        <v>0</v>
      </c>
      <c r="S66" s="274">
        <f>CF!Q58</f>
        <v>0</v>
      </c>
      <c r="T66" s="274">
        <f>CF!R58</f>
        <v>0</v>
      </c>
      <c r="U66" s="274">
        <f>CF!S58</f>
        <v>0</v>
      </c>
      <c r="V66" s="274">
        <f>CF!T58</f>
        <v>0</v>
      </c>
    </row>
    <row r="67" spans="3:22" ht="15" customHeight="1" x14ac:dyDescent="0.3">
      <c r="C67" s="262" t="str">
        <f>CF!B61</f>
        <v>Debt Repayment - T1</v>
      </c>
      <c r="D67" s="262"/>
      <c r="E67" s="266"/>
      <c r="F67" s="273"/>
      <c r="G67" s="274"/>
      <c r="H67" s="274">
        <f>CF!F61</f>
        <v>0</v>
      </c>
      <c r="I67" s="274">
        <f>CF!G61</f>
        <v>0</v>
      </c>
      <c r="J67" s="274">
        <f>CF!H61</f>
        <v>0</v>
      </c>
      <c r="K67" s="274">
        <f>CF!I61</f>
        <v>-143965.69442627855</v>
      </c>
      <c r="L67" s="274">
        <f>CF!J61</f>
        <v>-159425.62454455416</v>
      </c>
      <c r="M67" s="274">
        <f>CF!K61</f>
        <v>-177144.56548141775</v>
      </c>
      <c r="N67" s="274">
        <f>CF!L61</f>
        <v>-195953.77342625975</v>
      </c>
      <c r="O67" s="274">
        <f>CF!M61</f>
        <v>-1137395.1307012464</v>
      </c>
      <c r="P67" s="274">
        <f>CF!N61</f>
        <v>-586115.21142024337</v>
      </c>
      <c r="Q67" s="274">
        <f>CF!O61</f>
        <v>0</v>
      </c>
      <c r="R67" s="274">
        <f>CF!P61</f>
        <v>0</v>
      </c>
      <c r="S67" s="274">
        <f>CF!Q61</f>
        <v>0</v>
      </c>
      <c r="T67" s="274">
        <f>CF!R61</f>
        <v>0</v>
      </c>
      <c r="U67" s="274">
        <f>CF!S61</f>
        <v>0</v>
      </c>
      <c r="V67" s="274">
        <f>CF!T61</f>
        <v>0</v>
      </c>
    </row>
    <row r="68" spans="3:22" ht="15" customHeight="1" x14ac:dyDescent="0.3">
      <c r="C68" s="262" t="str">
        <f>CF!B63</f>
        <v>Finance Cost Paid - T1</v>
      </c>
      <c r="D68" s="262"/>
      <c r="E68" s="266"/>
      <c r="F68" s="273"/>
      <c r="G68" s="274"/>
      <c r="H68" s="274">
        <f>CF!F63</f>
        <v>0</v>
      </c>
      <c r="I68" s="274">
        <f>CF!G63</f>
        <v>-151200</v>
      </c>
      <c r="J68" s="274">
        <f>CF!H63</f>
        <v>-151200</v>
      </c>
      <c r="K68" s="274">
        <f>CF!I63</f>
        <v>-151200</v>
      </c>
      <c r="L68" s="274">
        <f>CF!J63</f>
        <v>-142130.16125114445</v>
      </c>
      <c r="M68" s="274">
        <f>CF!K63</f>
        <v>-132086.34690483753</v>
      </c>
      <c r="N68" s="274">
        <f>CF!L63</f>
        <v>-120926.23927950821</v>
      </c>
      <c r="O68" s="274">
        <f>CF!M63</f>
        <v>-108581.15155365386</v>
      </c>
      <c r="P68" s="274">
        <f>CF!N63</f>
        <v>-36925.258319475332</v>
      </c>
      <c r="Q68" s="274">
        <f>CF!O63</f>
        <v>0</v>
      </c>
      <c r="R68" s="274">
        <f>CF!P63</f>
        <v>0</v>
      </c>
      <c r="S68" s="274">
        <f>CF!Q63</f>
        <v>0</v>
      </c>
      <c r="T68" s="274">
        <f>CF!R63</f>
        <v>0</v>
      </c>
      <c r="U68" s="274">
        <f>CF!S63</f>
        <v>0</v>
      </c>
      <c r="V68" s="274">
        <f>CF!T63</f>
        <v>0</v>
      </c>
    </row>
    <row r="69" spans="3:22" ht="15" customHeight="1" x14ac:dyDescent="0.3">
      <c r="C69" s="275" t="s">
        <v>763</v>
      </c>
      <c r="D69" s="275"/>
      <c r="E69" s="276"/>
      <c r="F69" s="277"/>
      <c r="G69" s="277"/>
      <c r="H69" s="277">
        <f ca="1">SUM(H62:H68)</f>
        <v>0</v>
      </c>
      <c r="I69" s="277">
        <f t="shared" ref="I69:V69" ca="1" si="12">SUM(I62:I68)</f>
        <v>-302128.38709673384</v>
      </c>
      <c r="J69" s="277">
        <f t="shared" ca="1" si="12"/>
        <v>72817.003052703687</v>
      </c>
      <c r="K69" s="277">
        <f t="shared" ca="1" si="12"/>
        <v>564738.32539374393</v>
      </c>
      <c r="L69" s="277">
        <f t="shared" ca="1" si="12"/>
        <v>1475630.3102097118</v>
      </c>
      <c r="M69" s="277">
        <f t="shared" ca="1" si="12"/>
        <v>2536286.8396932054</v>
      </c>
      <c r="N69" s="277">
        <f t="shared" ca="1" si="12"/>
        <v>2707377.3651012359</v>
      </c>
      <c r="O69" s="277">
        <f t="shared" ca="1" si="12"/>
        <v>1693204.7563370219</v>
      </c>
      <c r="P69" s="277">
        <f t="shared" ca="1" si="12"/>
        <v>1305774.235938668</v>
      </c>
      <c r="Q69" s="277">
        <f t="shared" ca="1" si="12"/>
        <v>1547498.8029876412</v>
      </c>
      <c r="R69" s="277">
        <f t="shared" ca="1" si="12"/>
        <v>1592299.9652763349</v>
      </c>
      <c r="S69" s="277">
        <f t="shared" ca="1" si="12"/>
        <v>1899217.6273624864</v>
      </c>
      <c r="T69" s="277">
        <f t="shared" ca="1" si="12"/>
        <v>2214931.5927471789</v>
      </c>
      <c r="U69" s="277">
        <f t="shared" ca="1" si="12"/>
        <v>2539620.5435581352</v>
      </c>
      <c r="V69" s="277">
        <f t="shared" ca="1" si="12"/>
        <v>7870265.1074645901</v>
      </c>
    </row>
    <row r="70" spans="3:22" ht="15" customHeight="1" x14ac:dyDescent="0.3">
      <c r="E70" s="250"/>
    </row>
    <row r="71" spans="3:22" ht="15" customHeight="1" x14ac:dyDescent="0.3">
      <c r="C71" s="275" t="s">
        <v>778</v>
      </c>
      <c r="D71" s="275"/>
      <c r="E71" s="276"/>
      <c r="F71" s="277"/>
      <c r="G71" s="277"/>
      <c r="H71" s="277">
        <f ca="1">IF(H69&lt;0,H69,0)</f>
        <v>0</v>
      </c>
      <c r="I71" s="277">
        <f t="shared" ref="I71:P71" ca="1" si="13">IF(I69&lt;0,I69,0)</f>
        <v>-302128.38709673384</v>
      </c>
      <c r="J71" s="277">
        <f t="shared" ca="1" si="13"/>
        <v>0</v>
      </c>
      <c r="K71" s="277">
        <f t="shared" ca="1" si="13"/>
        <v>0</v>
      </c>
      <c r="L71" s="277">
        <f t="shared" ca="1" si="13"/>
        <v>0</v>
      </c>
      <c r="M71" s="277">
        <f t="shared" ca="1" si="13"/>
        <v>0</v>
      </c>
      <c r="N71" s="277">
        <f t="shared" ca="1" si="13"/>
        <v>0</v>
      </c>
      <c r="O71" s="277">
        <f t="shared" ca="1" si="13"/>
        <v>0</v>
      </c>
      <c r="P71" s="277">
        <f t="shared" ca="1" si="13"/>
        <v>0</v>
      </c>
      <c r="Q71" s="277">
        <f t="shared" ref="Q71" ca="1" si="14">IF(Q69&lt;0,Q69,0)</f>
        <v>0</v>
      </c>
      <c r="R71" s="277">
        <f t="shared" ref="R71" ca="1" si="15">IF(R69&lt;0,R69,0)</f>
        <v>0</v>
      </c>
      <c r="S71" s="277">
        <f t="shared" ref="S71" ca="1" si="16">IF(S69&lt;0,S69,0)</f>
        <v>0</v>
      </c>
      <c r="T71" s="277">
        <f t="shared" ref="T71" ca="1" si="17">IF(T69&lt;0,T69,0)</f>
        <v>0</v>
      </c>
      <c r="U71" s="277">
        <f t="shared" ref="U71" ca="1" si="18">IF(U69&lt;0,U69,0)</f>
        <v>0</v>
      </c>
      <c r="V71" s="277">
        <f t="shared" ref="V71" ca="1" si="19">IF(V69&lt;0,V69,0)</f>
        <v>0</v>
      </c>
    </row>
    <row r="72" spans="3:22" ht="15" customHeight="1" x14ac:dyDescent="0.3">
      <c r="C72" s="250" t="s">
        <v>777</v>
      </c>
      <c r="E72" s="250"/>
      <c r="H72" s="290"/>
      <c r="I72" s="290">
        <f>-$F$7</f>
        <v>-50000</v>
      </c>
      <c r="J72" s="290">
        <f t="shared" ref="J72:V72" si="20">-$F$7</f>
        <v>-50000</v>
      </c>
      <c r="K72" s="290">
        <f t="shared" si="20"/>
        <v>-50000</v>
      </c>
      <c r="L72" s="290">
        <f t="shared" si="20"/>
        <v>-50000</v>
      </c>
      <c r="M72" s="290">
        <f t="shared" si="20"/>
        <v>-50000</v>
      </c>
      <c r="N72" s="290">
        <f t="shared" si="20"/>
        <v>-50000</v>
      </c>
      <c r="O72" s="290">
        <f t="shared" si="20"/>
        <v>-50000</v>
      </c>
      <c r="P72" s="290">
        <f t="shared" si="20"/>
        <v>-50000</v>
      </c>
      <c r="Q72" s="290">
        <f t="shared" si="20"/>
        <v>-50000</v>
      </c>
      <c r="R72" s="290">
        <f t="shared" si="20"/>
        <v>-50000</v>
      </c>
      <c r="S72" s="290">
        <f t="shared" si="20"/>
        <v>-50000</v>
      </c>
      <c r="T72" s="290">
        <f t="shared" si="20"/>
        <v>-50000</v>
      </c>
      <c r="U72" s="290">
        <f t="shared" si="20"/>
        <v>-50000</v>
      </c>
      <c r="V72" s="290">
        <f t="shared" si="20"/>
        <v>-50000</v>
      </c>
    </row>
    <row r="73" spans="3:22" ht="15" customHeight="1" x14ac:dyDescent="0.3">
      <c r="C73" s="275" t="s">
        <v>779</v>
      </c>
      <c r="D73" s="275"/>
      <c r="E73" s="276"/>
      <c r="F73" s="277"/>
      <c r="G73" s="277"/>
      <c r="H73" s="277">
        <f ca="1">IF(H71&lt;0,SUM(H71:H72),0)</f>
        <v>0</v>
      </c>
      <c r="I73" s="277">
        <f t="shared" ref="I73:V73" ca="1" si="21">IF(I71&lt;0,SUM(I71:I72),0)</f>
        <v>-352128.38709673384</v>
      </c>
      <c r="J73" s="277">
        <f t="shared" ca="1" si="21"/>
        <v>0</v>
      </c>
      <c r="K73" s="277">
        <f t="shared" ca="1" si="21"/>
        <v>0</v>
      </c>
      <c r="L73" s="277">
        <f t="shared" ca="1" si="21"/>
        <v>0</v>
      </c>
      <c r="M73" s="277">
        <f t="shared" ca="1" si="21"/>
        <v>0</v>
      </c>
      <c r="N73" s="277">
        <f t="shared" ca="1" si="21"/>
        <v>0</v>
      </c>
      <c r="O73" s="277">
        <f t="shared" ca="1" si="21"/>
        <v>0</v>
      </c>
      <c r="P73" s="277">
        <f t="shared" ca="1" si="21"/>
        <v>0</v>
      </c>
      <c r="Q73" s="277">
        <f t="shared" ca="1" si="21"/>
        <v>0</v>
      </c>
      <c r="R73" s="277">
        <f t="shared" ca="1" si="21"/>
        <v>0</v>
      </c>
      <c r="S73" s="277">
        <f t="shared" ca="1" si="21"/>
        <v>0</v>
      </c>
      <c r="T73" s="277">
        <f t="shared" ca="1" si="21"/>
        <v>0</v>
      </c>
      <c r="U73" s="277">
        <f t="shared" ca="1" si="21"/>
        <v>0</v>
      </c>
      <c r="V73" s="277">
        <f t="shared" ca="1" si="21"/>
        <v>0</v>
      </c>
    </row>
    <row r="74" spans="3:22" ht="15" customHeight="1" x14ac:dyDescent="0.3">
      <c r="E74" s="250"/>
    </row>
    <row r="75" spans="3:22" ht="15" customHeight="1" x14ac:dyDescent="0.3">
      <c r="C75" s="262" t="s">
        <v>277</v>
      </c>
      <c r="D75" s="262"/>
      <c r="E75" s="266"/>
      <c r="F75" s="273">
        <f ca="1">SUM(H75:U75)</f>
        <v>352128.38709673384</v>
      </c>
      <c r="G75" s="274"/>
      <c r="H75" s="274">
        <f ca="1">IF(H$73&lt;0,-H$73,0)*$F24</f>
        <v>0</v>
      </c>
      <c r="I75" s="274">
        <f t="shared" ref="I75:V75" ca="1" si="22">IF(I$73&lt;0,-I$73,0)*$F24</f>
        <v>352128.38709673384</v>
      </c>
      <c r="J75" s="274">
        <f t="shared" ca="1" si="22"/>
        <v>0</v>
      </c>
      <c r="K75" s="274">
        <f t="shared" ca="1" si="22"/>
        <v>0</v>
      </c>
      <c r="L75" s="274">
        <f t="shared" ca="1" si="22"/>
        <v>0</v>
      </c>
      <c r="M75" s="274">
        <f t="shared" ca="1" si="22"/>
        <v>0</v>
      </c>
      <c r="N75" s="274">
        <f t="shared" ca="1" si="22"/>
        <v>0</v>
      </c>
      <c r="O75" s="274">
        <f t="shared" ca="1" si="22"/>
        <v>0</v>
      </c>
      <c r="P75" s="274">
        <f t="shared" ca="1" si="22"/>
        <v>0</v>
      </c>
      <c r="Q75" s="274">
        <f t="shared" ca="1" si="22"/>
        <v>0</v>
      </c>
      <c r="R75" s="274">
        <f t="shared" ca="1" si="22"/>
        <v>0</v>
      </c>
      <c r="S75" s="274">
        <f t="shared" ca="1" si="22"/>
        <v>0</v>
      </c>
      <c r="T75" s="274">
        <f t="shared" ca="1" si="22"/>
        <v>0</v>
      </c>
      <c r="U75" s="274">
        <f t="shared" ca="1" si="22"/>
        <v>0</v>
      </c>
      <c r="V75" s="274">
        <f t="shared" ca="1" si="22"/>
        <v>0</v>
      </c>
    </row>
    <row r="76" spans="3:22" ht="15" customHeight="1" x14ac:dyDescent="0.3">
      <c r="C76" s="262" t="s">
        <v>278</v>
      </c>
      <c r="D76" s="262"/>
      <c r="E76" s="266"/>
      <c r="F76" s="273">
        <f ca="1">SUM(H76:U76)</f>
        <v>0</v>
      </c>
      <c r="G76" s="274"/>
      <c r="H76" s="274">
        <f ca="1">IF(H$73&lt;0,-H$73,0)*$F25</f>
        <v>0</v>
      </c>
      <c r="I76" s="274">
        <f t="shared" ref="I76:V76" ca="1" si="23">IF(I$73&lt;0,-I$73,0)*$F25</f>
        <v>0</v>
      </c>
      <c r="J76" s="274">
        <f t="shared" ca="1" si="23"/>
        <v>0</v>
      </c>
      <c r="K76" s="274">
        <f t="shared" ca="1" si="23"/>
        <v>0</v>
      </c>
      <c r="L76" s="274">
        <f t="shared" ca="1" si="23"/>
        <v>0</v>
      </c>
      <c r="M76" s="274">
        <f t="shared" ca="1" si="23"/>
        <v>0</v>
      </c>
      <c r="N76" s="274">
        <f t="shared" ca="1" si="23"/>
        <v>0</v>
      </c>
      <c r="O76" s="274">
        <f t="shared" ca="1" si="23"/>
        <v>0</v>
      </c>
      <c r="P76" s="274">
        <f t="shared" ca="1" si="23"/>
        <v>0</v>
      </c>
      <c r="Q76" s="274">
        <f t="shared" ca="1" si="23"/>
        <v>0</v>
      </c>
      <c r="R76" s="274">
        <f t="shared" ca="1" si="23"/>
        <v>0</v>
      </c>
      <c r="S76" s="274">
        <f t="shared" ca="1" si="23"/>
        <v>0</v>
      </c>
      <c r="T76" s="274">
        <f t="shared" ca="1" si="23"/>
        <v>0</v>
      </c>
      <c r="U76" s="274">
        <f t="shared" ca="1" si="23"/>
        <v>0</v>
      </c>
      <c r="V76" s="274">
        <f t="shared" ca="1" si="23"/>
        <v>0</v>
      </c>
    </row>
    <row r="77" spans="3:22" ht="15" customHeight="1" x14ac:dyDescent="0.3">
      <c r="C77" s="275" t="s">
        <v>285</v>
      </c>
      <c r="D77" s="275"/>
      <c r="E77" s="276"/>
      <c r="F77" s="277">
        <f ca="1">SUM(H77:U77)</f>
        <v>352128.38709673384</v>
      </c>
      <c r="G77" s="277"/>
      <c r="H77" s="277">
        <f t="shared" ref="H77:V77" ca="1" si="24">SUM(H75:H76)</f>
        <v>0</v>
      </c>
      <c r="I77" s="277">
        <f t="shared" ca="1" si="24"/>
        <v>352128.38709673384</v>
      </c>
      <c r="J77" s="277">
        <f t="shared" ca="1" si="24"/>
        <v>0</v>
      </c>
      <c r="K77" s="277">
        <f t="shared" ca="1" si="24"/>
        <v>0</v>
      </c>
      <c r="L77" s="277">
        <f t="shared" ca="1" si="24"/>
        <v>0</v>
      </c>
      <c r="M77" s="277">
        <f t="shared" ca="1" si="24"/>
        <v>0</v>
      </c>
      <c r="N77" s="277">
        <f t="shared" ca="1" si="24"/>
        <v>0</v>
      </c>
      <c r="O77" s="277">
        <f t="shared" ca="1" si="24"/>
        <v>0</v>
      </c>
      <c r="P77" s="277">
        <f t="shared" ca="1" si="24"/>
        <v>0</v>
      </c>
      <c r="Q77" s="277">
        <f t="shared" ca="1" si="24"/>
        <v>0</v>
      </c>
      <c r="R77" s="277">
        <f t="shared" ca="1" si="24"/>
        <v>0</v>
      </c>
      <c r="S77" s="277">
        <f t="shared" ca="1" si="24"/>
        <v>0</v>
      </c>
      <c r="T77" s="277">
        <f t="shared" ca="1" si="24"/>
        <v>0</v>
      </c>
      <c r="U77" s="277">
        <f t="shared" ca="1" si="24"/>
        <v>0</v>
      </c>
      <c r="V77" s="277">
        <f t="shared" ca="1" si="24"/>
        <v>0</v>
      </c>
    </row>
    <row r="78" spans="3:22" ht="15" customHeight="1" x14ac:dyDescent="0.3">
      <c r="C78" s="262" t="s">
        <v>230</v>
      </c>
      <c r="E78" s="250"/>
      <c r="F78" s="273">
        <f ca="1">SUM(H78:U78)</f>
        <v>28932.290457822241</v>
      </c>
      <c r="H78" s="285">
        <f t="shared" ref="H78" si="25">H88</f>
        <v>0</v>
      </c>
      <c r="I78" s="285">
        <f ca="1">I88</f>
        <v>27742.470824588894</v>
      </c>
      <c r="J78" s="285">
        <f t="shared" ref="J78:V78" ca="1" si="26">J88</f>
        <v>1189.8196332333464</v>
      </c>
      <c r="K78" s="285">
        <f t="shared" ca="1" si="26"/>
        <v>0</v>
      </c>
      <c r="L78" s="285">
        <f t="shared" ca="1" si="26"/>
        <v>0</v>
      </c>
      <c r="M78" s="285">
        <f t="shared" si="26"/>
        <v>0</v>
      </c>
      <c r="N78" s="285">
        <f t="shared" si="26"/>
        <v>0</v>
      </c>
      <c r="O78" s="285">
        <f t="shared" si="26"/>
        <v>0</v>
      </c>
      <c r="P78" s="285">
        <f t="shared" si="26"/>
        <v>0</v>
      </c>
      <c r="Q78" s="285">
        <f t="shared" si="26"/>
        <v>0</v>
      </c>
      <c r="R78" s="285">
        <f t="shared" si="26"/>
        <v>0</v>
      </c>
      <c r="S78" s="285">
        <f t="shared" si="26"/>
        <v>0</v>
      </c>
      <c r="T78" s="285">
        <f t="shared" si="26"/>
        <v>0</v>
      </c>
      <c r="U78" s="285">
        <f t="shared" si="26"/>
        <v>0</v>
      </c>
      <c r="V78" s="285">
        <f t="shared" si="26"/>
        <v>0</v>
      </c>
    </row>
    <row r="79" spans="3:22" ht="15" customHeight="1" x14ac:dyDescent="0.3">
      <c r="C79" s="275" t="s">
        <v>286</v>
      </c>
      <c r="D79" s="275"/>
      <c r="E79" s="276"/>
      <c r="F79" s="277">
        <f ca="1">SUM(F77:F78)</f>
        <v>381060.67755455611</v>
      </c>
      <c r="G79" s="277"/>
      <c r="H79" s="277">
        <f t="shared" ref="H79" ca="1" si="27">SUM(H77:H78)</f>
        <v>0</v>
      </c>
      <c r="I79" s="277">
        <f t="shared" ref="I79:V79" ca="1" si="28">SUM(I77:I78)</f>
        <v>379870.85792132275</v>
      </c>
      <c r="J79" s="277">
        <f t="shared" ca="1" si="28"/>
        <v>1189.8196332333464</v>
      </c>
      <c r="K79" s="277">
        <f t="shared" ca="1" si="28"/>
        <v>0</v>
      </c>
      <c r="L79" s="277">
        <f t="shared" ca="1" si="28"/>
        <v>0</v>
      </c>
      <c r="M79" s="277">
        <f t="shared" ca="1" si="28"/>
        <v>0</v>
      </c>
      <c r="N79" s="277">
        <f t="shared" ca="1" si="28"/>
        <v>0</v>
      </c>
      <c r="O79" s="277">
        <f t="shared" ca="1" si="28"/>
        <v>0</v>
      </c>
      <c r="P79" s="277">
        <f t="shared" ca="1" si="28"/>
        <v>0</v>
      </c>
      <c r="Q79" s="277">
        <f t="shared" ca="1" si="28"/>
        <v>0</v>
      </c>
      <c r="R79" s="277">
        <f t="shared" ca="1" si="28"/>
        <v>0</v>
      </c>
      <c r="S79" s="277">
        <f t="shared" ca="1" si="28"/>
        <v>0</v>
      </c>
      <c r="T79" s="277">
        <f t="shared" ca="1" si="28"/>
        <v>0</v>
      </c>
      <c r="U79" s="277">
        <f t="shared" ca="1" si="28"/>
        <v>0</v>
      </c>
      <c r="V79" s="277">
        <f t="shared" ca="1" si="28"/>
        <v>0</v>
      </c>
    </row>
    <row r="80" spans="3:22" ht="15" customHeight="1" x14ac:dyDescent="0.3">
      <c r="C80" s="265"/>
      <c r="D80" s="265"/>
      <c r="E80" s="270"/>
      <c r="F80" s="278"/>
      <c r="G80" s="278"/>
      <c r="H80" s="278"/>
      <c r="I80" s="278"/>
      <c r="J80" s="278"/>
      <c r="K80" s="278"/>
      <c r="L80" s="278"/>
      <c r="M80" s="278"/>
      <c r="N80" s="278"/>
      <c r="O80" s="278"/>
      <c r="P80" s="278"/>
      <c r="Q80" s="278"/>
      <c r="R80" s="278"/>
      <c r="S80" s="278"/>
      <c r="T80" s="278"/>
      <c r="U80" s="278"/>
      <c r="V80" s="278"/>
    </row>
    <row r="81" spans="1:22" ht="15" customHeight="1" x14ac:dyDescent="0.3">
      <c r="A81" s="12"/>
      <c r="B81" s="257" t="s">
        <v>213</v>
      </c>
      <c r="C81" s="257"/>
      <c r="D81" s="257"/>
      <c r="E81" s="258"/>
      <c r="F81" s="286"/>
      <c r="G81" s="287"/>
      <c r="H81" s="287"/>
      <c r="I81" s="287"/>
      <c r="J81" s="287"/>
      <c r="K81" s="287"/>
      <c r="L81" s="287"/>
      <c r="M81" s="287"/>
      <c r="N81" s="287"/>
      <c r="O81" s="287"/>
      <c r="P81" s="287"/>
      <c r="Q81" s="287"/>
      <c r="R81" s="287"/>
      <c r="S81" s="287"/>
      <c r="T81" s="287"/>
      <c r="U81" s="287"/>
      <c r="V81" s="287"/>
    </row>
    <row r="82" spans="1:22" ht="15" customHeight="1" x14ac:dyDescent="0.3">
      <c r="A82" s="12"/>
      <c r="B82" s="12"/>
      <c r="C82" s="265"/>
      <c r="D82" s="265"/>
      <c r="E82" s="270"/>
      <c r="F82" s="278"/>
      <c r="G82" s="288"/>
      <c r="H82" s="288"/>
      <c r="I82" s="288"/>
      <c r="J82" s="288"/>
      <c r="K82" s="288"/>
      <c r="L82" s="288"/>
      <c r="M82" s="288"/>
      <c r="N82" s="288"/>
      <c r="O82" s="288"/>
      <c r="P82" s="288"/>
      <c r="Q82" s="288"/>
      <c r="R82" s="288"/>
      <c r="S82" s="288"/>
      <c r="T82" s="288"/>
      <c r="U82" s="288"/>
      <c r="V82" s="288"/>
    </row>
    <row r="83" spans="1:22" ht="15" customHeight="1" x14ac:dyDescent="0.3">
      <c r="A83" s="12"/>
      <c r="B83" s="12"/>
      <c r="C83" s="264" t="s">
        <v>218</v>
      </c>
      <c r="D83" s="264"/>
      <c r="E83" s="266"/>
      <c r="F83" s="289"/>
      <c r="G83" s="289"/>
      <c r="H83" s="456">
        <v>0</v>
      </c>
      <c r="I83" s="456">
        <v>1</v>
      </c>
      <c r="J83" s="456">
        <v>1</v>
      </c>
      <c r="K83" s="456">
        <v>1</v>
      </c>
      <c r="L83" s="456">
        <v>1</v>
      </c>
      <c r="M83" s="456">
        <v>0</v>
      </c>
      <c r="N83" s="456">
        <v>0</v>
      </c>
      <c r="O83" s="456">
        <v>0</v>
      </c>
      <c r="P83" s="456">
        <v>0</v>
      </c>
      <c r="Q83" s="456">
        <v>0</v>
      </c>
      <c r="R83" s="456">
        <v>0</v>
      </c>
      <c r="S83" s="456">
        <v>0</v>
      </c>
      <c r="T83" s="456">
        <v>0</v>
      </c>
      <c r="U83" s="456">
        <v>0</v>
      </c>
      <c r="V83" s="456">
        <v>0</v>
      </c>
    </row>
    <row r="84" spans="1:22" ht="15" customHeight="1" x14ac:dyDescent="0.3">
      <c r="A84" s="12"/>
      <c r="B84" s="12"/>
      <c r="C84" s="264" t="s">
        <v>219</v>
      </c>
      <c r="D84" s="264"/>
      <c r="E84" s="266"/>
      <c r="F84" s="289"/>
      <c r="G84" s="289"/>
      <c r="H84" s="290">
        <f>IF(H$4&gt;=$F$29,1,0)</f>
        <v>0</v>
      </c>
      <c r="I84" s="290">
        <f t="shared" ref="I84:V84" si="29">IF(I$4&gt;=$F$29,1,0)</f>
        <v>0</v>
      </c>
      <c r="J84" s="290">
        <f t="shared" si="29"/>
        <v>0</v>
      </c>
      <c r="K84" s="290">
        <f t="shared" si="29"/>
        <v>1</v>
      </c>
      <c r="L84" s="290">
        <f t="shared" si="29"/>
        <v>1</v>
      </c>
      <c r="M84" s="290">
        <f t="shared" si="29"/>
        <v>1</v>
      </c>
      <c r="N84" s="290">
        <f t="shared" si="29"/>
        <v>1</v>
      </c>
      <c r="O84" s="290">
        <f t="shared" si="29"/>
        <v>1</v>
      </c>
      <c r="P84" s="290">
        <f t="shared" si="29"/>
        <v>1</v>
      </c>
      <c r="Q84" s="290">
        <f t="shared" si="29"/>
        <v>1</v>
      </c>
      <c r="R84" s="290">
        <f t="shared" si="29"/>
        <v>1</v>
      </c>
      <c r="S84" s="290">
        <f t="shared" si="29"/>
        <v>1</v>
      </c>
      <c r="T84" s="290">
        <f t="shared" si="29"/>
        <v>1</v>
      </c>
      <c r="U84" s="290">
        <f t="shared" si="29"/>
        <v>1</v>
      </c>
      <c r="V84" s="290">
        <f t="shared" si="29"/>
        <v>1</v>
      </c>
    </row>
    <row r="85" spans="1:22" ht="15" customHeight="1" x14ac:dyDescent="0.3">
      <c r="A85" s="12"/>
      <c r="B85" s="12"/>
      <c r="C85" s="264"/>
      <c r="D85" s="264"/>
      <c r="E85" s="266"/>
      <c r="F85" s="289"/>
      <c r="G85" s="289"/>
      <c r="H85" s="291"/>
      <c r="I85" s="291"/>
      <c r="J85" s="291"/>
      <c r="K85" s="291"/>
      <c r="L85" s="291"/>
      <c r="M85" s="291"/>
      <c r="N85" s="291"/>
      <c r="O85" s="291"/>
      <c r="P85" s="291"/>
      <c r="Q85" s="291"/>
      <c r="R85" s="291"/>
      <c r="S85" s="291"/>
      <c r="T85" s="291"/>
      <c r="U85" s="291"/>
      <c r="V85" s="291"/>
    </row>
    <row r="86" spans="1:22" ht="15" customHeight="1" x14ac:dyDescent="0.3">
      <c r="A86" s="12"/>
      <c r="B86" s="12"/>
      <c r="C86" s="292" t="s">
        <v>220</v>
      </c>
      <c r="D86" s="292"/>
      <c r="E86" s="261"/>
      <c r="F86" s="293"/>
      <c r="G86" s="293"/>
      <c r="H86" s="293"/>
      <c r="I86" s="293"/>
      <c r="J86" s="293"/>
      <c r="K86" s="293"/>
      <c r="L86" s="293"/>
      <c r="M86" s="293"/>
      <c r="N86" s="293"/>
      <c r="O86" s="293"/>
      <c r="P86" s="293"/>
      <c r="Q86" s="293"/>
      <c r="R86" s="293"/>
      <c r="S86" s="293"/>
      <c r="T86" s="293"/>
      <c r="U86" s="293"/>
      <c r="V86" s="293"/>
    </row>
    <row r="87" spans="1:22" ht="15" customHeight="1" x14ac:dyDescent="0.3">
      <c r="A87" s="12"/>
      <c r="B87" s="12"/>
      <c r="C87" s="262" t="s">
        <v>221</v>
      </c>
      <c r="D87" s="262"/>
      <c r="E87" s="266"/>
      <c r="F87" s="273">
        <f ca="1">SUM(H87:V87)</f>
        <v>352128.38709673384</v>
      </c>
      <c r="G87" s="274"/>
      <c r="H87" s="274">
        <f t="shared" ref="H87" ca="1" si="30">H75</f>
        <v>0</v>
      </c>
      <c r="I87" s="274">
        <f t="shared" ref="I87:V87" ca="1" si="31">I75</f>
        <v>352128.38709673384</v>
      </c>
      <c r="J87" s="274">
        <f t="shared" ca="1" si="31"/>
        <v>0</v>
      </c>
      <c r="K87" s="274">
        <f t="shared" ca="1" si="31"/>
        <v>0</v>
      </c>
      <c r="L87" s="274">
        <f t="shared" ca="1" si="31"/>
        <v>0</v>
      </c>
      <c r="M87" s="274">
        <f t="shared" ca="1" si="31"/>
        <v>0</v>
      </c>
      <c r="N87" s="274">
        <f t="shared" ca="1" si="31"/>
        <v>0</v>
      </c>
      <c r="O87" s="274">
        <f t="shared" ca="1" si="31"/>
        <v>0</v>
      </c>
      <c r="P87" s="274">
        <f t="shared" ca="1" si="31"/>
        <v>0</v>
      </c>
      <c r="Q87" s="274">
        <f t="shared" ca="1" si="31"/>
        <v>0</v>
      </c>
      <c r="R87" s="274">
        <f t="shared" ca="1" si="31"/>
        <v>0</v>
      </c>
      <c r="S87" s="274">
        <f t="shared" ca="1" si="31"/>
        <v>0</v>
      </c>
      <c r="T87" s="274">
        <f t="shared" ca="1" si="31"/>
        <v>0</v>
      </c>
      <c r="U87" s="274">
        <f t="shared" ca="1" si="31"/>
        <v>0</v>
      </c>
      <c r="V87" s="274">
        <f t="shared" ca="1" si="31"/>
        <v>0</v>
      </c>
    </row>
    <row r="88" spans="1:22" ht="15" customHeight="1" x14ac:dyDescent="0.3">
      <c r="A88" s="12"/>
      <c r="B88" s="12"/>
      <c r="C88" s="262" t="s">
        <v>222</v>
      </c>
      <c r="D88" s="262"/>
      <c r="E88" s="266"/>
      <c r="F88" s="273">
        <f ca="1">SUM(H88:V88)</f>
        <v>28932.290457822241</v>
      </c>
      <c r="G88" s="274"/>
      <c r="H88" s="274">
        <f>IF(H$83=1,MIN(H97+H99,MAX(0,$F$7-H69+H97+H99)),0)</f>
        <v>0</v>
      </c>
      <c r="I88" s="274">
        <f t="shared" ref="I88:V88" ca="1" si="32">IF(I$83=1,MIN(I97+I99,MAX(0,$F$7-I69+I97+I99)),0)</f>
        <v>27742.470824588894</v>
      </c>
      <c r="J88" s="274">
        <f t="shared" ca="1" si="32"/>
        <v>1189.8196332333464</v>
      </c>
      <c r="K88" s="274">
        <f t="shared" ca="1" si="32"/>
        <v>0</v>
      </c>
      <c r="L88" s="274">
        <f t="shared" ca="1" si="32"/>
        <v>0</v>
      </c>
      <c r="M88" s="274">
        <f t="shared" si="32"/>
        <v>0</v>
      </c>
      <c r="N88" s="274">
        <f t="shared" si="32"/>
        <v>0</v>
      </c>
      <c r="O88" s="274">
        <f t="shared" si="32"/>
        <v>0</v>
      </c>
      <c r="P88" s="274">
        <f t="shared" si="32"/>
        <v>0</v>
      </c>
      <c r="Q88" s="274">
        <f t="shared" si="32"/>
        <v>0</v>
      </c>
      <c r="R88" s="274">
        <f t="shared" si="32"/>
        <v>0</v>
      </c>
      <c r="S88" s="274">
        <f t="shared" si="32"/>
        <v>0</v>
      </c>
      <c r="T88" s="274">
        <f t="shared" si="32"/>
        <v>0</v>
      </c>
      <c r="U88" s="274">
        <f t="shared" si="32"/>
        <v>0</v>
      </c>
      <c r="V88" s="274">
        <f t="shared" si="32"/>
        <v>0</v>
      </c>
    </row>
    <row r="89" spans="1:22" ht="15" customHeight="1" x14ac:dyDescent="0.3">
      <c r="A89" s="12"/>
      <c r="B89" s="12"/>
      <c r="C89" s="275" t="s">
        <v>223</v>
      </c>
      <c r="D89" s="275"/>
      <c r="E89" s="276"/>
      <c r="F89" s="277">
        <f ca="1">SUM(H89:V89)</f>
        <v>381060.67755455611</v>
      </c>
      <c r="G89" s="277"/>
      <c r="H89" s="277">
        <f t="shared" ref="H89:V89" ca="1" si="33">SUM(H87:H88)</f>
        <v>0</v>
      </c>
      <c r="I89" s="277">
        <f t="shared" ca="1" si="33"/>
        <v>379870.85792132275</v>
      </c>
      <c r="J89" s="277">
        <f t="shared" ca="1" si="33"/>
        <v>1189.8196332333464</v>
      </c>
      <c r="K89" s="277">
        <f t="shared" ca="1" si="33"/>
        <v>0</v>
      </c>
      <c r="L89" s="277">
        <f t="shared" ca="1" si="33"/>
        <v>0</v>
      </c>
      <c r="M89" s="277">
        <f t="shared" ca="1" si="33"/>
        <v>0</v>
      </c>
      <c r="N89" s="277">
        <f t="shared" ca="1" si="33"/>
        <v>0</v>
      </c>
      <c r="O89" s="277">
        <f t="shared" ca="1" si="33"/>
        <v>0</v>
      </c>
      <c r="P89" s="277">
        <f t="shared" ca="1" si="33"/>
        <v>0</v>
      </c>
      <c r="Q89" s="277">
        <f t="shared" ca="1" si="33"/>
        <v>0</v>
      </c>
      <c r="R89" s="277">
        <f t="shared" ca="1" si="33"/>
        <v>0</v>
      </c>
      <c r="S89" s="277">
        <f t="shared" ca="1" si="33"/>
        <v>0</v>
      </c>
      <c r="T89" s="277">
        <f t="shared" ca="1" si="33"/>
        <v>0</v>
      </c>
      <c r="U89" s="277">
        <f t="shared" ca="1" si="33"/>
        <v>0</v>
      </c>
      <c r="V89" s="277">
        <f t="shared" ca="1" si="33"/>
        <v>0</v>
      </c>
    </row>
    <row r="90" spans="1:22" ht="15" customHeight="1" x14ac:dyDescent="0.3">
      <c r="A90" s="12"/>
      <c r="B90" s="12"/>
      <c r="C90" s="292"/>
      <c r="D90" s="292"/>
      <c r="E90" s="261"/>
      <c r="F90" s="293"/>
      <c r="G90" s="293"/>
      <c r="H90" s="293"/>
      <c r="I90" s="293"/>
      <c r="J90" s="293"/>
      <c r="K90" s="293"/>
      <c r="L90" s="293"/>
      <c r="M90" s="293"/>
      <c r="N90" s="293"/>
      <c r="O90" s="293"/>
      <c r="P90" s="293"/>
      <c r="Q90" s="293"/>
      <c r="R90" s="293"/>
      <c r="S90" s="293"/>
      <c r="T90" s="293"/>
      <c r="U90" s="293"/>
      <c r="V90" s="293"/>
    </row>
    <row r="91" spans="1:22" ht="15" customHeight="1" x14ac:dyDescent="0.3">
      <c r="A91" s="12"/>
      <c r="B91" s="12"/>
      <c r="C91" s="292" t="s">
        <v>224</v>
      </c>
      <c r="D91" s="292"/>
      <c r="E91" s="261"/>
      <c r="F91" s="293"/>
      <c r="G91" s="293"/>
      <c r="H91" s="293"/>
      <c r="I91" s="293"/>
      <c r="J91" s="293"/>
      <c r="K91" s="293"/>
      <c r="L91" s="293"/>
      <c r="M91" s="293"/>
      <c r="N91" s="293"/>
      <c r="O91" s="293"/>
      <c r="P91" s="293"/>
      <c r="Q91" s="293"/>
      <c r="R91" s="293"/>
      <c r="S91" s="293"/>
      <c r="T91" s="293"/>
      <c r="U91" s="293"/>
      <c r="V91" s="293"/>
    </row>
    <row r="92" spans="1:22" ht="15" customHeight="1" x14ac:dyDescent="0.3">
      <c r="A92" s="12"/>
      <c r="B92" s="12"/>
      <c r="C92" s="262" t="s">
        <v>225</v>
      </c>
      <c r="D92" s="262"/>
      <c r="E92" s="266"/>
      <c r="F92" s="273">
        <f>H92</f>
        <v>0</v>
      </c>
      <c r="G92" s="274"/>
      <c r="H92" s="274">
        <v>0</v>
      </c>
      <c r="I92" s="274">
        <f t="shared" ref="I92:V92" ca="1" si="34">H95</f>
        <v>0</v>
      </c>
      <c r="J92" s="274">
        <f t="shared" ca="1" si="34"/>
        <v>379870.85792132275</v>
      </c>
      <c r="K92" s="274">
        <f t="shared" ca="1" si="34"/>
        <v>381060.67755455611</v>
      </c>
      <c r="L92" s="274">
        <f t="shared" ca="1" si="34"/>
        <v>366430.93991171068</v>
      </c>
      <c r="M92" s="274">
        <f t="shared" ca="1" si="34"/>
        <v>345542.947859735</v>
      </c>
      <c r="N92" s="274">
        <f t="shared" ca="1" si="34"/>
        <v>322685.90178611525</v>
      </c>
      <c r="O92" s="274">
        <f t="shared" ca="1" si="34"/>
        <v>297374.32419082581</v>
      </c>
      <c r="P92" s="274">
        <f t="shared" ca="1" si="34"/>
        <v>269249.55800235365</v>
      </c>
      <c r="Q92" s="274">
        <f t="shared" ca="1" si="34"/>
        <v>238138.504460378</v>
      </c>
      <c r="R92" s="274">
        <f t="shared" ca="1" si="34"/>
        <v>0</v>
      </c>
      <c r="S92" s="274">
        <f t="shared" ca="1" si="34"/>
        <v>0</v>
      </c>
      <c r="T92" s="274">
        <f t="shared" ca="1" si="34"/>
        <v>0</v>
      </c>
      <c r="U92" s="274">
        <f t="shared" ca="1" si="34"/>
        <v>0</v>
      </c>
      <c r="V92" s="274">
        <f t="shared" ca="1" si="34"/>
        <v>0</v>
      </c>
    </row>
    <row r="93" spans="1:22" ht="15" customHeight="1" x14ac:dyDescent="0.3">
      <c r="A93" s="12"/>
      <c r="B93" s="12"/>
      <c r="C93" s="262" t="s">
        <v>226</v>
      </c>
      <c r="D93" s="262"/>
      <c r="E93" s="266"/>
      <c r="F93" s="273">
        <f ca="1">SUM(H93:V93)</f>
        <v>381060.67755455611</v>
      </c>
      <c r="G93" s="274"/>
      <c r="H93" s="274">
        <f t="shared" ref="H93:V93" ca="1" si="35">H89</f>
        <v>0</v>
      </c>
      <c r="I93" s="274">
        <f t="shared" ca="1" si="35"/>
        <v>379870.85792132275</v>
      </c>
      <c r="J93" s="274">
        <f t="shared" ca="1" si="35"/>
        <v>1189.8196332333464</v>
      </c>
      <c r="K93" s="274">
        <f t="shared" ca="1" si="35"/>
        <v>0</v>
      </c>
      <c r="L93" s="274">
        <f t="shared" ca="1" si="35"/>
        <v>0</v>
      </c>
      <c r="M93" s="274">
        <f t="shared" ca="1" si="35"/>
        <v>0</v>
      </c>
      <c r="N93" s="274">
        <f t="shared" ca="1" si="35"/>
        <v>0</v>
      </c>
      <c r="O93" s="274">
        <f t="shared" ca="1" si="35"/>
        <v>0</v>
      </c>
      <c r="P93" s="274">
        <f t="shared" ca="1" si="35"/>
        <v>0</v>
      </c>
      <c r="Q93" s="274">
        <f t="shared" ca="1" si="35"/>
        <v>0</v>
      </c>
      <c r="R93" s="274">
        <f t="shared" ca="1" si="35"/>
        <v>0</v>
      </c>
      <c r="S93" s="274">
        <f t="shared" ca="1" si="35"/>
        <v>0</v>
      </c>
      <c r="T93" s="274">
        <f t="shared" ca="1" si="35"/>
        <v>0</v>
      </c>
      <c r="U93" s="274">
        <f t="shared" ca="1" si="35"/>
        <v>0</v>
      </c>
      <c r="V93" s="274">
        <f t="shared" ca="1" si="35"/>
        <v>0</v>
      </c>
    </row>
    <row r="94" spans="1:22" ht="15" customHeight="1" x14ac:dyDescent="0.3">
      <c r="A94" s="12"/>
      <c r="B94" s="12"/>
      <c r="C94" s="262" t="s">
        <v>227</v>
      </c>
      <c r="D94" s="262"/>
      <c r="E94" s="266"/>
      <c r="F94" s="273">
        <f ca="1">SUM(H94:V94)</f>
        <v>-381060.67755455605</v>
      </c>
      <c r="G94" s="274"/>
      <c r="H94" s="274">
        <f t="shared" ref="H94:V94" ca="1" si="36">-H30*$F$89</f>
        <v>0</v>
      </c>
      <c r="I94" s="274">
        <f t="shared" ca="1" si="36"/>
        <v>0</v>
      </c>
      <c r="J94" s="274">
        <f t="shared" ca="1" si="36"/>
        <v>0</v>
      </c>
      <c r="K94" s="274">
        <f t="shared" ca="1" si="36"/>
        <v>-14629.737642845401</v>
      </c>
      <c r="L94" s="274">
        <f t="shared" ca="1" si="36"/>
        <v>-20887.992051975707</v>
      </c>
      <c r="M94" s="274">
        <f t="shared" ca="1" si="36"/>
        <v>-22857.046073619724</v>
      </c>
      <c r="N94" s="274">
        <f t="shared" ca="1" si="36"/>
        <v>-25311.57759528944</v>
      </c>
      <c r="O94" s="274">
        <f t="shared" ca="1" si="36"/>
        <v>-28124.76618847216</v>
      </c>
      <c r="P94" s="274">
        <f t="shared" ca="1" si="36"/>
        <v>-31111.053541975714</v>
      </c>
      <c r="Q94" s="274">
        <f t="shared" ca="1" si="36"/>
        <v>-238138.50446037794</v>
      </c>
      <c r="R94" s="274">
        <f t="shared" ca="1" si="36"/>
        <v>0</v>
      </c>
      <c r="S94" s="274">
        <f t="shared" ca="1" si="36"/>
        <v>0</v>
      </c>
      <c r="T94" s="274">
        <f t="shared" ca="1" si="36"/>
        <v>0</v>
      </c>
      <c r="U94" s="274">
        <f t="shared" ca="1" si="36"/>
        <v>0</v>
      </c>
      <c r="V94" s="274">
        <f t="shared" ca="1" si="36"/>
        <v>0</v>
      </c>
    </row>
    <row r="95" spans="1:22" ht="15" customHeight="1" x14ac:dyDescent="0.3">
      <c r="A95" s="12"/>
      <c r="B95" s="12"/>
      <c r="C95" s="275" t="s">
        <v>228</v>
      </c>
      <c r="D95" s="275"/>
      <c r="E95" s="276"/>
      <c r="F95" s="277">
        <f ca="1">V95</f>
        <v>0</v>
      </c>
      <c r="G95" s="277"/>
      <c r="H95" s="277">
        <f t="shared" ref="H95:V95" ca="1" si="37">IF(SUM(H92:H94)&lt;1,0,SUM(H92:H94))</f>
        <v>0</v>
      </c>
      <c r="I95" s="277">
        <f t="shared" ca="1" si="37"/>
        <v>379870.85792132275</v>
      </c>
      <c r="J95" s="277">
        <f t="shared" ca="1" si="37"/>
        <v>381060.67755455611</v>
      </c>
      <c r="K95" s="277">
        <f t="shared" ca="1" si="37"/>
        <v>366430.93991171068</v>
      </c>
      <c r="L95" s="277">
        <f t="shared" ca="1" si="37"/>
        <v>345542.947859735</v>
      </c>
      <c r="M95" s="277">
        <f t="shared" ca="1" si="37"/>
        <v>322685.90178611525</v>
      </c>
      <c r="N95" s="277">
        <f t="shared" ca="1" si="37"/>
        <v>297374.32419082581</v>
      </c>
      <c r="O95" s="277">
        <f t="shared" ca="1" si="37"/>
        <v>269249.55800235365</v>
      </c>
      <c r="P95" s="277">
        <f t="shared" ca="1" si="37"/>
        <v>238138.50446037794</v>
      </c>
      <c r="Q95" s="277">
        <f t="shared" ca="1" si="37"/>
        <v>0</v>
      </c>
      <c r="R95" s="277">
        <f t="shared" ca="1" si="37"/>
        <v>0</v>
      </c>
      <c r="S95" s="277">
        <f t="shared" ca="1" si="37"/>
        <v>0</v>
      </c>
      <c r="T95" s="277">
        <f t="shared" ca="1" si="37"/>
        <v>0</v>
      </c>
      <c r="U95" s="277">
        <f t="shared" ca="1" si="37"/>
        <v>0</v>
      </c>
      <c r="V95" s="277">
        <f t="shared" ca="1" si="37"/>
        <v>0</v>
      </c>
    </row>
    <row r="96" spans="1:22" ht="15" customHeight="1" x14ac:dyDescent="0.3">
      <c r="A96" s="12"/>
      <c r="B96" s="12"/>
      <c r="C96" s="292" t="s">
        <v>229</v>
      </c>
      <c r="D96" s="292"/>
      <c r="E96" s="261"/>
      <c r="F96" s="293"/>
      <c r="G96" s="293"/>
      <c r="H96" s="293"/>
      <c r="I96" s="293"/>
      <c r="J96" s="293"/>
      <c r="K96" s="293"/>
      <c r="L96" s="293"/>
      <c r="M96" s="293"/>
      <c r="N96" s="293"/>
      <c r="O96" s="293"/>
      <c r="P96" s="293"/>
      <c r="Q96" s="293"/>
      <c r="R96" s="293"/>
      <c r="S96" s="293"/>
      <c r="T96" s="293"/>
      <c r="U96" s="293"/>
      <c r="V96" s="293"/>
    </row>
    <row r="97" spans="1:22" ht="15" customHeight="1" x14ac:dyDescent="0.3">
      <c r="A97" s="12"/>
      <c r="B97" s="12"/>
      <c r="C97" s="262" t="s">
        <v>230</v>
      </c>
      <c r="D97" s="262"/>
      <c r="E97" s="266"/>
      <c r="F97" s="273">
        <f ca="1">SUM(H97:V97)</f>
        <v>95030.658635355168</v>
      </c>
      <c r="G97" s="274"/>
      <c r="H97" s="274">
        <f t="shared" ref="H97:V97" ca="1" si="38">(H92+H93)*H$83*$F$26</f>
        <v>0</v>
      </c>
      <c r="I97" s="274">
        <f t="shared" ca="1" si="38"/>
        <v>23931.864049043332</v>
      </c>
      <c r="J97" s="274">
        <f t="shared" ca="1" si="38"/>
        <v>24006.822685937033</v>
      </c>
      <c r="K97" s="274">
        <f t="shared" ca="1" si="38"/>
        <v>24006.822685937033</v>
      </c>
      <c r="L97" s="274">
        <f t="shared" ca="1" si="38"/>
        <v>23085.149214437773</v>
      </c>
      <c r="M97" s="274">
        <f t="shared" ca="1" si="38"/>
        <v>0</v>
      </c>
      <c r="N97" s="274">
        <f t="shared" ca="1" si="38"/>
        <v>0</v>
      </c>
      <c r="O97" s="274">
        <f t="shared" ca="1" si="38"/>
        <v>0</v>
      </c>
      <c r="P97" s="274">
        <f t="shared" ca="1" si="38"/>
        <v>0</v>
      </c>
      <c r="Q97" s="274">
        <f t="shared" ca="1" si="38"/>
        <v>0</v>
      </c>
      <c r="R97" s="274">
        <f t="shared" ca="1" si="38"/>
        <v>0</v>
      </c>
      <c r="S97" s="274">
        <f t="shared" ca="1" si="38"/>
        <v>0</v>
      </c>
      <c r="T97" s="274">
        <f t="shared" ca="1" si="38"/>
        <v>0</v>
      </c>
      <c r="U97" s="274">
        <f t="shared" ca="1" si="38"/>
        <v>0</v>
      </c>
      <c r="V97" s="274">
        <f t="shared" ca="1" si="38"/>
        <v>0</v>
      </c>
    </row>
    <row r="98" spans="1:22" ht="15" customHeight="1" x14ac:dyDescent="0.3">
      <c r="A98" s="12"/>
      <c r="B98" s="12"/>
      <c r="C98" s="262" t="s">
        <v>231</v>
      </c>
      <c r="D98" s="262"/>
      <c r="E98" s="266"/>
      <c r="F98" s="273">
        <f ca="1">SUM(H98:V98)</f>
        <v>92798.447886862617</v>
      </c>
      <c r="G98" s="274"/>
      <c r="H98" s="274">
        <f t="shared" ref="H98:V98" ca="1" si="39">(H92+H93)*IF(H$83=1,0,H$84)*$F$27</f>
        <v>0</v>
      </c>
      <c r="I98" s="274">
        <f t="shared" ca="1" si="39"/>
        <v>0</v>
      </c>
      <c r="J98" s="274">
        <f t="shared" ca="1" si="39"/>
        <v>0</v>
      </c>
      <c r="K98" s="274">
        <f t="shared" ca="1" si="39"/>
        <v>0</v>
      </c>
      <c r="L98" s="274">
        <f t="shared" ca="1" si="39"/>
        <v>0</v>
      </c>
      <c r="M98" s="274">
        <f t="shared" ca="1" si="39"/>
        <v>21769.205715163305</v>
      </c>
      <c r="N98" s="274">
        <f t="shared" ca="1" si="39"/>
        <v>20329.21181252526</v>
      </c>
      <c r="O98" s="274">
        <f t="shared" ca="1" si="39"/>
        <v>18734.582424022024</v>
      </c>
      <c r="P98" s="274">
        <f t="shared" ca="1" si="39"/>
        <v>16962.72215414828</v>
      </c>
      <c r="Q98" s="274">
        <f t="shared" ca="1" si="39"/>
        <v>15002.725781003814</v>
      </c>
      <c r="R98" s="274">
        <f t="shared" ca="1" si="39"/>
        <v>0</v>
      </c>
      <c r="S98" s="274">
        <f t="shared" ca="1" si="39"/>
        <v>0</v>
      </c>
      <c r="T98" s="274">
        <f t="shared" ca="1" si="39"/>
        <v>0</v>
      </c>
      <c r="U98" s="274">
        <f t="shared" ca="1" si="39"/>
        <v>0</v>
      </c>
      <c r="V98" s="274">
        <f t="shared" ca="1" si="39"/>
        <v>0</v>
      </c>
    </row>
    <row r="99" spans="1:22" ht="15" customHeight="1" x14ac:dyDescent="0.3">
      <c r="A99" s="12"/>
      <c r="B99" s="12"/>
      <c r="C99" s="262" t="s">
        <v>232</v>
      </c>
      <c r="D99" s="262"/>
      <c r="E99" s="266"/>
      <c r="F99" s="273">
        <f ca="1">SUM(H99:V99)</f>
        <v>3810.606775545561</v>
      </c>
      <c r="G99" s="274"/>
      <c r="H99" s="274">
        <f t="shared" ref="H99:V99" si="40">IF(H$4=2026,$F$89*$F$28,0)</f>
        <v>0</v>
      </c>
      <c r="I99" s="274">
        <f t="shared" ca="1" si="40"/>
        <v>3810.606775545561</v>
      </c>
      <c r="J99" s="274">
        <f t="shared" si="40"/>
        <v>0</v>
      </c>
      <c r="K99" s="274">
        <f t="shared" si="40"/>
        <v>0</v>
      </c>
      <c r="L99" s="274">
        <f t="shared" si="40"/>
        <v>0</v>
      </c>
      <c r="M99" s="274">
        <f t="shared" si="40"/>
        <v>0</v>
      </c>
      <c r="N99" s="274">
        <f t="shared" si="40"/>
        <v>0</v>
      </c>
      <c r="O99" s="274">
        <f t="shared" si="40"/>
        <v>0</v>
      </c>
      <c r="P99" s="274">
        <f t="shared" si="40"/>
        <v>0</v>
      </c>
      <c r="Q99" s="274">
        <f t="shared" si="40"/>
        <v>0</v>
      </c>
      <c r="R99" s="274">
        <f t="shared" si="40"/>
        <v>0</v>
      </c>
      <c r="S99" s="274">
        <f t="shared" si="40"/>
        <v>0</v>
      </c>
      <c r="T99" s="274">
        <f t="shared" si="40"/>
        <v>0</v>
      </c>
      <c r="U99" s="274">
        <f t="shared" si="40"/>
        <v>0</v>
      </c>
      <c r="V99" s="274">
        <f t="shared" si="40"/>
        <v>0</v>
      </c>
    </row>
    <row r="100" spans="1:22" ht="15" customHeight="1" x14ac:dyDescent="0.3">
      <c r="A100" s="12"/>
      <c r="B100" s="12"/>
      <c r="C100" s="275" t="s">
        <v>280</v>
      </c>
      <c r="D100" s="275"/>
      <c r="E100" s="276"/>
      <c r="F100" s="277">
        <f ca="1">SUM(H100:V100)</f>
        <v>191639.71329776334</v>
      </c>
      <c r="G100" s="277"/>
      <c r="H100" s="277">
        <f t="shared" ref="H100:V100" ca="1" si="41">SUM(H97:H99)</f>
        <v>0</v>
      </c>
      <c r="I100" s="277">
        <f t="shared" ca="1" si="41"/>
        <v>27742.470824588894</v>
      </c>
      <c r="J100" s="277">
        <f t="shared" ca="1" si="41"/>
        <v>24006.822685937033</v>
      </c>
      <c r="K100" s="277">
        <f t="shared" ca="1" si="41"/>
        <v>24006.822685937033</v>
      </c>
      <c r="L100" s="277">
        <f t="shared" ca="1" si="41"/>
        <v>23085.149214437773</v>
      </c>
      <c r="M100" s="277">
        <f t="shared" ca="1" si="41"/>
        <v>21769.205715163305</v>
      </c>
      <c r="N100" s="277">
        <f t="shared" ca="1" si="41"/>
        <v>20329.21181252526</v>
      </c>
      <c r="O100" s="277">
        <f t="shared" ca="1" si="41"/>
        <v>18734.582424022024</v>
      </c>
      <c r="P100" s="277">
        <f t="shared" ca="1" si="41"/>
        <v>16962.72215414828</v>
      </c>
      <c r="Q100" s="277">
        <f t="shared" ca="1" si="41"/>
        <v>15002.725781003814</v>
      </c>
      <c r="R100" s="277">
        <f t="shared" ca="1" si="41"/>
        <v>0</v>
      </c>
      <c r="S100" s="277">
        <f t="shared" ca="1" si="41"/>
        <v>0</v>
      </c>
      <c r="T100" s="277">
        <f t="shared" ca="1" si="41"/>
        <v>0</v>
      </c>
      <c r="U100" s="277">
        <f t="shared" ca="1" si="41"/>
        <v>0</v>
      </c>
      <c r="V100" s="277">
        <f t="shared" ca="1" si="41"/>
        <v>0</v>
      </c>
    </row>
    <row r="101" spans="1:22" ht="15" customHeight="1" x14ac:dyDescent="0.3">
      <c r="A101" s="12"/>
      <c r="B101" s="12"/>
      <c r="C101" s="294"/>
      <c r="D101" s="294"/>
      <c r="E101" s="295"/>
      <c r="F101" s="288"/>
      <c r="G101" s="288"/>
      <c r="H101" s="288"/>
      <c r="I101" s="288"/>
      <c r="J101" s="288"/>
      <c r="K101" s="288"/>
      <c r="L101" s="288"/>
      <c r="M101" s="288"/>
      <c r="N101" s="288"/>
      <c r="O101" s="288"/>
      <c r="P101" s="288"/>
      <c r="Q101" s="288"/>
      <c r="R101" s="288"/>
      <c r="S101" s="288"/>
      <c r="T101" s="288"/>
      <c r="U101" s="288"/>
      <c r="V101" s="288"/>
    </row>
    <row r="102" spans="1:22" ht="15" customHeight="1" x14ac:dyDescent="0.3">
      <c r="A102" s="12"/>
      <c r="B102" s="254" t="s">
        <v>264</v>
      </c>
      <c r="C102" s="254"/>
      <c r="D102" s="254"/>
      <c r="E102" s="255"/>
      <c r="F102" s="279"/>
      <c r="G102" s="280"/>
      <c r="H102" s="280"/>
      <c r="I102" s="280"/>
      <c r="J102" s="280"/>
      <c r="K102" s="280"/>
      <c r="L102" s="280"/>
      <c r="M102" s="280"/>
      <c r="N102" s="280"/>
      <c r="O102" s="280"/>
      <c r="P102" s="280"/>
      <c r="Q102" s="280"/>
      <c r="R102" s="280"/>
      <c r="S102" s="280"/>
      <c r="T102" s="280"/>
      <c r="U102" s="280"/>
      <c r="V102" s="280"/>
    </row>
    <row r="103" spans="1:22" ht="15" customHeight="1" x14ac:dyDescent="0.3">
      <c r="A103" s="12"/>
      <c r="B103" s="12"/>
      <c r="C103" s="294"/>
      <c r="D103" s="294"/>
      <c r="E103" s="295"/>
      <c r="F103" s="288"/>
      <c r="G103" s="288"/>
      <c r="H103" s="288"/>
      <c r="I103" s="288"/>
      <c r="J103" s="288"/>
      <c r="K103" s="288"/>
      <c r="L103" s="288"/>
      <c r="M103" s="288"/>
      <c r="N103" s="288"/>
      <c r="O103" s="288"/>
      <c r="P103" s="288"/>
      <c r="Q103" s="288"/>
      <c r="R103" s="288"/>
      <c r="S103" s="288"/>
      <c r="T103" s="288"/>
      <c r="U103" s="288"/>
      <c r="V103" s="288"/>
    </row>
    <row r="104" spans="1:22" ht="15" customHeight="1" x14ac:dyDescent="0.3">
      <c r="A104" s="12"/>
      <c r="B104" s="12"/>
      <c r="C104" s="257" t="s">
        <v>233</v>
      </c>
      <c r="D104" s="257"/>
      <c r="E104" s="258"/>
      <c r="F104" s="287"/>
      <c r="G104" s="287"/>
      <c r="H104" s="287"/>
      <c r="I104" s="287"/>
      <c r="J104" s="287"/>
      <c r="K104" s="287"/>
      <c r="L104" s="287"/>
      <c r="M104" s="287"/>
      <c r="N104" s="287"/>
      <c r="O104" s="287"/>
      <c r="P104" s="287"/>
      <c r="Q104" s="287"/>
      <c r="R104" s="287"/>
      <c r="S104" s="287"/>
      <c r="T104" s="287"/>
      <c r="U104" s="287"/>
      <c r="V104" s="287"/>
    </row>
    <row r="105" spans="1:22" ht="15" customHeight="1" x14ac:dyDescent="0.3">
      <c r="A105" s="12"/>
      <c r="B105" s="12"/>
      <c r="C105" s="262" t="s">
        <v>234</v>
      </c>
      <c r="D105" s="262"/>
      <c r="E105" s="266"/>
      <c r="F105" s="273">
        <f>SUM(H105:V105)</f>
        <v>2400000</v>
      </c>
      <c r="G105" s="274"/>
      <c r="H105" s="274">
        <f t="shared" ref="H105:V105" si="42">H36</f>
        <v>2400000</v>
      </c>
      <c r="I105" s="274">
        <f t="shared" si="42"/>
        <v>0</v>
      </c>
      <c r="J105" s="274">
        <f t="shared" si="42"/>
        <v>0</v>
      </c>
      <c r="K105" s="274">
        <f t="shared" si="42"/>
        <v>0</v>
      </c>
      <c r="L105" s="274">
        <f t="shared" si="42"/>
        <v>0</v>
      </c>
      <c r="M105" s="274">
        <f t="shared" si="42"/>
        <v>0</v>
      </c>
      <c r="N105" s="274">
        <f t="shared" si="42"/>
        <v>0</v>
      </c>
      <c r="O105" s="274">
        <f t="shared" si="42"/>
        <v>0</v>
      </c>
      <c r="P105" s="274">
        <f t="shared" si="42"/>
        <v>0</v>
      </c>
      <c r="Q105" s="274">
        <f t="shared" si="42"/>
        <v>0</v>
      </c>
      <c r="R105" s="274">
        <f t="shared" si="42"/>
        <v>0</v>
      </c>
      <c r="S105" s="274">
        <f t="shared" si="42"/>
        <v>0</v>
      </c>
      <c r="T105" s="274">
        <f t="shared" si="42"/>
        <v>0</v>
      </c>
      <c r="U105" s="274">
        <f t="shared" si="42"/>
        <v>0</v>
      </c>
      <c r="V105" s="274">
        <f t="shared" si="42"/>
        <v>0</v>
      </c>
    </row>
    <row r="106" spans="1:22" ht="15" customHeight="1" x14ac:dyDescent="0.3">
      <c r="A106" s="12"/>
      <c r="B106" s="12"/>
      <c r="C106" s="262" t="s">
        <v>235</v>
      </c>
      <c r="D106" s="262"/>
      <c r="E106" s="266"/>
      <c r="F106" s="273">
        <f ca="1">SUM(H106:V106)</f>
        <v>381060.67755455611</v>
      </c>
      <c r="G106" s="274"/>
      <c r="H106" s="274">
        <f t="shared" ref="H106:V106" ca="1" si="43">H93</f>
        <v>0</v>
      </c>
      <c r="I106" s="274">
        <f t="shared" ca="1" si="43"/>
        <v>379870.85792132275</v>
      </c>
      <c r="J106" s="274">
        <f t="shared" ca="1" si="43"/>
        <v>1189.8196332333464</v>
      </c>
      <c r="K106" s="274">
        <f t="shared" ca="1" si="43"/>
        <v>0</v>
      </c>
      <c r="L106" s="274">
        <f t="shared" ca="1" si="43"/>
        <v>0</v>
      </c>
      <c r="M106" s="274">
        <f t="shared" ca="1" si="43"/>
        <v>0</v>
      </c>
      <c r="N106" s="274">
        <f t="shared" ca="1" si="43"/>
        <v>0</v>
      </c>
      <c r="O106" s="274">
        <f t="shared" ca="1" si="43"/>
        <v>0</v>
      </c>
      <c r="P106" s="274">
        <f t="shared" ca="1" si="43"/>
        <v>0</v>
      </c>
      <c r="Q106" s="274">
        <f t="shared" ca="1" si="43"/>
        <v>0</v>
      </c>
      <c r="R106" s="274">
        <f t="shared" ca="1" si="43"/>
        <v>0</v>
      </c>
      <c r="S106" s="274">
        <f t="shared" ca="1" si="43"/>
        <v>0</v>
      </c>
      <c r="T106" s="274">
        <f t="shared" ca="1" si="43"/>
        <v>0</v>
      </c>
      <c r="U106" s="274">
        <f t="shared" ca="1" si="43"/>
        <v>0</v>
      </c>
      <c r="V106" s="274">
        <f t="shared" ca="1" si="43"/>
        <v>0</v>
      </c>
    </row>
    <row r="107" spans="1:22" ht="15" customHeight="1" x14ac:dyDescent="0.3">
      <c r="A107" s="12"/>
      <c r="B107" s="12"/>
      <c r="C107" s="275" t="s">
        <v>236</v>
      </c>
      <c r="D107" s="275"/>
      <c r="E107" s="276"/>
      <c r="F107" s="277">
        <f ca="1">SUM(H107:V107)</f>
        <v>2781060.6775545562</v>
      </c>
      <c r="G107" s="277"/>
      <c r="H107" s="277">
        <f t="shared" ref="H107:V107" ca="1" si="44">SUM(H105:H106)</f>
        <v>2400000</v>
      </c>
      <c r="I107" s="277">
        <f t="shared" ca="1" si="44"/>
        <v>379870.85792132275</v>
      </c>
      <c r="J107" s="277">
        <f t="shared" ca="1" si="44"/>
        <v>1189.8196332333464</v>
      </c>
      <c r="K107" s="277">
        <f t="shared" ca="1" si="44"/>
        <v>0</v>
      </c>
      <c r="L107" s="277">
        <f t="shared" ca="1" si="44"/>
        <v>0</v>
      </c>
      <c r="M107" s="277">
        <f t="shared" ca="1" si="44"/>
        <v>0</v>
      </c>
      <c r="N107" s="277">
        <f t="shared" ca="1" si="44"/>
        <v>0</v>
      </c>
      <c r="O107" s="277">
        <f t="shared" ca="1" si="44"/>
        <v>0</v>
      </c>
      <c r="P107" s="277">
        <f t="shared" ca="1" si="44"/>
        <v>0</v>
      </c>
      <c r="Q107" s="277">
        <f t="shared" ca="1" si="44"/>
        <v>0</v>
      </c>
      <c r="R107" s="277">
        <f t="shared" ca="1" si="44"/>
        <v>0</v>
      </c>
      <c r="S107" s="277">
        <f t="shared" ca="1" si="44"/>
        <v>0</v>
      </c>
      <c r="T107" s="277">
        <f t="shared" ca="1" si="44"/>
        <v>0</v>
      </c>
      <c r="U107" s="277">
        <f t="shared" ca="1" si="44"/>
        <v>0</v>
      </c>
      <c r="V107" s="277">
        <f t="shared" ca="1" si="44"/>
        <v>0</v>
      </c>
    </row>
    <row r="108" spans="1:22" ht="15" customHeight="1" x14ac:dyDescent="0.3">
      <c r="A108" s="12"/>
      <c r="B108" s="12"/>
      <c r="C108" s="294"/>
      <c r="D108" s="294"/>
      <c r="E108" s="295"/>
      <c r="F108" s="288"/>
      <c r="G108" s="288"/>
      <c r="H108" s="288"/>
      <c r="I108" s="288"/>
      <c r="J108" s="288"/>
      <c r="K108" s="288"/>
      <c r="L108" s="288"/>
      <c r="M108" s="288"/>
      <c r="N108" s="288"/>
      <c r="O108" s="288"/>
      <c r="P108" s="288"/>
      <c r="Q108" s="288"/>
      <c r="R108" s="288"/>
      <c r="S108" s="288"/>
      <c r="T108" s="288"/>
      <c r="U108" s="288"/>
      <c r="V108" s="288"/>
    </row>
    <row r="109" spans="1:22" ht="15" customHeight="1" x14ac:dyDescent="0.3">
      <c r="A109" s="12"/>
      <c r="B109" s="12"/>
      <c r="C109" s="257" t="s">
        <v>237</v>
      </c>
      <c r="D109" s="257"/>
      <c r="E109" s="258"/>
      <c r="F109" s="287"/>
      <c r="G109" s="287"/>
      <c r="H109" s="287"/>
      <c r="I109" s="287"/>
      <c r="J109" s="287"/>
      <c r="K109" s="287"/>
      <c r="L109" s="287"/>
      <c r="M109" s="287"/>
      <c r="N109" s="287"/>
      <c r="O109" s="287"/>
      <c r="P109" s="287"/>
      <c r="Q109" s="287"/>
      <c r="R109" s="287"/>
      <c r="S109" s="287"/>
      <c r="T109" s="287"/>
      <c r="U109" s="287"/>
      <c r="V109" s="287"/>
    </row>
    <row r="110" spans="1:22" ht="15" customHeight="1" x14ac:dyDescent="0.3">
      <c r="A110" s="12"/>
      <c r="B110" s="12"/>
      <c r="C110" s="262" t="s">
        <v>238</v>
      </c>
      <c r="D110" s="262"/>
      <c r="E110" s="266"/>
      <c r="F110" s="273">
        <f>SUM(H110:V110)</f>
        <v>-2400000</v>
      </c>
      <c r="G110" s="274"/>
      <c r="H110" s="274">
        <f t="shared" ref="H110:V110" si="45">H37</f>
        <v>0</v>
      </c>
      <c r="I110" s="274">
        <f t="shared" si="45"/>
        <v>0</v>
      </c>
      <c r="J110" s="274">
        <f t="shared" si="45"/>
        <v>0</v>
      </c>
      <c r="K110" s="274">
        <f t="shared" si="45"/>
        <v>-143965.69442627855</v>
      </c>
      <c r="L110" s="274">
        <f t="shared" si="45"/>
        <v>-159425.62454455416</v>
      </c>
      <c r="M110" s="274">
        <f t="shared" si="45"/>
        <v>-177144.56548141775</v>
      </c>
      <c r="N110" s="274">
        <f t="shared" si="45"/>
        <v>-195953.77342625975</v>
      </c>
      <c r="O110" s="274">
        <f t="shared" si="45"/>
        <v>-1137395.1307012464</v>
      </c>
      <c r="P110" s="274">
        <f t="shared" si="45"/>
        <v>-586115.21142024337</v>
      </c>
      <c r="Q110" s="274">
        <f t="shared" si="45"/>
        <v>0</v>
      </c>
      <c r="R110" s="274">
        <f t="shared" si="45"/>
        <v>0</v>
      </c>
      <c r="S110" s="274">
        <f t="shared" si="45"/>
        <v>0</v>
      </c>
      <c r="T110" s="274">
        <f t="shared" si="45"/>
        <v>0</v>
      </c>
      <c r="U110" s="274">
        <f t="shared" si="45"/>
        <v>0</v>
      </c>
      <c r="V110" s="274">
        <f t="shared" si="45"/>
        <v>0</v>
      </c>
    </row>
    <row r="111" spans="1:22" ht="15" customHeight="1" x14ac:dyDescent="0.3">
      <c r="A111" s="12"/>
      <c r="B111" s="12"/>
      <c r="C111" s="262" t="s">
        <v>239</v>
      </c>
      <c r="D111" s="262"/>
      <c r="E111" s="266"/>
      <c r="F111" s="273">
        <f ca="1">SUM(H111:V111)</f>
        <v>-381060.67755455605</v>
      </c>
      <c r="G111" s="274"/>
      <c r="H111" s="274">
        <f ca="1">H94</f>
        <v>0</v>
      </c>
      <c r="I111" s="274">
        <f t="shared" ref="I111:V111" ca="1" si="46">I94</f>
        <v>0</v>
      </c>
      <c r="J111" s="274">
        <f t="shared" ca="1" si="46"/>
        <v>0</v>
      </c>
      <c r="K111" s="274">
        <f t="shared" ca="1" si="46"/>
        <v>-14629.737642845401</v>
      </c>
      <c r="L111" s="274">
        <f t="shared" ca="1" si="46"/>
        <v>-20887.992051975707</v>
      </c>
      <c r="M111" s="274">
        <f t="shared" ca="1" si="46"/>
        <v>-22857.046073619724</v>
      </c>
      <c r="N111" s="274">
        <f t="shared" ca="1" si="46"/>
        <v>-25311.57759528944</v>
      </c>
      <c r="O111" s="274">
        <f t="shared" ca="1" si="46"/>
        <v>-28124.76618847216</v>
      </c>
      <c r="P111" s="274">
        <f t="shared" ca="1" si="46"/>
        <v>-31111.053541975714</v>
      </c>
      <c r="Q111" s="274">
        <f t="shared" ca="1" si="46"/>
        <v>-238138.50446037794</v>
      </c>
      <c r="R111" s="274">
        <f t="shared" ca="1" si="46"/>
        <v>0</v>
      </c>
      <c r="S111" s="274">
        <f t="shared" ca="1" si="46"/>
        <v>0</v>
      </c>
      <c r="T111" s="274">
        <f t="shared" ca="1" si="46"/>
        <v>0</v>
      </c>
      <c r="U111" s="274">
        <f t="shared" ca="1" si="46"/>
        <v>0</v>
      </c>
      <c r="V111" s="274">
        <f t="shared" ca="1" si="46"/>
        <v>0</v>
      </c>
    </row>
    <row r="112" spans="1:22" ht="15" customHeight="1" x14ac:dyDescent="0.3">
      <c r="A112" s="12"/>
      <c r="B112" s="12"/>
      <c r="C112" s="275" t="s">
        <v>240</v>
      </c>
      <c r="D112" s="275"/>
      <c r="E112" s="276"/>
      <c r="F112" s="277">
        <f ca="1">SUM(H112:V112)</f>
        <v>-2781060.6775545562</v>
      </c>
      <c r="G112" s="277"/>
      <c r="H112" s="277">
        <f t="shared" ref="H112:V112" ca="1" si="47">SUM(H110:H111)</f>
        <v>0</v>
      </c>
      <c r="I112" s="277">
        <f t="shared" ca="1" si="47"/>
        <v>0</v>
      </c>
      <c r="J112" s="277">
        <f t="shared" ca="1" si="47"/>
        <v>0</v>
      </c>
      <c r="K112" s="277">
        <f t="shared" ca="1" si="47"/>
        <v>-158595.43206912396</v>
      </c>
      <c r="L112" s="277">
        <f t="shared" ca="1" si="47"/>
        <v>-180313.61659652987</v>
      </c>
      <c r="M112" s="277">
        <f t="shared" ca="1" si="47"/>
        <v>-200001.61155503747</v>
      </c>
      <c r="N112" s="277">
        <f t="shared" ca="1" si="47"/>
        <v>-221265.3510215492</v>
      </c>
      <c r="O112" s="277">
        <f t="shared" ca="1" si="47"/>
        <v>-1165519.8968897187</v>
      </c>
      <c r="P112" s="277">
        <f t="shared" ca="1" si="47"/>
        <v>-617226.26496221905</v>
      </c>
      <c r="Q112" s="277">
        <f t="shared" ca="1" si="47"/>
        <v>-238138.50446037794</v>
      </c>
      <c r="R112" s="277">
        <f t="shared" ca="1" si="47"/>
        <v>0</v>
      </c>
      <c r="S112" s="277">
        <f t="shared" ca="1" si="47"/>
        <v>0</v>
      </c>
      <c r="T112" s="277">
        <f t="shared" ca="1" si="47"/>
        <v>0</v>
      </c>
      <c r="U112" s="277">
        <f t="shared" ca="1" si="47"/>
        <v>0</v>
      </c>
      <c r="V112" s="277">
        <f t="shared" ca="1" si="47"/>
        <v>0</v>
      </c>
    </row>
    <row r="113" spans="1:22" ht="15" customHeight="1" x14ac:dyDescent="0.3">
      <c r="A113" s="12"/>
      <c r="B113" s="12"/>
      <c r="C113" s="294"/>
      <c r="D113" s="294"/>
      <c r="E113" s="295"/>
      <c r="F113" s="288"/>
      <c r="G113" s="288"/>
      <c r="H113" s="288"/>
      <c r="I113" s="288"/>
      <c r="J113" s="288"/>
      <c r="K113" s="288"/>
      <c r="L113" s="288"/>
      <c r="M113" s="288"/>
      <c r="N113" s="288"/>
      <c r="O113" s="288"/>
      <c r="P113" s="288"/>
      <c r="Q113" s="288"/>
      <c r="R113" s="288"/>
      <c r="S113" s="288"/>
      <c r="T113" s="288"/>
      <c r="U113" s="288"/>
      <c r="V113" s="288"/>
    </row>
    <row r="114" spans="1:22" ht="15" customHeight="1" x14ac:dyDescent="0.3">
      <c r="A114" s="12"/>
      <c r="B114" s="12"/>
      <c r="C114" s="257" t="s">
        <v>241</v>
      </c>
      <c r="D114" s="257"/>
      <c r="E114" s="258"/>
      <c r="F114" s="287"/>
      <c r="G114" s="287"/>
      <c r="H114" s="287"/>
      <c r="I114" s="287"/>
      <c r="J114" s="287"/>
      <c r="K114" s="287"/>
      <c r="L114" s="287"/>
      <c r="M114" s="287"/>
      <c r="N114" s="287"/>
      <c r="O114" s="287"/>
      <c r="P114" s="287"/>
      <c r="Q114" s="287"/>
      <c r="R114" s="287"/>
      <c r="S114" s="287"/>
      <c r="T114" s="287"/>
      <c r="U114" s="287"/>
      <c r="V114" s="287"/>
    </row>
    <row r="115" spans="1:22" ht="15" customHeight="1" x14ac:dyDescent="0.3">
      <c r="A115" s="12"/>
      <c r="B115" s="12"/>
      <c r="C115" s="262" t="s">
        <v>242</v>
      </c>
      <c r="D115" s="262"/>
      <c r="E115" s="266"/>
      <c r="F115" s="273">
        <f>V115</f>
        <v>0</v>
      </c>
      <c r="G115" s="274"/>
      <c r="H115" s="274">
        <f t="shared" ref="H115:V115" si="48">H38</f>
        <v>2400000</v>
      </c>
      <c r="I115" s="274">
        <f t="shared" si="48"/>
        <v>2400000</v>
      </c>
      <c r="J115" s="274">
        <f t="shared" si="48"/>
        <v>2400000</v>
      </c>
      <c r="K115" s="274">
        <f t="shared" si="48"/>
        <v>2256034.3055737214</v>
      </c>
      <c r="L115" s="274">
        <f t="shared" si="48"/>
        <v>2096608.6810291673</v>
      </c>
      <c r="M115" s="274">
        <f t="shared" si="48"/>
        <v>1919464.1155477494</v>
      </c>
      <c r="N115" s="274">
        <f t="shared" si="48"/>
        <v>1723510.3421214898</v>
      </c>
      <c r="O115" s="274">
        <f t="shared" si="48"/>
        <v>586115.21142024337</v>
      </c>
      <c r="P115" s="274">
        <f t="shared" si="48"/>
        <v>0</v>
      </c>
      <c r="Q115" s="274">
        <f t="shared" si="48"/>
        <v>0</v>
      </c>
      <c r="R115" s="274">
        <f t="shared" si="48"/>
        <v>0</v>
      </c>
      <c r="S115" s="274">
        <f t="shared" si="48"/>
        <v>0</v>
      </c>
      <c r="T115" s="274">
        <f t="shared" si="48"/>
        <v>0</v>
      </c>
      <c r="U115" s="274">
        <f t="shared" si="48"/>
        <v>0</v>
      </c>
      <c r="V115" s="274">
        <f t="shared" si="48"/>
        <v>0</v>
      </c>
    </row>
    <row r="116" spans="1:22" ht="15" customHeight="1" x14ac:dyDescent="0.3">
      <c r="A116" s="12"/>
      <c r="B116" s="12"/>
      <c r="C116" s="262" t="s">
        <v>243</v>
      </c>
      <c r="D116" s="262"/>
      <c r="E116" s="266"/>
      <c r="F116" s="273">
        <f ca="1">V116</f>
        <v>0</v>
      </c>
      <c r="G116" s="274"/>
      <c r="H116" s="274">
        <f t="shared" ref="H116:V116" ca="1" si="49">H95</f>
        <v>0</v>
      </c>
      <c r="I116" s="274">
        <f t="shared" ca="1" si="49"/>
        <v>379870.85792132275</v>
      </c>
      <c r="J116" s="274">
        <f t="shared" ca="1" si="49"/>
        <v>381060.67755455611</v>
      </c>
      <c r="K116" s="274">
        <f t="shared" ca="1" si="49"/>
        <v>366430.93991171068</v>
      </c>
      <c r="L116" s="274">
        <f t="shared" ca="1" si="49"/>
        <v>345542.947859735</v>
      </c>
      <c r="M116" s="274">
        <f t="shared" ca="1" si="49"/>
        <v>322685.90178611525</v>
      </c>
      <c r="N116" s="274">
        <f t="shared" ca="1" si="49"/>
        <v>297374.32419082581</v>
      </c>
      <c r="O116" s="274">
        <f t="shared" ca="1" si="49"/>
        <v>269249.55800235365</v>
      </c>
      <c r="P116" s="274">
        <f t="shared" ca="1" si="49"/>
        <v>238138.50446037794</v>
      </c>
      <c r="Q116" s="274">
        <f t="shared" ca="1" si="49"/>
        <v>0</v>
      </c>
      <c r="R116" s="274">
        <f t="shared" ca="1" si="49"/>
        <v>0</v>
      </c>
      <c r="S116" s="274">
        <f t="shared" ca="1" si="49"/>
        <v>0</v>
      </c>
      <c r="T116" s="274">
        <f t="shared" ca="1" si="49"/>
        <v>0</v>
      </c>
      <c r="U116" s="274">
        <f t="shared" ca="1" si="49"/>
        <v>0</v>
      </c>
      <c r="V116" s="274">
        <f t="shared" ca="1" si="49"/>
        <v>0</v>
      </c>
    </row>
    <row r="117" spans="1:22" ht="15" customHeight="1" x14ac:dyDescent="0.3">
      <c r="A117" s="12"/>
      <c r="B117" s="12"/>
      <c r="C117" s="275" t="s">
        <v>244</v>
      </c>
      <c r="D117" s="275"/>
      <c r="E117" s="276"/>
      <c r="F117" s="277">
        <f ca="1">V117</f>
        <v>0</v>
      </c>
      <c r="G117" s="277"/>
      <c r="H117" s="277">
        <f t="shared" ref="H117:V117" ca="1" si="50">SUM(H115:H116)</f>
        <v>2400000</v>
      </c>
      <c r="I117" s="277">
        <f t="shared" ca="1" si="50"/>
        <v>2779870.8579213228</v>
      </c>
      <c r="J117" s="277">
        <f t="shared" ca="1" si="50"/>
        <v>2781060.6775545562</v>
      </c>
      <c r="K117" s="277">
        <f t="shared" ca="1" si="50"/>
        <v>2622465.245485432</v>
      </c>
      <c r="L117" s="277">
        <f t="shared" ca="1" si="50"/>
        <v>2442151.6288889023</v>
      </c>
      <c r="M117" s="277">
        <f t="shared" ca="1" si="50"/>
        <v>2242150.0173338647</v>
      </c>
      <c r="N117" s="277">
        <f t="shared" ca="1" si="50"/>
        <v>2020884.6663123155</v>
      </c>
      <c r="O117" s="277">
        <f t="shared" ca="1" si="50"/>
        <v>855364.76942259702</v>
      </c>
      <c r="P117" s="277">
        <f t="shared" ca="1" si="50"/>
        <v>238138.50446037794</v>
      </c>
      <c r="Q117" s="277">
        <f t="shared" ca="1" si="50"/>
        <v>0</v>
      </c>
      <c r="R117" s="277">
        <f t="shared" ca="1" si="50"/>
        <v>0</v>
      </c>
      <c r="S117" s="277">
        <f t="shared" ca="1" si="50"/>
        <v>0</v>
      </c>
      <c r="T117" s="277">
        <f t="shared" ca="1" si="50"/>
        <v>0</v>
      </c>
      <c r="U117" s="277">
        <f t="shared" ca="1" si="50"/>
        <v>0</v>
      </c>
      <c r="V117" s="277">
        <f t="shared" ca="1" si="50"/>
        <v>0</v>
      </c>
    </row>
    <row r="118" spans="1:22" ht="15" customHeight="1" x14ac:dyDescent="0.3">
      <c r="A118" s="12"/>
      <c r="B118" s="12"/>
      <c r="C118" s="294"/>
      <c r="D118" s="294"/>
      <c r="E118" s="295"/>
      <c r="F118" s="288"/>
      <c r="G118" s="288"/>
      <c r="H118" s="288"/>
      <c r="I118" s="288"/>
      <c r="J118" s="288"/>
      <c r="K118" s="288"/>
      <c r="L118" s="288"/>
      <c r="M118" s="288"/>
      <c r="N118" s="288"/>
      <c r="O118" s="288"/>
      <c r="P118" s="288"/>
      <c r="Q118" s="288"/>
      <c r="R118" s="288"/>
      <c r="S118" s="288"/>
      <c r="T118" s="288"/>
      <c r="U118" s="288"/>
      <c r="V118" s="288"/>
    </row>
    <row r="119" spans="1:22" ht="15" customHeight="1" x14ac:dyDescent="0.3">
      <c r="A119" s="12"/>
      <c r="B119" s="12"/>
      <c r="C119" s="257" t="s">
        <v>245</v>
      </c>
      <c r="D119" s="257"/>
      <c r="E119" s="258"/>
      <c r="F119" s="287"/>
      <c r="G119" s="287"/>
      <c r="H119" s="287"/>
      <c r="I119" s="287"/>
      <c r="J119" s="287"/>
      <c r="K119" s="287"/>
      <c r="L119" s="287"/>
      <c r="M119" s="287"/>
      <c r="N119" s="287"/>
      <c r="O119" s="287"/>
      <c r="P119" s="287"/>
      <c r="Q119" s="287"/>
      <c r="R119" s="287"/>
      <c r="S119" s="287"/>
      <c r="T119" s="287"/>
      <c r="U119" s="287"/>
      <c r="V119" s="287"/>
    </row>
    <row r="120" spans="1:22" ht="15" customHeight="1" x14ac:dyDescent="0.3">
      <c r="A120" s="12"/>
      <c r="B120" s="12"/>
      <c r="C120" s="262" t="s">
        <v>273</v>
      </c>
      <c r="D120" s="262"/>
      <c r="E120" s="266"/>
      <c r="F120" s="273">
        <f>SUM(H120:V120)</f>
        <v>994249.15730861947</v>
      </c>
      <c r="G120" s="274"/>
      <c r="H120" s="274">
        <f t="shared" ref="H120:V120" si="51">H40</f>
        <v>0</v>
      </c>
      <c r="I120" s="274">
        <f t="shared" si="51"/>
        <v>151200</v>
      </c>
      <c r="J120" s="274">
        <f t="shared" si="51"/>
        <v>151200</v>
      </c>
      <c r="K120" s="274">
        <f t="shared" si="51"/>
        <v>151200</v>
      </c>
      <c r="L120" s="274">
        <f t="shared" si="51"/>
        <v>142130.16125114445</v>
      </c>
      <c r="M120" s="274">
        <f t="shared" si="51"/>
        <v>132086.34690483753</v>
      </c>
      <c r="N120" s="274">
        <f t="shared" si="51"/>
        <v>120926.23927950821</v>
      </c>
      <c r="O120" s="274">
        <f t="shared" si="51"/>
        <v>108581.15155365386</v>
      </c>
      <c r="P120" s="274">
        <f t="shared" si="51"/>
        <v>36925.258319475332</v>
      </c>
      <c r="Q120" s="274">
        <f t="shared" si="51"/>
        <v>0</v>
      </c>
      <c r="R120" s="274">
        <f t="shared" si="51"/>
        <v>0</v>
      </c>
      <c r="S120" s="274">
        <f t="shared" si="51"/>
        <v>0</v>
      </c>
      <c r="T120" s="274">
        <f t="shared" si="51"/>
        <v>0</v>
      </c>
      <c r="U120" s="274">
        <f t="shared" si="51"/>
        <v>0</v>
      </c>
      <c r="V120" s="274">
        <f t="shared" si="51"/>
        <v>0</v>
      </c>
    </row>
    <row r="121" spans="1:22" ht="15" customHeight="1" x14ac:dyDescent="0.3">
      <c r="A121" s="12"/>
      <c r="B121" s="12"/>
      <c r="C121" s="262" t="s">
        <v>274</v>
      </c>
      <c r="D121" s="262"/>
      <c r="E121" s="266"/>
      <c r="F121" s="273">
        <f ca="1">SUM(H121:V121)</f>
        <v>92798.447886862617</v>
      </c>
      <c r="G121" s="274"/>
      <c r="H121" s="274">
        <f t="shared" ref="H121:V121" ca="1" si="52">H98</f>
        <v>0</v>
      </c>
      <c r="I121" s="274">
        <f t="shared" ca="1" si="52"/>
        <v>0</v>
      </c>
      <c r="J121" s="274">
        <f t="shared" ca="1" si="52"/>
        <v>0</v>
      </c>
      <c r="K121" s="274">
        <f t="shared" ca="1" si="52"/>
        <v>0</v>
      </c>
      <c r="L121" s="274">
        <f t="shared" ca="1" si="52"/>
        <v>0</v>
      </c>
      <c r="M121" s="274">
        <f t="shared" ca="1" si="52"/>
        <v>21769.205715163305</v>
      </c>
      <c r="N121" s="274">
        <f t="shared" ca="1" si="52"/>
        <v>20329.21181252526</v>
      </c>
      <c r="O121" s="274">
        <f t="shared" ca="1" si="52"/>
        <v>18734.582424022024</v>
      </c>
      <c r="P121" s="274">
        <f t="shared" ca="1" si="52"/>
        <v>16962.72215414828</v>
      </c>
      <c r="Q121" s="274">
        <f t="shared" ca="1" si="52"/>
        <v>15002.725781003814</v>
      </c>
      <c r="R121" s="274">
        <f t="shared" ca="1" si="52"/>
        <v>0</v>
      </c>
      <c r="S121" s="274">
        <f t="shared" ca="1" si="52"/>
        <v>0</v>
      </c>
      <c r="T121" s="274">
        <f t="shared" ca="1" si="52"/>
        <v>0</v>
      </c>
      <c r="U121" s="274">
        <f t="shared" ca="1" si="52"/>
        <v>0</v>
      </c>
      <c r="V121" s="274">
        <f t="shared" ca="1" si="52"/>
        <v>0</v>
      </c>
    </row>
    <row r="122" spans="1:22" ht="15" customHeight="1" x14ac:dyDescent="0.3">
      <c r="A122" s="12"/>
      <c r="B122" s="12"/>
      <c r="C122" s="264" t="s">
        <v>275</v>
      </c>
      <c r="D122" s="264"/>
      <c r="E122" s="266"/>
      <c r="F122" s="296">
        <f ca="1">SUM(H122:V122)</f>
        <v>95030.658635355168</v>
      </c>
      <c r="G122" s="289"/>
      <c r="H122" s="289">
        <f ca="1">H97</f>
        <v>0</v>
      </c>
      <c r="I122" s="289">
        <f t="shared" ref="I122:V122" ca="1" si="53">I97</f>
        <v>23931.864049043332</v>
      </c>
      <c r="J122" s="289">
        <f t="shared" ca="1" si="53"/>
        <v>24006.822685937033</v>
      </c>
      <c r="K122" s="289">
        <f t="shared" ca="1" si="53"/>
        <v>24006.822685937033</v>
      </c>
      <c r="L122" s="289">
        <f t="shared" ca="1" si="53"/>
        <v>23085.149214437773</v>
      </c>
      <c r="M122" s="289">
        <f t="shared" ca="1" si="53"/>
        <v>0</v>
      </c>
      <c r="N122" s="289">
        <f t="shared" ca="1" si="53"/>
        <v>0</v>
      </c>
      <c r="O122" s="289">
        <f t="shared" ca="1" si="53"/>
        <v>0</v>
      </c>
      <c r="P122" s="289">
        <f t="shared" ca="1" si="53"/>
        <v>0</v>
      </c>
      <c r="Q122" s="289">
        <f t="shared" ca="1" si="53"/>
        <v>0</v>
      </c>
      <c r="R122" s="289">
        <f t="shared" ca="1" si="53"/>
        <v>0</v>
      </c>
      <c r="S122" s="289">
        <f t="shared" ca="1" si="53"/>
        <v>0</v>
      </c>
      <c r="T122" s="289">
        <f t="shared" ca="1" si="53"/>
        <v>0</v>
      </c>
      <c r="U122" s="289">
        <f t="shared" ca="1" si="53"/>
        <v>0</v>
      </c>
      <c r="V122" s="289">
        <f t="shared" ca="1" si="53"/>
        <v>0</v>
      </c>
    </row>
    <row r="123" spans="1:22" ht="15" customHeight="1" x14ac:dyDescent="0.3">
      <c r="A123" s="12"/>
      <c r="B123" s="12"/>
      <c r="C123" s="264" t="s">
        <v>276</v>
      </c>
      <c r="D123" s="262"/>
      <c r="E123" s="266"/>
      <c r="F123" s="273">
        <f ca="1">SUM(H123:V123)</f>
        <v>3810.606775545561</v>
      </c>
      <c r="G123" s="274"/>
      <c r="H123" s="274">
        <f t="shared" ref="H123:V123" si="54">H99</f>
        <v>0</v>
      </c>
      <c r="I123" s="274">
        <f t="shared" ca="1" si="54"/>
        <v>3810.606775545561</v>
      </c>
      <c r="J123" s="274">
        <f t="shared" si="54"/>
        <v>0</v>
      </c>
      <c r="K123" s="274">
        <f t="shared" si="54"/>
        <v>0</v>
      </c>
      <c r="L123" s="274">
        <f t="shared" si="54"/>
        <v>0</v>
      </c>
      <c r="M123" s="274">
        <f t="shared" si="54"/>
        <v>0</v>
      </c>
      <c r="N123" s="274">
        <f t="shared" si="54"/>
        <v>0</v>
      </c>
      <c r="O123" s="274">
        <f t="shared" si="54"/>
        <v>0</v>
      </c>
      <c r="P123" s="274">
        <f t="shared" si="54"/>
        <v>0</v>
      </c>
      <c r="Q123" s="274">
        <f t="shared" si="54"/>
        <v>0</v>
      </c>
      <c r="R123" s="274">
        <f t="shared" si="54"/>
        <v>0</v>
      </c>
      <c r="S123" s="274">
        <f t="shared" si="54"/>
        <v>0</v>
      </c>
      <c r="T123" s="274">
        <f t="shared" si="54"/>
        <v>0</v>
      </c>
      <c r="U123" s="274">
        <f t="shared" si="54"/>
        <v>0</v>
      </c>
      <c r="V123" s="274">
        <f t="shared" si="54"/>
        <v>0</v>
      </c>
    </row>
    <row r="124" spans="1:22" ht="15" customHeight="1" x14ac:dyDescent="0.3">
      <c r="A124" s="12"/>
      <c r="B124" s="12"/>
      <c r="C124" s="275" t="s">
        <v>252</v>
      </c>
      <c r="D124" s="275"/>
      <c r="E124" s="276"/>
      <c r="F124" s="277">
        <f ca="1">SUM(H124:V124)</f>
        <v>1185888.8706063828</v>
      </c>
      <c r="G124" s="277"/>
      <c r="H124" s="277">
        <f t="shared" ref="H124:V124" ca="1" si="55">SUM(H120:H123)</f>
        <v>0</v>
      </c>
      <c r="I124" s="277">
        <f t="shared" ca="1" si="55"/>
        <v>178942.47082458891</v>
      </c>
      <c r="J124" s="277">
        <f t="shared" ca="1" si="55"/>
        <v>175206.82268593705</v>
      </c>
      <c r="K124" s="277">
        <f t="shared" ca="1" si="55"/>
        <v>175206.82268593705</v>
      </c>
      <c r="L124" s="277">
        <f t="shared" ca="1" si="55"/>
        <v>165215.31046558224</v>
      </c>
      <c r="M124" s="277">
        <f t="shared" ca="1" si="55"/>
        <v>153855.55262000085</v>
      </c>
      <c r="N124" s="277">
        <f t="shared" ca="1" si="55"/>
        <v>141255.45109203347</v>
      </c>
      <c r="O124" s="277">
        <f t="shared" ca="1" si="55"/>
        <v>127315.73397767589</v>
      </c>
      <c r="P124" s="277">
        <f t="shared" ca="1" si="55"/>
        <v>53887.980473623611</v>
      </c>
      <c r="Q124" s="277">
        <f t="shared" ca="1" si="55"/>
        <v>15002.725781003814</v>
      </c>
      <c r="R124" s="277">
        <f t="shared" ca="1" si="55"/>
        <v>0</v>
      </c>
      <c r="S124" s="277">
        <f t="shared" ca="1" si="55"/>
        <v>0</v>
      </c>
      <c r="T124" s="277">
        <f t="shared" ca="1" si="55"/>
        <v>0</v>
      </c>
      <c r="U124" s="277">
        <f t="shared" ca="1" si="55"/>
        <v>0</v>
      </c>
      <c r="V124" s="277">
        <f t="shared" ca="1" si="55"/>
        <v>0</v>
      </c>
    </row>
    <row r="125" spans="1:22" ht="15" customHeight="1" x14ac:dyDescent="0.3">
      <c r="A125" s="12"/>
      <c r="B125" s="12"/>
      <c r="C125" s="297"/>
      <c r="D125" s="294"/>
      <c r="E125" s="295"/>
      <c r="F125" s="298"/>
      <c r="G125" s="288"/>
      <c r="H125" s="298"/>
      <c r="I125" s="298"/>
      <c r="J125" s="298"/>
      <c r="K125" s="298"/>
      <c r="L125" s="298"/>
      <c r="M125" s="298"/>
      <c r="N125" s="298"/>
      <c r="O125" s="298"/>
      <c r="P125" s="298"/>
      <c r="Q125" s="298"/>
      <c r="R125" s="298"/>
      <c r="S125" s="298"/>
      <c r="T125" s="298"/>
      <c r="U125" s="298"/>
      <c r="V125" s="298"/>
    </row>
    <row r="126" spans="1:22" ht="15" customHeight="1" x14ac:dyDescent="0.3">
      <c r="A126" s="12"/>
      <c r="B126" s="12"/>
      <c r="C126" s="275" t="s">
        <v>253</v>
      </c>
      <c r="D126" s="275"/>
      <c r="E126" s="276"/>
      <c r="F126" s="277">
        <f ca="1">SUM(H126:V126)</f>
        <v>98841.265410900727</v>
      </c>
      <c r="G126" s="277"/>
      <c r="H126" s="277">
        <f t="shared" ref="H126:V126" ca="1" si="56">SUM(H122:H123)</f>
        <v>0</v>
      </c>
      <c r="I126" s="277">
        <f t="shared" ca="1" si="56"/>
        <v>27742.470824588894</v>
      </c>
      <c r="J126" s="277">
        <f t="shared" ca="1" si="56"/>
        <v>24006.822685937033</v>
      </c>
      <c r="K126" s="277">
        <f t="shared" ca="1" si="56"/>
        <v>24006.822685937033</v>
      </c>
      <c r="L126" s="277">
        <f t="shared" ca="1" si="56"/>
        <v>23085.149214437773</v>
      </c>
      <c r="M126" s="277">
        <f t="shared" ca="1" si="56"/>
        <v>0</v>
      </c>
      <c r="N126" s="277">
        <f t="shared" ca="1" si="56"/>
        <v>0</v>
      </c>
      <c r="O126" s="277">
        <f t="shared" ca="1" si="56"/>
        <v>0</v>
      </c>
      <c r="P126" s="277">
        <f t="shared" ca="1" si="56"/>
        <v>0</v>
      </c>
      <c r="Q126" s="277">
        <f t="shared" ca="1" si="56"/>
        <v>0</v>
      </c>
      <c r="R126" s="277">
        <f t="shared" ca="1" si="56"/>
        <v>0</v>
      </c>
      <c r="S126" s="277">
        <f t="shared" ca="1" si="56"/>
        <v>0</v>
      </c>
      <c r="T126" s="277">
        <f t="shared" ca="1" si="56"/>
        <v>0</v>
      </c>
      <c r="U126" s="277">
        <f t="shared" ca="1" si="56"/>
        <v>0</v>
      </c>
      <c r="V126" s="277">
        <f t="shared" ca="1" si="56"/>
        <v>0</v>
      </c>
    </row>
    <row r="127" spans="1:22" ht="15" customHeight="1" x14ac:dyDescent="0.3">
      <c r="A127" s="12"/>
      <c r="B127" s="12"/>
      <c r="C127" s="12"/>
      <c r="D127" s="12"/>
      <c r="E127" s="299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</row>
    <row r="128" spans="1:22" ht="15" customHeight="1" x14ac:dyDescent="0.3">
      <c r="A128" s="12"/>
      <c r="B128" s="12"/>
      <c r="C128" s="275" t="s">
        <v>254</v>
      </c>
      <c r="D128" s="275"/>
      <c r="E128" s="276"/>
      <c r="F128" s="277">
        <f ca="1">SUM(H128:V128)</f>
        <v>1087047.605195482</v>
      </c>
      <c r="G128" s="277"/>
      <c r="H128" s="277">
        <f t="shared" ref="H128:V128" ca="1" si="57">H124-H126</f>
        <v>0</v>
      </c>
      <c r="I128" s="277">
        <f t="shared" ca="1" si="57"/>
        <v>151200</v>
      </c>
      <c r="J128" s="277">
        <f t="shared" ca="1" si="57"/>
        <v>151200</v>
      </c>
      <c r="K128" s="277">
        <f t="shared" ca="1" si="57"/>
        <v>151200</v>
      </c>
      <c r="L128" s="277">
        <f t="shared" ca="1" si="57"/>
        <v>142130.16125114445</v>
      </c>
      <c r="M128" s="277">
        <f t="shared" ca="1" si="57"/>
        <v>153855.55262000085</v>
      </c>
      <c r="N128" s="277">
        <f t="shared" ca="1" si="57"/>
        <v>141255.45109203347</v>
      </c>
      <c r="O128" s="277">
        <f t="shared" ca="1" si="57"/>
        <v>127315.73397767589</v>
      </c>
      <c r="P128" s="277">
        <f t="shared" ca="1" si="57"/>
        <v>53887.980473623611</v>
      </c>
      <c r="Q128" s="277">
        <f t="shared" ca="1" si="57"/>
        <v>15002.725781003814</v>
      </c>
      <c r="R128" s="277">
        <f t="shared" ca="1" si="57"/>
        <v>0</v>
      </c>
      <c r="S128" s="277">
        <f t="shared" ca="1" si="57"/>
        <v>0</v>
      </c>
      <c r="T128" s="277">
        <f t="shared" ca="1" si="57"/>
        <v>0</v>
      </c>
      <c r="U128" s="277">
        <f t="shared" ca="1" si="57"/>
        <v>0</v>
      </c>
      <c r="V128" s="277">
        <f t="shared" ca="1" si="57"/>
        <v>0</v>
      </c>
    </row>
    <row r="129" spans="1:24" ht="15" customHeight="1" x14ac:dyDescent="0.3">
      <c r="A129" s="12"/>
      <c r="B129" s="12"/>
      <c r="C129" s="297"/>
      <c r="D129" s="294"/>
      <c r="E129" s="295"/>
      <c r="F129" s="298"/>
      <c r="G129" s="288"/>
      <c r="H129" s="298"/>
      <c r="I129" s="298"/>
      <c r="J129" s="298"/>
      <c r="K129" s="298"/>
      <c r="L129" s="298"/>
      <c r="M129" s="298"/>
      <c r="N129" s="298"/>
      <c r="O129" s="298"/>
      <c r="P129" s="298"/>
      <c r="Q129" s="298"/>
      <c r="R129" s="298"/>
      <c r="S129" s="298"/>
      <c r="T129" s="298"/>
      <c r="U129" s="298"/>
      <c r="V129" s="298"/>
    </row>
    <row r="130" spans="1:24" ht="15" customHeight="1" x14ac:dyDescent="0.3">
      <c r="A130" s="12"/>
      <c r="B130" s="254"/>
      <c r="C130" s="254" t="s">
        <v>281</v>
      </c>
      <c r="D130" s="254"/>
      <c r="E130" s="255"/>
      <c r="F130" s="279"/>
      <c r="G130" s="280"/>
      <c r="H130" s="280"/>
      <c r="I130" s="280"/>
      <c r="J130" s="280"/>
      <c r="K130" s="280"/>
      <c r="L130" s="280"/>
      <c r="M130" s="280"/>
      <c r="N130" s="280"/>
      <c r="O130" s="280"/>
      <c r="P130" s="280"/>
      <c r="Q130" s="280"/>
      <c r="R130" s="280"/>
      <c r="S130" s="280"/>
      <c r="T130" s="280"/>
      <c r="U130" s="280"/>
      <c r="V130" s="280"/>
    </row>
    <row r="131" spans="1:24" ht="15" customHeight="1" x14ac:dyDescent="0.3">
      <c r="A131" s="12"/>
      <c r="B131" s="257"/>
      <c r="C131" s="257" t="s">
        <v>282</v>
      </c>
      <c r="D131" s="257"/>
      <c r="E131" s="257"/>
      <c r="F131" s="286"/>
      <c r="G131" s="287"/>
      <c r="H131" s="287"/>
      <c r="I131" s="287"/>
      <c r="J131" s="287"/>
      <c r="K131" s="287"/>
      <c r="L131" s="287"/>
      <c r="M131" s="287"/>
      <c r="N131" s="287"/>
      <c r="O131" s="287"/>
      <c r="P131" s="287"/>
      <c r="Q131" s="287"/>
      <c r="R131" s="287"/>
      <c r="S131" s="287"/>
      <c r="T131" s="287"/>
      <c r="U131" s="287"/>
      <c r="V131" s="287"/>
    </row>
    <row r="132" spans="1:24" ht="15" customHeight="1" x14ac:dyDescent="0.3">
      <c r="A132" s="12"/>
      <c r="B132" s="262"/>
      <c r="C132" s="262"/>
      <c r="D132" s="262"/>
      <c r="E132" s="262"/>
      <c r="F132" s="262"/>
      <c r="G132" s="262"/>
      <c r="H132" s="262"/>
      <c r="I132" s="262"/>
      <c r="J132" s="262"/>
      <c r="K132" s="262"/>
      <c r="L132" s="262"/>
      <c r="M132" s="262"/>
      <c r="N132" s="262"/>
      <c r="O132" s="262"/>
      <c r="P132" s="262"/>
      <c r="Q132" s="262"/>
      <c r="R132" s="262"/>
      <c r="S132" s="262"/>
      <c r="T132" s="262"/>
      <c r="U132" s="262"/>
      <c r="V132" s="262"/>
      <c r="W132" s="262"/>
      <c r="X132" s="262"/>
    </row>
    <row r="133" spans="1:24" ht="15" customHeight="1" x14ac:dyDescent="0.3">
      <c r="A133" s="12"/>
      <c r="B133" s="292"/>
      <c r="C133" s="292" t="s">
        <v>224</v>
      </c>
      <c r="D133" s="292"/>
      <c r="E133" s="292"/>
      <c r="F133" s="293"/>
      <c r="G133" s="293"/>
      <c r="H133" s="293"/>
      <c r="I133" s="293"/>
      <c r="J133" s="293"/>
      <c r="K133" s="293"/>
      <c r="L133" s="293"/>
      <c r="M133" s="293"/>
      <c r="N133" s="293"/>
      <c r="O133" s="293"/>
      <c r="P133" s="293"/>
      <c r="Q133" s="293"/>
      <c r="R133" s="293"/>
      <c r="S133" s="293"/>
      <c r="T133" s="293"/>
      <c r="U133" s="293"/>
      <c r="V133" s="293"/>
    </row>
    <row r="134" spans="1:24" ht="15" customHeight="1" x14ac:dyDescent="0.3">
      <c r="A134" s="12"/>
      <c r="B134" s="262"/>
      <c r="C134" s="262" t="s">
        <v>287</v>
      </c>
      <c r="D134" s="262"/>
      <c r="E134" s="262"/>
      <c r="F134" s="273">
        <f>H134</f>
        <v>0</v>
      </c>
      <c r="G134" s="274"/>
      <c r="H134" s="274">
        <f t="shared" ref="H134:V134" si="58">G136</f>
        <v>0</v>
      </c>
      <c r="I134" s="274">
        <f t="shared" ca="1" si="58"/>
        <v>0</v>
      </c>
      <c r="J134" s="274">
        <f t="shared" ca="1" si="58"/>
        <v>0</v>
      </c>
      <c r="K134" s="274">
        <f t="shared" ca="1" si="58"/>
        <v>0</v>
      </c>
      <c r="L134" s="274">
        <f t="shared" ca="1" si="58"/>
        <v>0</v>
      </c>
      <c r="M134" s="274">
        <f t="shared" ca="1" si="58"/>
        <v>0</v>
      </c>
      <c r="N134" s="274">
        <f t="shared" ca="1" si="58"/>
        <v>0</v>
      </c>
      <c r="O134" s="274">
        <f t="shared" ca="1" si="58"/>
        <v>0</v>
      </c>
      <c r="P134" s="274">
        <f t="shared" ca="1" si="58"/>
        <v>0</v>
      </c>
      <c r="Q134" s="274">
        <f t="shared" ca="1" si="58"/>
        <v>0</v>
      </c>
      <c r="R134" s="274">
        <f t="shared" ca="1" si="58"/>
        <v>0</v>
      </c>
      <c r="S134" s="274">
        <f t="shared" ca="1" si="58"/>
        <v>0</v>
      </c>
      <c r="T134" s="274">
        <f t="shared" ca="1" si="58"/>
        <v>0</v>
      </c>
      <c r="U134" s="274">
        <f t="shared" ca="1" si="58"/>
        <v>0</v>
      </c>
      <c r="V134" s="274">
        <f t="shared" ca="1" si="58"/>
        <v>0</v>
      </c>
    </row>
    <row r="135" spans="1:24" ht="15" customHeight="1" x14ac:dyDescent="0.3">
      <c r="A135" s="12"/>
      <c r="B135" s="262"/>
      <c r="C135" s="262" t="s">
        <v>284</v>
      </c>
      <c r="D135" s="262"/>
      <c r="E135" s="262"/>
      <c r="F135" s="273">
        <f ca="1">SUM(H135:V135)</f>
        <v>0</v>
      </c>
      <c r="G135" s="274"/>
      <c r="H135" s="274">
        <f t="shared" ref="H135:V135" ca="1" si="59">H76</f>
        <v>0</v>
      </c>
      <c r="I135" s="274">
        <f t="shared" ca="1" si="59"/>
        <v>0</v>
      </c>
      <c r="J135" s="274">
        <f t="shared" ca="1" si="59"/>
        <v>0</v>
      </c>
      <c r="K135" s="274">
        <f t="shared" ca="1" si="59"/>
        <v>0</v>
      </c>
      <c r="L135" s="274">
        <f t="shared" ca="1" si="59"/>
        <v>0</v>
      </c>
      <c r="M135" s="274">
        <f t="shared" ca="1" si="59"/>
        <v>0</v>
      </c>
      <c r="N135" s="274">
        <f t="shared" ca="1" si="59"/>
        <v>0</v>
      </c>
      <c r="O135" s="274">
        <f t="shared" ca="1" si="59"/>
        <v>0</v>
      </c>
      <c r="P135" s="274">
        <f t="shared" ca="1" si="59"/>
        <v>0</v>
      </c>
      <c r="Q135" s="274">
        <f t="shared" ca="1" si="59"/>
        <v>0</v>
      </c>
      <c r="R135" s="274">
        <f t="shared" ca="1" si="59"/>
        <v>0</v>
      </c>
      <c r="S135" s="274">
        <f t="shared" ca="1" si="59"/>
        <v>0</v>
      </c>
      <c r="T135" s="274">
        <f t="shared" ca="1" si="59"/>
        <v>0</v>
      </c>
      <c r="U135" s="274">
        <f t="shared" ca="1" si="59"/>
        <v>0</v>
      </c>
      <c r="V135" s="274">
        <f t="shared" ca="1" si="59"/>
        <v>0</v>
      </c>
    </row>
    <row r="136" spans="1:24" ht="15" customHeight="1" x14ac:dyDescent="0.3">
      <c r="A136" s="12"/>
      <c r="B136" s="275"/>
      <c r="C136" s="275" t="s">
        <v>331</v>
      </c>
      <c r="D136" s="275"/>
      <c r="E136" s="275"/>
      <c r="F136" s="277"/>
      <c r="G136" s="277"/>
      <c r="H136" s="277">
        <f t="shared" ref="H136:V136" ca="1" si="60">SUM(H134:H135)</f>
        <v>0</v>
      </c>
      <c r="I136" s="277">
        <f t="shared" ca="1" si="60"/>
        <v>0</v>
      </c>
      <c r="J136" s="277">
        <f t="shared" ca="1" si="60"/>
        <v>0</v>
      </c>
      <c r="K136" s="277">
        <f t="shared" ca="1" si="60"/>
        <v>0</v>
      </c>
      <c r="L136" s="277">
        <f t="shared" ca="1" si="60"/>
        <v>0</v>
      </c>
      <c r="M136" s="277">
        <f t="shared" ca="1" si="60"/>
        <v>0</v>
      </c>
      <c r="N136" s="277">
        <f t="shared" ca="1" si="60"/>
        <v>0</v>
      </c>
      <c r="O136" s="277">
        <f t="shared" ca="1" si="60"/>
        <v>0</v>
      </c>
      <c r="P136" s="277">
        <f t="shared" ca="1" si="60"/>
        <v>0</v>
      </c>
      <c r="Q136" s="277">
        <f t="shared" ca="1" si="60"/>
        <v>0</v>
      </c>
      <c r="R136" s="277">
        <f t="shared" ca="1" si="60"/>
        <v>0</v>
      </c>
      <c r="S136" s="277">
        <f t="shared" ca="1" si="60"/>
        <v>0</v>
      </c>
      <c r="T136" s="277">
        <f t="shared" ca="1" si="60"/>
        <v>0</v>
      </c>
      <c r="U136" s="277">
        <f t="shared" ca="1" si="60"/>
        <v>0</v>
      </c>
      <c r="V136" s="277">
        <f t="shared" ca="1" si="60"/>
        <v>0</v>
      </c>
    </row>
    <row r="137" spans="1:24" ht="15" customHeight="1" x14ac:dyDescent="0.3">
      <c r="A137" s="12"/>
      <c r="B137" s="12"/>
      <c r="C137" s="297"/>
      <c r="D137" s="294"/>
      <c r="E137" s="295"/>
      <c r="F137" s="298"/>
      <c r="G137" s="288"/>
      <c r="H137" s="298"/>
      <c r="I137" s="298"/>
      <c r="J137" s="298"/>
      <c r="K137" s="298"/>
      <c r="L137" s="298"/>
      <c r="M137" s="298"/>
      <c r="N137" s="298"/>
      <c r="O137" s="298"/>
      <c r="P137" s="298"/>
      <c r="Q137" s="298"/>
      <c r="R137" s="298"/>
      <c r="S137" s="298"/>
      <c r="T137" s="298"/>
      <c r="U137" s="298"/>
      <c r="V137" s="298"/>
    </row>
    <row r="138" spans="1:24" ht="15" customHeight="1" x14ac:dyDescent="0.3">
      <c r="A138" s="12"/>
      <c r="B138" s="254" t="s">
        <v>655</v>
      </c>
      <c r="C138" s="254"/>
      <c r="D138" s="254"/>
      <c r="E138" s="255"/>
      <c r="F138" s="279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</row>
    <row r="139" spans="1:24" ht="15" customHeight="1" x14ac:dyDescent="0.3">
      <c r="A139" s="12"/>
      <c r="B139" s="12"/>
      <c r="C139" s="297"/>
      <c r="D139" s="294"/>
      <c r="E139" s="295"/>
      <c r="F139" s="298"/>
      <c r="G139" s="288"/>
      <c r="H139" s="298"/>
      <c r="I139" s="298"/>
      <c r="J139" s="298"/>
      <c r="K139" s="298"/>
      <c r="L139" s="298"/>
      <c r="M139" s="298"/>
      <c r="N139" s="298"/>
      <c r="O139" s="298"/>
      <c r="P139" s="298"/>
      <c r="Q139" s="298"/>
      <c r="R139" s="298"/>
      <c r="S139" s="298"/>
      <c r="T139" s="298"/>
      <c r="U139" s="298"/>
      <c r="V139" s="298"/>
    </row>
    <row r="140" spans="1:24" ht="15" customHeight="1" x14ac:dyDescent="0.3">
      <c r="A140" s="12"/>
      <c r="B140" s="257"/>
      <c r="C140" s="257" t="s">
        <v>656</v>
      </c>
      <c r="D140" s="257"/>
      <c r="E140" s="258"/>
      <c r="F140" s="287"/>
      <c r="G140" s="287"/>
      <c r="H140" s="287"/>
      <c r="I140" s="287"/>
      <c r="J140" s="287"/>
      <c r="K140" s="287"/>
      <c r="L140" s="287"/>
      <c r="M140" s="287"/>
      <c r="N140" s="287"/>
      <c r="O140" s="287"/>
      <c r="P140" s="287"/>
      <c r="Q140" s="287"/>
      <c r="R140" s="287"/>
      <c r="S140" s="287"/>
      <c r="T140" s="287"/>
      <c r="U140" s="287"/>
      <c r="V140" s="287"/>
    </row>
    <row r="141" spans="1:24" ht="15" customHeight="1" x14ac:dyDescent="0.3">
      <c r="A141" s="12"/>
      <c r="B141" s="12"/>
      <c r="C141" s="262" t="s">
        <v>657</v>
      </c>
      <c r="D141" s="262"/>
      <c r="E141" s="266"/>
      <c r="F141" s="273">
        <f>SUM(H141:V141)</f>
        <v>1282051.0191153171</v>
      </c>
      <c r="G141" s="274"/>
      <c r="H141" s="274">
        <f t="shared" ref="H141:V141" si="61">H47</f>
        <v>1282051.0191153171</v>
      </c>
      <c r="I141" s="274">
        <f t="shared" si="61"/>
        <v>0</v>
      </c>
      <c r="J141" s="274">
        <f t="shared" si="61"/>
        <v>0</v>
      </c>
      <c r="K141" s="274">
        <f t="shared" si="61"/>
        <v>0</v>
      </c>
      <c r="L141" s="274">
        <f t="shared" si="61"/>
        <v>0</v>
      </c>
      <c r="M141" s="274">
        <f t="shared" si="61"/>
        <v>0</v>
      </c>
      <c r="N141" s="274">
        <f t="shared" si="61"/>
        <v>0</v>
      </c>
      <c r="O141" s="274">
        <f t="shared" si="61"/>
        <v>0</v>
      </c>
      <c r="P141" s="274">
        <f t="shared" si="61"/>
        <v>0</v>
      </c>
      <c r="Q141" s="274">
        <f t="shared" si="61"/>
        <v>0</v>
      </c>
      <c r="R141" s="274">
        <f t="shared" si="61"/>
        <v>0</v>
      </c>
      <c r="S141" s="274">
        <f t="shared" si="61"/>
        <v>0</v>
      </c>
      <c r="T141" s="274">
        <f t="shared" si="61"/>
        <v>0</v>
      </c>
      <c r="U141" s="274">
        <f t="shared" si="61"/>
        <v>0</v>
      </c>
      <c r="V141" s="274">
        <f t="shared" si="61"/>
        <v>0</v>
      </c>
    </row>
    <row r="142" spans="1:24" ht="15" customHeight="1" x14ac:dyDescent="0.3">
      <c r="A142" s="12"/>
      <c r="B142" s="12"/>
      <c r="C142" s="262" t="s">
        <v>658</v>
      </c>
      <c r="D142" s="262"/>
      <c r="E142" s="266"/>
      <c r="F142" s="273">
        <f ca="1">SUM(H142:V142)</f>
        <v>0</v>
      </c>
      <c r="G142" s="274"/>
      <c r="H142" s="274">
        <f ca="1">H135</f>
        <v>0</v>
      </c>
      <c r="I142" s="274">
        <f t="shared" ref="I142:V142" ca="1" si="62">I135</f>
        <v>0</v>
      </c>
      <c r="J142" s="274">
        <f t="shared" ca="1" si="62"/>
        <v>0</v>
      </c>
      <c r="K142" s="274">
        <f t="shared" ca="1" si="62"/>
        <v>0</v>
      </c>
      <c r="L142" s="274">
        <f t="shared" ca="1" si="62"/>
        <v>0</v>
      </c>
      <c r="M142" s="274">
        <f t="shared" ca="1" si="62"/>
        <v>0</v>
      </c>
      <c r="N142" s="274">
        <f t="shared" ca="1" si="62"/>
        <v>0</v>
      </c>
      <c r="O142" s="274">
        <f t="shared" ca="1" si="62"/>
        <v>0</v>
      </c>
      <c r="P142" s="274">
        <f t="shared" ca="1" si="62"/>
        <v>0</v>
      </c>
      <c r="Q142" s="274">
        <f t="shared" ca="1" si="62"/>
        <v>0</v>
      </c>
      <c r="R142" s="274">
        <f t="shared" ca="1" si="62"/>
        <v>0</v>
      </c>
      <c r="S142" s="274">
        <f t="shared" ca="1" si="62"/>
        <v>0</v>
      </c>
      <c r="T142" s="274">
        <f t="shared" ca="1" si="62"/>
        <v>0</v>
      </c>
      <c r="U142" s="274">
        <f t="shared" ca="1" si="62"/>
        <v>0</v>
      </c>
      <c r="V142" s="274">
        <f t="shared" ca="1" si="62"/>
        <v>0</v>
      </c>
    </row>
    <row r="143" spans="1:24" ht="15" customHeight="1" x14ac:dyDescent="0.3">
      <c r="A143" s="12"/>
      <c r="B143" s="275"/>
      <c r="C143" s="275" t="s">
        <v>236</v>
      </c>
      <c r="D143" s="275"/>
      <c r="E143" s="276"/>
      <c r="F143" s="277">
        <f ca="1">SUM(H143:V143)</f>
        <v>1282051.0191153171</v>
      </c>
      <c r="G143" s="277"/>
      <c r="H143" s="277">
        <f ca="1">SUM(H141:H142)</f>
        <v>1282051.0191153171</v>
      </c>
      <c r="I143" s="277">
        <f t="shared" ref="I143:V143" ca="1" si="63">SUM(I141:I142)</f>
        <v>0</v>
      </c>
      <c r="J143" s="277">
        <f t="shared" ca="1" si="63"/>
        <v>0</v>
      </c>
      <c r="K143" s="277">
        <f t="shared" ca="1" si="63"/>
        <v>0</v>
      </c>
      <c r="L143" s="277">
        <f t="shared" ca="1" si="63"/>
        <v>0</v>
      </c>
      <c r="M143" s="277">
        <f t="shared" ca="1" si="63"/>
        <v>0</v>
      </c>
      <c r="N143" s="277">
        <f t="shared" ca="1" si="63"/>
        <v>0</v>
      </c>
      <c r="O143" s="277">
        <f t="shared" ca="1" si="63"/>
        <v>0</v>
      </c>
      <c r="P143" s="277">
        <f t="shared" ca="1" si="63"/>
        <v>0</v>
      </c>
      <c r="Q143" s="277">
        <f t="shared" ca="1" si="63"/>
        <v>0</v>
      </c>
      <c r="R143" s="277">
        <f t="shared" ca="1" si="63"/>
        <v>0</v>
      </c>
      <c r="S143" s="277">
        <f t="shared" ca="1" si="63"/>
        <v>0</v>
      </c>
      <c r="T143" s="277">
        <f t="shared" ca="1" si="63"/>
        <v>0</v>
      </c>
      <c r="U143" s="277">
        <f t="shared" ca="1" si="63"/>
        <v>0</v>
      </c>
      <c r="V143" s="277">
        <f t="shared" ca="1" si="63"/>
        <v>0</v>
      </c>
    </row>
    <row r="144" spans="1:24" ht="15" customHeight="1" x14ac:dyDescent="0.3">
      <c r="A144" s="12"/>
      <c r="B144" s="12"/>
      <c r="C144" s="12"/>
      <c r="D144" s="12"/>
      <c r="E144" s="295"/>
      <c r="F144" s="298"/>
      <c r="G144" s="288"/>
      <c r="H144" s="298"/>
      <c r="I144" s="298"/>
      <c r="J144" s="298"/>
      <c r="K144" s="298"/>
      <c r="L144" s="298"/>
      <c r="M144" s="298"/>
      <c r="N144" s="298"/>
      <c r="O144" s="298"/>
      <c r="P144" s="298"/>
      <c r="Q144" s="298"/>
      <c r="R144" s="298"/>
      <c r="S144" s="298"/>
      <c r="T144" s="298"/>
      <c r="U144" s="298"/>
      <c r="V144" s="298"/>
    </row>
    <row r="145" spans="1:22" ht="15" customHeight="1" x14ac:dyDescent="0.3">
      <c r="A145" s="12"/>
      <c r="B145" s="254" t="s">
        <v>246</v>
      </c>
      <c r="C145" s="254"/>
      <c r="D145" s="254"/>
      <c r="E145" s="255"/>
      <c r="F145" s="279"/>
      <c r="G145" s="280"/>
      <c r="H145" s="280"/>
      <c r="I145" s="280"/>
      <c r="J145" s="280"/>
      <c r="K145" s="280"/>
      <c r="L145" s="280"/>
      <c r="M145" s="280"/>
      <c r="N145" s="280"/>
      <c r="O145" s="280"/>
      <c r="P145" s="280"/>
      <c r="Q145" s="280"/>
      <c r="R145" s="280"/>
      <c r="S145" s="280"/>
      <c r="T145" s="280"/>
      <c r="U145" s="280"/>
      <c r="V145" s="280"/>
    </row>
    <row r="146" spans="1:22" ht="15" customHeight="1" x14ac:dyDescent="0.3">
      <c r="A146" s="12"/>
      <c r="B146" s="12"/>
      <c r="C146" s="294"/>
      <c r="D146" s="294"/>
      <c r="E146" s="295"/>
      <c r="F146" s="288"/>
      <c r="G146" s="288"/>
      <c r="H146" s="288"/>
      <c r="I146" s="288"/>
      <c r="J146" s="288"/>
      <c r="K146" s="288"/>
      <c r="L146" s="288"/>
      <c r="M146" s="288"/>
      <c r="N146" s="288"/>
      <c r="O146" s="288"/>
      <c r="P146" s="288"/>
      <c r="Q146" s="288"/>
      <c r="R146" s="288"/>
      <c r="S146" s="288"/>
      <c r="T146" s="288"/>
      <c r="U146" s="288"/>
      <c r="V146" s="288"/>
    </row>
    <row r="147" spans="1:22" ht="15" customHeight="1" x14ac:dyDescent="0.3">
      <c r="A147" s="12"/>
      <c r="B147" s="12"/>
      <c r="C147" s="300" t="s">
        <v>265</v>
      </c>
      <c r="D147" s="300"/>
      <c r="E147" s="258"/>
      <c r="F147" s="301"/>
      <c r="G147" s="301"/>
      <c r="H147" s="301"/>
      <c r="I147" s="301"/>
      <c r="J147" s="301"/>
      <c r="K147" s="301"/>
      <c r="L147" s="301"/>
      <c r="M147" s="301"/>
      <c r="N147" s="301"/>
      <c r="O147" s="301"/>
      <c r="P147" s="301"/>
      <c r="Q147" s="301"/>
      <c r="R147" s="301"/>
      <c r="S147" s="301"/>
      <c r="T147" s="301"/>
      <c r="U147" s="301"/>
      <c r="V147" s="301"/>
    </row>
    <row r="148" spans="1:22" ht="15" customHeight="1" x14ac:dyDescent="0.3">
      <c r="A148" s="12"/>
      <c r="B148" s="12"/>
      <c r="C148" s="264" t="s">
        <v>247</v>
      </c>
      <c r="D148" s="264"/>
      <c r="E148" s="266"/>
      <c r="F148" s="296">
        <f>SUM(H148:V148)</f>
        <v>1172631</v>
      </c>
      <c r="G148" s="289"/>
      <c r="H148" s="302">
        <v>0</v>
      </c>
      <c r="I148" s="302">
        <v>151200</v>
      </c>
      <c r="J148" s="302">
        <v>145395</v>
      </c>
      <c r="K148" s="302">
        <v>137106</v>
      </c>
      <c r="L148" s="302">
        <v>128036</v>
      </c>
      <c r="M148" s="302">
        <v>117993</v>
      </c>
      <c r="N148" s="302">
        <v>106833</v>
      </c>
      <c r="O148" s="302">
        <v>94487</v>
      </c>
      <c r="P148" s="302">
        <v>68953</v>
      </c>
      <c r="Q148" s="302">
        <v>44350</v>
      </c>
      <c r="R148" s="302">
        <v>41822</v>
      </c>
      <c r="S148" s="302">
        <v>39055</v>
      </c>
      <c r="T148" s="302">
        <v>35992</v>
      </c>
      <c r="U148" s="302">
        <v>32587</v>
      </c>
      <c r="V148" s="302">
        <v>28822</v>
      </c>
    </row>
    <row r="149" spans="1:22" ht="15" customHeight="1" x14ac:dyDescent="0.3">
      <c r="A149" s="12"/>
      <c r="B149" s="12"/>
      <c r="C149" s="264" t="s">
        <v>248</v>
      </c>
      <c r="D149" s="264"/>
      <c r="E149" s="266"/>
      <c r="F149" s="296">
        <f ca="1">SUM(H149:V149)</f>
        <v>1087047.605195482</v>
      </c>
      <c r="G149" s="289"/>
      <c r="H149" s="289">
        <f t="shared" ref="H149:V149" ca="1" si="64">H128</f>
        <v>0</v>
      </c>
      <c r="I149" s="289">
        <f t="shared" ca="1" si="64"/>
        <v>151200</v>
      </c>
      <c r="J149" s="289">
        <f t="shared" ca="1" si="64"/>
        <v>151200</v>
      </c>
      <c r="K149" s="289">
        <f t="shared" ca="1" si="64"/>
        <v>151200</v>
      </c>
      <c r="L149" s="289">
        <f t="shared" ca="1" si="64"/>
        <v>142130.16125114445</v>
      </c>
      <c r="M149" s="289">
        <f t="shared" ca="1" si="64"/>
        <v>153855.55262000085</v>
      </c>
      <c r="N149" s="289">
        <f t="shared" ca="1" si="64"/>
        <v>141255.45109203347</v>
      </c>
      <c r="O149" s="289">
        <f t="shared" ca="1" si="64"/>
        <v>127315.73397767589</v>
      </c>
      <c r="P149" s="289">
        <f t="shared" ca="1" si="64"/>
        <v>53887.980473623611</v>
      </c>
      <c r="Q149" s="289">
        <f t="shared" ca="1" si="64"/>
        <v>15002.725781003814</v>
      </c>
      <c r="R149" s="289">
        <f t="shared" ca="1" si="64"/>
        <v>0</v>
      </c>
      <c r="S149" s="289">
        <f t="shared" ca="1" si="64"/>
        <v>0</v>
      </c>
      <c r="T149" s="289">
        <f t="shared" ca="1" si="64"/>
        <v>0</v>
      </c>
      <c r="U149" s="289">
        <f t="shared" ca="1" si="64"/>
        <v>0</v>
      </c>
      <c r="V149" s="289">
        <f t="shared" ca="1" si="64"/>
        <v>0</v>
      </c>
    </row>
    <row r="150" spans="1:22" ht="15" customHeight="1" x14ac:dyDescent="0.3">
      <c r="A150" s="12"/>
      <c r="B150" s="12"/>
      <c r="C150" s="303" t="s">
        <v>249</v>
      </c>
      <c r="D150" s="303"/>
      <c r="E150" s="276"/>
      <c r="F150" s="304">
        <f ca="1">SUM(H150:V150)</f>
        <v>85583.394804518</v>
      </c>
      <c r="G150" s="304"/>
      <c r="H150" s="304">
        <f ca="1">ABS(H148-H149)</f>
        <v>0</v>
      </c>
      <c r="I150" s="304">
        <f t="shared" ref="I150:V150" ca="1" si="65">I148-I149</f>
        <v>0</v>
      </c>
      <c r="J150" s="304">
        <f t="shared" ca="1" si="65"/>
        <v>-5805</v>
      </c>
      <c r="K150" s="304">
        <f t="shared" ca="1" si="65"/>
        <v>-14094</v>
      </c>
      <c r="L150" s="304">
        <f t="shared" ca="1" si="65"/>
        <v>-14094.161251144455</v>
      </c>
      <c r="M150" s="304">
        <f t="shared" ca="1" si="65"/>
        <v>-35862.552620000846</v>
      </c>
      <c r="N150" s="304">
        <f t="shared" ca="1" si="65"/>
        <v>-34422.451092033472</v>
      </c>
      <c r="O150" s="304">
        <f t="shared" ca="1" si="65"/>
        <v>-32828.733977675889</v>
      </c>
      <c r="P150" s="304">
        <f t="shared" ca="1" si="65"/>
        <v>15065.019526376389</v>
      </c>
      <c r="Q150" s="304">
        <f t="shared" ca="1" si="65"/>
        <v>29347.274218996186</v>
      </c>
      <c r="R150" s="304">
        <f t="shared" ca="1" si="65"/>
        <v>41822</v>
      </c>
      <c r="S150" s="304">
        <f t="shared" ca="1" si="65"/>
        <v>39055</v>
      </c>
      <c r="T150" s="304">
        <f t="shared" ca="1" si="65"/>
        <v>35992</v>
      </c>
      <c r="U150" s="304">
        <f t="shared" ca="1" si="65"/>
        <v>32587</v>
      </c>
      <c r="V150" s="304">
        <f t="shared" ca="1" si="65"/>
        <v>28822</v>
      </c>
    </row>
    <row r="151" spans="1:22" ht="15" customHeight="1" x14ac:dyDescent="0.3">
      <c r="A151" s="12"/>
      <c r="B151" s="12"/>
      <c r="C151" s="305"/>
      <c r="D151" s="305"/>
      <c r="E151" s="295"/>
      <c r="F151" s="306"/>
      <c r="G151" s="306"/>
      <c r="H151" s="306"/>
      <c r="I151" s="306"/>
      <c r="J151" s="306"/>
      <c r="K151" s="306"/>
      <c r="L151" s="306"/>
      <c r="M151" s="306"/>
      <c r="N151" s="306"/>
      <c r="O151" s="306"/>
      <c r="P151" s="306"/>
      <c r="Q151" s="306"/>
      <c r="R151" s="306"/>
      <c r="S151" s="306"/>
      <c r="T151" s="306"/>
      <c r="U151" s="306"/>
      <c r="V151" s="306"/>
    </row>
    <row r="152" spans="1:22" ht="15" customHeight="1" x14ac:dyDescent="0.3">
      <c r="A152" s="12"/>
      <c r="B152" s="12"/>
      <c r="C152" s="300" t="s">
        <v>266</v>
      </c>
      <c r="D152" s="300"/>
      <c r="E152" s="258"/>
      <c r="F152" s="301"/>
      <c r="G152" s="301"/>
      <c r="H152" s="301"/>
      <c r="I152" s="301"/>
      <c r="J152" s="301"/>
      <c r="K152" s="301"/>
      <c r="L152" s="301"/>
      <c r="M152" s="301"/>
      <c r="N152" s="301"/>
      <c r="O152" s="301"/>
      <c r="P152" s="301"/>
      <c r="Q152" s="301"/>
      <c r="R152" s="301"/>
      <c r="S152" s="301"/>
      <c r="T152" s="301"/>
      <c r="U152" s="301"/>
      <c r="V152" s="301"/>
    </row>
    <row r="153" spans="1:22" ht="15" customHeight="1" x14ac:dyDescent="0.3">
      <c r="A153" s="12"/>
      <c r="B153" s="12"/>
      <c r="C153" s="264" t="s">
        <v>247</v>
      </c>
      <c r="D153" s="264"/>
      <c r="E153" s="266"/>
      <c r="F153" s="296">
        <f>SUM(H153:V153)</f>
        <v>3132079</v>
      </c>
      <c r="G153" s="289"/>
      <c r="H153" s="302">
        <v>0</v>
      </c>
      <c r="I153" s="302">
        <v>2883988</v>
      </c>
      <c r="J153" s="302">
        <v>158755</v>
      </c>
      <c r="K153" s="302">
        <v>43215</v>
      </c>
      <c r="L153" s="302">
        <v>46121</v>
      </c>
      <c r="M153" s="302">
        <v>0</v>
      </c>
      <c r="N153" s="302">
        <v>0</v>
      </c>
      <c r="O153" s="302">
        <v>0</v>
      </c>
      <c r="P153" s="302">
        <v>0</v>
      </c>
      <c r="Q153" s="302">
        <v>0</v>
      </c>
      <c r="R153" s="302">
        <v>0</v>
      </c>
      <c r="S153" s="302">
        <v>0</v>
      </c>
      <c r="T153" s="302">
        <v>0</v>
      </c>
      <c r="U153" s="302">
        <v>0</v>
      </c>
      <c r="V153" s="302">
        <v>0</v>
      </c>
    </row>
    <row r="154" spans="1:22" ht="15" customHeight="1" x14ac:dyDescent="0.3">
      <c r="A154" s="12"/>
      <c r="B154" s="12"/>
      <c r="C154" s="264" t="s">
        <v>248</v>
      </c>
      <c r="D154" s="264"/>
      <c r="E154" s="266"/>
      <c r="F154" s="296">
        <f ca="1">SUM(H154:V154)</f>
        <v>2781060.6775545562</v>
      </c>
      <c r="G154" s="289"/>
      <c r="H154" s="289">
        <f t="shared" ref="H154:V154" ca="1" si="66">H107</f>
        <v>2400000</v>
      </c>
      <c r="I154" s="289">
        <f t="shared" ca="1" si="66"/>
        <v>379870.85792132275</v>
      </c>
      <c r="J154" s="289">
        <f t="shared" ca="1" si="66"/>
        <v>1189.8196332333464</v>
      </c>
      <c r="K154" s="289">
        <f t="shared" ca="1" si="66"/>
        <v>0</v>
      </c>
      <c r="L154" s="289">
        <f t="shared" ca="1" si="66"/>
        <v>0</v>
      </c>
      <c r="M154" s="289">
        <f t="shared" ca="1" si="66"/>
        <v>0</v>
      </c>
      <c r="N154" s="289">
        <f t="shared" ca="1" si="66"/>
        <v>0</v>
      </c>
      <c r="O154" s="289">
        <f t="shared" ca="1" si="66"/>
        <v>0</v>
      </c>
      <c r="P154" s="289">
        <f t="shared" ca="1" si="66"/>
        <v>0</v>
      </c>
      <c r="Q154" s="289">
        <f t="shared" ca="1" si="66"/>
        <v>0</v>
      </c>
      <c r="R154" s="289">
        <f t="shared" ca="1" si="66"/>
        <v>0</v>
      </c>
      <c r="S154" s="289">
        <f t="shared" ca="1" si="66"/>
        <v>0</v>
      </c>
      <c r="T154" s="289">
        <f t="shared" ca="1" si="66"/>
        <v>0</v>
      </c>
      <c r="U154" s="289">
        <f t="shared" ca="1" si="66"/>
        <v>0</v>
      </c>
      <c r="V154" s="289">
        <f t="shared" ca="1" si="66"/>
        <v>0</v>
      </c>
    </row>
    <row r="155" spans="1:22" ht="15" customHeight="1" x14ac:dyDescent="0.3">
      <c r="A155" s="12"/>
      <c r="B155" s="12"/>
      <c r="C155" s="303" t="s">
        <v>249</v>
      </c>
      <c r="D155" s="303"/>
      <c r="E155" s="276"/>
      <c r="F155" s="304">
        <f ca="1">SUM(H155:V155)</f>
        <v>-351018.32244544383</v>
      </c>
      <c r="G155" s="304"/>
      <c r="H155" s="304">
        <f t="shared" ref="H155:V155" ca="1" si="67">H154-H153</f>
        <v>2400000</v>
      </c>
      <c r="I155" s="304">
        <f t="shared" ca="1" si="67"/>
        <v>-2504117.1420786772</v>
      </c>
      <c r="J155" s="304">
        <f t="shared" ca="1" si="67"/>
        <v>-157565.18036676664</v>
      </c>
      <c r="K155" s="304">
        <f t="shared" ca="1" si="67"/>
        <v>-43215</v>
      </c>
      <c r="L155" s="304">
        <f t="shared" ca="1" si="67"/>
        <v>-46121</v>
      </c>
      <c r="M155" s="304">
        <f t="shared" ca="1" si="67"/>
        <v>0</v>
      </c>
      <c r="N155" s="304">
        <f t="shared" ca="1" si="67"/>
        <v>0</v>
      </c>
      <c r="O155" s="304">
        <f t="shared" ca="1" si="67"/>
        <v>0</v>
      </c>
      <c r="P155" s="304">
        <f t="shared" ca="1" si="67"/>
        <v>0</v>
      </c>
      <c r="Q155" s="304">
        <f t="shared" ca="1" si="67"/>
        <v>0</v>
      </c>
      <c r="R155" s="304">
        <f t="shared" ca="1" si="67"/>
        <v>0</v>
      </c>
      <c r="S155" s="304">
        <f t="shared" ca="1" si="67"/>
        <v>0</v>
      </c>
      <c r="T155" s="304">
        <f t="shared" ca="1" si="67"/>
        <v>0</v>
      </c>
      <c r="U155" s="304">
        <f t="shared" ca="1" si="67"/>
        <v>0</v>
      </c>
      <c r="V155" s="304">
        <f t="shared" ca="1" si="67"/>
        <v>0</v>
      </c>
    </row>
    <row r="156" spans="1:22" ht="15" customHeight="1" x14ac:dyDescent="0.3">
      <c r="A156" s="12"/>
      <c r="B156" s="12"/>
      <c r="C156" s="305"/>
      <c r="D156" s="305"/>
      <c r="E156" s="295"/>
      <c r="F156" s="306"/>
      <c r="G156" s="306"/>
      <c r="H156" s="306"/>
      <c r="I156" s="306"/>
      <c r="J156" s="306"/>
      <c r="K156" s="306"/>
      <c r="L156" s="306"/>
      <c r="M156" s="306"/>
      <c r="N156" s="306"/>
      <c r="O156" s="306"/>
      <c r="P156" s="306"/>
      <c r="Q156" s="306"/>
      <c r="R156" s="306"/>
      <c r="S156" s="306"/>
      <c r="T156" s="306"/>
      <c r="U156" s="306"/>
      <c r="V156" s="306"/>
    </row>
    <row r="157" spans="1:22" ht="15" customHeight="1" x14ac:dyDescent="0.3">
      <c r="A157" s="12"/>
      <c r="B157" s="12"/>
      <c r="C157" s="300" t="s">
        <v>267</v>
      </c>
      <c r="D157" s="300"/>
      <c r="E157" s="258"/>
      <c r="F157" s="301"/>
      <c r="G157" s="301"/>
      <c r="H157" s="301"/>
      <c r="I157" s="301"/>
      <c r="J157" s="301"/>
      <c r="K157" s="301"/>
      <c r="L157" s="301"/>
      <c r="M157" s="301"/>
      <c r="N157" s="301"/>
      <c r="O157" s="301"/>
      <c r="P157" s="301"/>
      <c r="Q157" s="301"/>
      <c r="R157" s="301"/>
      <c r="S157" s="301"/>
      <c r="T157" s="301"/>
      <c r="U157" s="301"/>
      <c r="V157" s="301"/>
    </row>
    <row r="158" spans="1:22" ht="15" customHeight="1" x14ac:dyDescent="0.3">
      <c r="A158" s="12"/>
      <c r="B158" s="12"/>
      <c r="C158" s="264" t="s">
        <v>247</v>
      </c>
      <c r="D158" s="264"/>
      <c r="E158" s="266"/>
      <c r="F158" s="296">
        <f>SUM(H158:V158)</f>
        <v>3132080</v>
      </c>
      <c r="G158" s="289"/>
      <c r="H158" s="302">
        <v>0</v>
      </c>
      <c r="I158" s="302">
        <v>92146</v>
      </c>
      <c r="J158" s="302">
        <v>131564</v>
      </c>
      <c r="K158" s="302">
        <v>143966</v>
      </c>
      <c r="L158" s="302">
        <v>159426</v>
      </c>
      <c r="M158" s="302">
        <v>177145</v>
      </c>
      <c r="N158" s="302">
        <v>195954</v>
      </c>
      <c r="O158" s="302">
        <v>1137395</v>
      </c>
      <c r="P158" s="302">
        <v>390513</v>
      </c>
      <c r="Q158" s="302">
        <v>40131</v>
      </c>
      <c r="R158" s="302">
        <v>43914</v>
      </c>
      <c r="S158" s="302">
        <v>48630</v>
      </c>
      <c r="T158" s="302">
        <v>54035</v>
      </c>
      <c r="U158" s="302">
        <v>59772</v>
      </c>
      <c r="V158" s="302">
        <v>457489</v>
      </c>
    </row>
    <row r="159" spans="1:22" ht="15" customHeight="1" x14ac:dyDescent="0.3">
      <c r="A159" s="12"/>
      <c r="B159" s="12"/>
      <c r="C159" s="264" t="s">
        <v>248</v>
      </c>
      <c r="D159" s="264"/>
      <c r="E159" s="266"/>
      <c r="F159" s="296">
        <f ca="1">SUM(H159:V159)</f>
        <v>2781060.6775545562</v>
      </c>
      <c r="G159" s="289"/>
      <c r="H159" s="289">
        <f t="shared" ref="H159:V159" ca="1" si="68">(H112)*-1</f>
        <v>0</v>
      </c>
      <c r="I159" s="289">
        <f t="shared" ca="1" si="68"/>
        <v>0</v>
      </c>
      <c r="J159" s="289">
        <f t="shared" ca="1" si="68"/>
        <v>0</v>
      </c>
      <c r="K159" s="289">
        <f t="shared" ca="1" si="68"/>
        <v>158595.43206912396</v>
      </c>
      <c r="L159" s="289">
        <f t="shared" ca="1" si="68"/>
        <v>180313.61659652987</v>
      </c>
      <c r="M159" s="289">
        <f t="shared" ca="1" si="68"/>
        <v>200001.61155503747</v>
      </c>
      <c r="N159" s="289">
        <f t="shared" ca="1" si="68"/>
        <v>221265.3510215492</v>
      </c>
      <c r="O159" s="289">
        <f t="shared" ca="1" si="68"/>
        <v>1165519.8968897187</v>
      </c>
      <c r="P159" s="289">
        <f t="shared" ca="1" si="68"/>
        <v>617226.26496221905</v>
      </c>
      <c r="Q159" s="289">
        <f t="shared" ca="1" si="68"/>
        <v>238138.50446037794</v>
      </c>
      <c r="R159" s="289">
        <f t="shared" ca="1" si="68"/>
        <v>0</v>
      </c>
      <c r="S159" s="289">
        <f t="shared" ca="1" si="68"/>
        <v>0</v>
      </c>
      <c r="T159" s="289">
        <f t="shared" ca="1" si="68"/>
        <v>0</v>
      </c>
      <c r="U159" s="289">
        <f t="shared" ca="1" si="68"/>
        <v>0</v>
      </c>
      <c r="V159" s="289">
        <f t="shared" ca="1" si="68"/>
        <v>0</v>
      </c>
    </row>
    <row r="160" spans="1:22" ht="15" customHeight="1" x14ac:dyDescent="0.3">
      <c r="A160" s="12"/>
      <c r="B160" s="12"/>
      <c r="C160" s="303" t="s">
        <v>249</v>
      </c>
      <c r="D160" s="303"/>
      <c r="E160" s="276"/>
      <c r="F160" s="304">
        <f ca="1">SUM(H160:V160)</f>
        <v>-351019.32244544383</v>
      </c>
      <c r="G160" s="304"/>
      <c r="H160" s="304">
        <f t="shared" ref="H160:V160" ca="1" si="69">H159-H158</f>
        <v>0</v>
      </c>
      <c r="I160" s="304">
        <f t="shared" ca="1" si="69"/>
        <v>-92146</v>
      </c>
      <c r="J160" s="304">
        <f t="shared" ca="1" si="69"/>
        <v>-131564</v>
      </c>
      <c r="K160" s="304">
        <f t="shared" ca="1" si="69"/>
        <v>14629.432069123955</v>
      </c>
      <c r="L160" s="304">
        <f t="shared" ca="1" si="69"/>
        <v>20887.616596529871</v>
      </c>
      <c r="M160" s="304">
        <f t="shared" ca="1" si="69"/>
        <v>22856.611555037467</v>
      </c>
      <c r="N160" s="304">
        <f t="shared" ca="1" si="69"/>
        <v>25311.351021549199</v>
      </c>
      <c r="O160" s="304">
        <f t="shared" ca="1" si="69"/>
        <v>28124.896889718715</v>
      </c>
      <c r="P160" s="304">
        <f t="shared" ca="1" si="69"/>
        <v>226713.26496221905</v>
      </c>
      <c r="Q160" s="304">
        <f t="shared" ca="1" si="69"/>
        <v>198007.50446037794</v>
      </c>
      <c r="R160" s="304">
        <f t="shared" ca="1" si="69"/>
        <v>-43914</v>
      </c>
      <c r="S160" s="304">
        <f t="shared" ca="1" si="69"/>
        <v>-48630</v>
      </c>
      <c r="T160" s="304">
        <f t="shared" ca="1" si="69"/>
        <v>-54035</v>
      </c>
      <c r="U160" s="304">
        <f t="shared" ca="1" si="69"/>
        <v>-59772</v>
      </c>
      <c r="V160" s="304">
        <f t="shared" ca="1" si="69"/>
        <v>-457489</v>
      </c>
    </row>
    <row r="161" spans="2:22" ht="15" customHeight="1" x14ac:dyDescent="0.3">
      <c r="C161" s="307"/>
      <c r="D161" s="307"/>
      <c r="E161" s="270"/>
      <c r="F161" s="308"/>
      <c r="G161" s="308"/>
      <c r="H161" s="308"/>
      <c r="I161" s="308"/>
      <c r="J161" s="308"/>
      <c r="K161" s="308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</row>
    <row r="162" spans="2:22" ht="15" customHeight="1" x14ac:dyDescent="0.3">
      <c r="C162" s="300" t="s">
        <v>268</v>
      </c>
      <c r="D162" s="300"/>
      <c r="E162" s="258"/>
      <c r="F162" s="301"/>
      <c r="G162" s="301"/>
      <c r="H162" s="301"/>
      <c r="I162" s="301"/>
      <c r="J162" s="301"/>
      <c r="K162" s="301"/>
      <c r="L162" s="301"/>
      <c r="M162" s="301"/>
      <c r="N162" s="301"/>
      <c r="O162" s="301"/>
      <c r="P162" s="301"/>
      <c r="Q162" s="301"/>
      <c r="R162" s="301"/>
      <c r="S162" s="301"/>
      <c r="T162" s="301"/>
      <c r="U162" s="301"/>
      <c r="V162" s="301"/>
    </row>
    <row r="163" spans="2:22" ht="15" customHeight="1" x14ac:dyDescent="0.3">
      <c r="C163" s="264" t="s">
        <v>247</v>
      </c>
      <c r="D163" s="264"/>
      <c r="E163" s="266"/>
      <c r="F163" s="296">
        <f>SUM(H163:V163)</f>
        <v>160320</v>
      </c>
      <c r="G163" s="289"/>
      <c r="H163" s="302">
        <v>0</v>
      </c>
      <c r="I163" s="302">
        <v>30491</v>
      </c>
      <c r="J163" s="302">
        <v>40493</v>
      </c>
      <c r="K163" s="302">
        <v>43215</v>
      </c>
      <c r="L163" s="302">
        <v>46121</v>
      </c>
      <c r="M163" s="302">
        <v>0</v>
      </c>
      <c r="N163" s="302">
        <v>0</v>
      </c>
      <c r="O163" s="302">
        <v>0</v>
      </c>
      <c r="P163" s="302">
        <v>0</v>
      </c>
      <c r="Q163" s="302">
        <v>0</v>
      </c>
      <c r="R163" s="302">
        <v>0</v>
      </c>
      <c r="S163" s="302">
        <v>0</v>
      </c>
      <c r="T163" s="302">
        <v>0</v>
      </c>
      <c r="U163" s="302">
        <v>0</v>
      </c>
      <c r="V163" s="302">
        <v>0</v>
      </c>
    </row>
    <row r="164" spans="2:22" ht="15" customHeight="1" x14ac:dyDescent="0.3">
      <c r="C164" s="264" t="s">
        <v>269</v>
      </c>
      <c r="D164" s="264"/>
      <c r="E164" s="266"/>
      <c r="F164" s="296">
        <f ca="1">SUM(H164:V164)</f>
        <v>95030.658635355168</v>
      </c>
      <c r="G164" s="289"/>
      <c r="H164" s="289">
        <f t="shared" ref="H164:V164" ca="1" si="70">(-H122)*-1</f>
        <v>0</v>
      </c>
      <c r="I164" s="289">
        <f t="shared" ca="1" si="70"/>
        <v>23931.864049043332</v>
      </c>
      <c r="J164" s="289">
        <f t="shared" ca="1" si="70"/>
        <v>24006.822685937033</v>
      </c>
      <c r="K164" s="289">
        <f t="shared" ca="1" si="70"/>
        <v>24006.822685937033</v>
      </c>
      <c r="L164" s="289">
        <f t="shared" ca="1" si="70"/>
        <v>23085.149214437773</v>
      </c>
      <c r="M164" s="289">
        <f t="shared" ca="1" si="70"/>
        <v>0</v>
      </c>
      <c r="N164" s="289">
        <f t="shared" ca="1" si="70"/>
        <v>0</v>
      </c>
      <c r="O164" s="289">
        <f t="shared" ca="1" si="70"/>
        <v>0</v>
      </c>
      <c r="P164" s="289">
        <f t="shared" ca="1" si="70"/>
        <v>0</v>
      </c>
      <c r="Q164" s="289">
        <f t="shared" ca="1" si="70"/>
        <v>0</v>
      </c>
      <c r="R164" s="289">
        <f t="shared" ca="1" si="70"/>
        <v>0</v>
      </c>
      <c r="S164" s="289">
        <f t="shared" ca="1" si="70"/>
        <v>0</v>
      </c>
      <c r="T164" s="289">
        <f t="shared" ca="1" si="70"/>
        <v>0</v>
      </c>
      <c r="U164" s="289">
        <f t="shared" ca="1" si="70"/>
        <v>0</v>
      </c>
      <c r="V164" s="289">
        <f t="shared" ca="1" si="70"/>
        <v>0</v>
      </c>
    </row>
    <row r="165" spans="2:22" ht="15" customHeight="1" x14ac:dyDescent="0.3">
      <c r="C165" s="303" t="s">
        <v>249</v>
      </c>
      <c r="D165" s="303"/>
      <c r="E165" s="276"/>
      <c r="F165" s="304">
        <f ca="1">SUM(H165:V165)</f>
        <v>-65289.341364644832</v>
      </c>
      <c r="G165" s="304"/>
      <c r="H165" s="304">
        <f t="shared" ref="H165:V165" ca="1" si="71">H164-H163</f>
        <v>0</v>
      </c>
      <c r="I165" s="304">
        <f t="shared" ca="1" si="71"/>
        <v>-6559.1359509566682</v>
      </c>
      <c r="J165" s="304">
        <f t="shared" ca="1" si="71"/>
        <v>-16486.177314062967</v>
      </c>
      <c r="K165" s="304">
        <f t="shared" ca="1" si="71"/>
        <v>-19208.177314062967</v>
      </c>
      <c r="L165" s="304">
        <f t="shared" ca="1" si="71"/>
        <v>-23035.850785562227</v>
      </c>
      <c r="M165" s="304">
        <f t="shared" ca="1" si="71"/>
        <v>0</v>
      </c>
      <c r="N165" s="304">
        <f t="shared" ca="1" si="71"/>
        <v>0</v>
      </c>
      <c r="O165" s="304">
        <f t="shared" ca="1" si="71"/>
        <v>0</v>
      </c>
      <c r="P165" s="304">
        <f t="shared" ca="1" si="71"/>
        <v>0</v>
      </c>
      <c r="Q165" s="304">
        <f t="shared" ca="1" si="71"/>
        <v>0</v>
      </c>
      <c r="R165" s="304">
        <f t="shared" ca="1" si="71"/>
        <v>0</v>
      </c>
      <c r="S165" s="304">
        <f t="shared" ca="1" si="71"/>
        <v>0</v>
      </c>
      <c r="T165" s="304">
        <f t="shared" ca="1" si="71"/>
        <v>0</v>
      </c>
      <c r="U165" s="304">
        <f t="shared" ca="1" si="71"/>
        <v>0</v>
      </c>
      <c r="V165" s="304">
        <f t="shared" ca="1" si="71"/>
        <v>0</v>
      </c>
    </row>
    <row r="166" spans="2:22" ht="15" customHeight="1" x14ac:dyDescent="0.3">
      <c r="C166" s="307"/>
      <c r="D166" s="307"/>
      <c r="E166" s="270"/>
      <c r="F166" s="308"/>
      <c r="G166" s="308"/>
      <c r="H166" s="308"/>
      <c r="I166" s="308"/>
      <c r="J166" s="308"/>
      <c r="K166" s="308"/>
      <c r="L166" s="308"/>
      <c r="M166" s="308"/>
      <c r="N166" s="308"/>
      <c r="O166" s="308"/>
      <c r="P166" s="308"/>
      <c r="Q166" s="308"/>
      <c r="R166" s="308"/>
      <c r="S166" s="308"/>
      <c r="T166" s="308"/>
      <c r="U166" s="308"/>
      <c r="V166" s="308"/>
    </row>
    <row r="167" spans="2:22" ht="15" customHeight="1" x14ac:dyDescent="0.3">
      <c r="C167" s="300" t="s">
        <v>270</v>
      </c>
      <c r="D167" s="300"/>
      <c r="E167" s="258"/>
      <c r="F167" s="301"/>
      <c r="G167" s="301"/>
      <c r="H167" s="301"/>
      <c r="I167" s="301"/>
      <c r="J167" s="301"/>
      <c r="K167" s="301"/>
      <c r="L167" s="301"/>
      <c r="M167" s="301"/>
      <c r="N167" s="301"/>
      <c r="O167" s="301"/>
      <c r="P167" s="301"/>
      <c r="Q167" s="301"/>
      <c r="R167" s="301"/>
      <c r="S167" s="301"/>
      <c r="T167" s="301"/>
      <c r="U167" s="301"/>
      <c r="V167" s="301"/>
    </row>
    <row r="168" spans="2:22" ht="15" customHeight="1" x14ac:dyDescent="0.3">
      <c r="C168" s="264" t="s">
        <v>247</v>
      </c>
      <c r="D168" s="264"/>
      <c r="E168" s="266"/>
      <c r="F168" s="296">
        <f>SUM(H168:V168)</f>
        <v>-7321</v>
      </c>
      <c r="G168" s="289"/>
      <c r="H168" s="302">
        <v>0</v>
      </c>
      <c r="I168" s="302">
        <v>-7321</v>
      </c>
      <c r="J168" s="302">
        <v>0</v>
      </c>
      <c r="K168" s="302">
        <v>0</v>
      </c>
      <c r="L168" s="302">
        <v>0</v>
      </c>
      <c r="M168" s="302">
        <v>0</v>
      </c>
      <c r="N168" s="302">
        <v>0</v>
      </c>
      <c r="O168" s="302">
        <v>0</v>
      </c>
      <c r="P168" s="302">
        <v>0</v>
      </c>
      <c r="Q168" s="302">
        <v>0</v>
      </c>
      <c r="R168" s="302">
        <v>0</v>
      </c>
      <c r="S168" s="302">
        <v>0</v>
      </c>
      <c r="T168" s="302">
        <v>0</v>
      </c>
      <c r="U168" s="302">
        <v>0</v>
      </c>
      <c r="V168" s="302">
        <v>0</v>
      </c>
    </row>
    <row r="169" spans="2:22" ht="15" customHeight="1" x14ac:dyDescent="0.3">
      <c r="C169" s="264" t="s">
        <v>248</v>
      </c>
      <c r="D169" s="264"/>
      <c r="E169" s="266"/>
      <c r="F169" s="296">
        <f ca="1">SUM(H169:V169)</f>
        <v>-3810.606775545561</v>
      </c>
      <c r="G169" s="289"/>
      <c r="H169" s="289">
        <f t="shared" ref="H169:V169" si="72">-H123</f>
        <v>0</v>
      </c>
      <c r="I169" s="289">
        <f t="shared" ca="1" si="72"/>
        <v>-3810.606775545561</v>
      </c>
      <c r="J169" s="289">
        <f t="shared" si="72"/>
        <v>0</v>
      </c>
      <c r="K169" s="289">
        <f t="shared" si="72"/>
        <v>0</v>
      </c>
      <c r="L169" s="289">
        <f t="shared" si="72"/>
        <v>0</v>
      </c>
      <c r="M169" s="289">
        <f t="shared" si="72"/>
        <v>0</v>
      </c>
      <c r="N169" s="289">
        <f t="shared" si="72"/>
        <v>0</v>
      </c>
      <c r="O169" s="289">
        <f t="shared" si="72"/>
        <v>0</v>
      </c>
      <c r="P169" s="289">
        <f t="shared" si="72"/>
        <v>0</v>
      </c>
      <c r="Q169" s="289">
        <f t="shared" si="72"/>
        <v>0</v>
      </c>
      <c r="R169" s="289">
        <f t="shared" si="72"/>
        <v>0</v>
      </c>
      <c r="S169" s="289">
        <f t="shared" si="72"/>
        <v>0</v>
      </c>
      <c r="T169" s="289">
        <f t="shared" si="72"/>
        <v>0</v>
      </c>
      <c r="U169" s="289">
        <f t="shared" si="72"/>
        <v>0</v>
      </c>
      <c r="V169" s="289">
        <f t="shared" si="72"/>
        <v>0</v>
      </c>
    </row>
    <row r="170" spans="2:22" ht="15" customHeight="1" x14ac:dyDescent="0.3">
      <c r="C170" s="303" t="s">
        <v>249</v>
      </c>
      <c r="D170" s="303"/>
      <c r="E170" s="276"/>
      <c r="F170" s="304">
        <f ca="1">SUM(H170:V170)</f>
        <v>3510.393224454439</v>
      </c>
      <c r="G170" s="304"/>
      <c r="H170" s="304">
        <f t="shared" ref="H170:V170" si="73">H169-H168</f>
        <v>0</v>
      </c>
      <c r="I170" s="304">
        <f t="shared" ca="1" si="73"/>
        <v>3510.393224454439</v>
      </c>
      <c r="J170" s="304">
        <f t="shared" si="73"/>
        <v>0</v>
      </c>
      <c r="K170" s="304">
        <f t="shared" si="73"/>
        <v>0</v>
      </c>
      <c r="L170" s="304">
        <f t="shared" si="73"/>
        <v>0</v>
      </c>
      <c r="M170" s="304">
        <f t="shared" si="73"/>
        <v>0</v>
      </c>
      <c r="N170" s="304">
        <f t="shared" si="73"/>
        <v>0</v>
      </c>
      <c r="O170" s="304">
        <f t="shared" si="73"/>
        <v>0</v>
      </c>
      <c r="P170" s="304">
        <f t="shared" si="73"/>
        <v>0</v>
      </c>
      <c r="Q170" s="304">
        <f t="shared" si="73"/>
        <v>0</v>
      </c>
      <c r="R170" s="304">
        <f t="shared" si="73"/>
        <v>0</v>
      </c>
      <c r="S170" s="304">
        <f t="shared" si="73"/>
        <v>0</v>
      </c>
      <c r="T170" s="304">
        <f t="shared" si="73"/>
        <v>0</v>
      </c>
      <c r="U170" s="304">
        <f t="shared" si="73"/>
        <v>0</v>
      </c>
      <c r="V170" s="304">
        <f t="shared" si="73"/>
        <v>0</v>
      </c>
    </row>
    <row r="171" spans="2:22" ht="15" customHeight="1" x14ac:dyDescent="0.3">
      <c r="C171" s="265"/>
      <c r="D171" s="265"/>
      <c r="E171" s="270"/>
      <c r="F171" s="265"/>
      <c r="G171" s="265"/>
      <c r="H171" s="265"/>
      <c r="I171" s="265"/>
      <c r="J171" s="265"/>
      <c r="K171" s="265"/>
      <c r="L171" s="265"/>
      <c r="M171" s="265"/>
      <c r="N171" s="265"/>
      <c r="O171" s="265"/>
      <c r="P171" s="265"/>
      <c r="Q171" s="265"/>
      <c r="R171" s="265"/>
      <c r="S171" s="265"/>
      <c r="T171" s="265"/>
      <c r="U171" s="265"/>
      <c r="V171" s="265"/>
    </row>
    <row r="172" spans="2:22" ht="15" customHeight="1" x14ac:dyDescent="0.3">
      <c r="C172" s="254" t="s">
        <v>250</v>
      </c>
      <c r="D172" s="254"/>
      <c r="E172" s="255"/>
      <c r="F172" s="254"/>
      <c r="G172" s="254"/>
      <c r="H172" s="254"/>
      <c r="I172" s="254"/>
      <c r="J172" s="254"/>
      <c r="K172" s="254"/>
      <c r="L172" s="254"/>
      <c r="M172" s="254"/>
      <c r="N172" s="254"/>
      <c r="O172" s="254"/>
      <c r="P172" s="254"/>
      <c r="Q172" s="254"/>
      <c r="R172" s="254"/>
      <c r="S172" s="254"/>
      <c r="T172" s="254"/>
      <c r="U172" s="254"/>
      <c r="V172" s="254"/>
    </row>
    <row r="173" spans="2:22" ht="15" customHeight="1" x14ac:dyDescent="0.3"/>
    <row r="174" spans="2:22" ht="15" customHeight="1" x14ac:dyDescent="0.3">
      <c r="B174" s="21" t="s">
        <v>193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</row>
    <row r="175" spans="2:22" ht="15" customHeight="1" x14ac:dyDescent="0.3"/>
    <row r="176" spans="2:22" ht="15" customHeight="1" x14ac:dyDescent="0.3"/>
    <row r="177" ht="15" customHeight="1" x14ac:dyDescent="0.3"/>
    <row r="178" ht="15" customHeight="1" x14ac:dyDescent="0.3"/>
    <row r="179" ht="15" customHeight="1" x14ac:dyDescent="0.3"/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FD89C-0AD7-4A9E-9AA4-017DBCC73C85}">
  <sheetPr codeName="Sheet3">
    <pageSetUpPr fitToPage="1"/>
  </sheetPr>
  <dimension ref="B1:S67"/>
  <sheetViews>
    <sheetView showGridLines="0" zoomScale="80" zoomScaleNormal="80" zoomScaleSheetLayoutView="70" workbookViewId="0">
      <pane xSplit="4" ySplit="4" topLeftCell="E31" activePane="bottomRight" state="frozen"/>
      <selection pane="topRight" activeCell="D1" sqref="D1"/>
      <selection pane="bottomLeft" activeCell="A5" sqref="A5"/>
      <selection pane="bottomRight" activeCell="F53" sqref="F53"/>
    </sheetView>
  </sheetViews>
  <sheetFormatPr defaultColWidth="8.6640625" defaultRowHeight="12.6" x14ac:dyDescent="0.3"/>
  <cols>
    <col min="1" max="1" width="3.33203125" style="8" customWidth="1"/>
    <col min="2" max="2" width="45" style="8" customWidth="1"/>
    <col min="3" max="3" width="11.5546875" style="20" customWidth="1"/>
    <col min="4" max="4" width="12.77734375" style="8" customWidth="1"/>
    <col min="5" max="19" width="13" style="8" customWidth="1"/>
    <col min="20" max="16384" width="8.6640625" style="8"/>
  </cols>
  <sheetData>
    <row r="1" spans="2:19" ht="15" customHeight="1" x14ac:dyDescent="0.3">
      <c r="B1" s="139" t="s">
        <v>563</v>
      </c>
      <c r="C1" s="140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</row>
    <row r="2" spans="2:19" ht="15" customHeight="1" x14ac:dyDescent="0.3">
      <c r="B2" s="141" t="s">
        <v>564</v>
      </c>
      <c r="C2" s="142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</row>
    <row r="3" spans="2:19" ht="15" customHeight="1" x14ac:dyDescent="0.3">
      <c r="B3" s="141" t="s">
        <v>570</v>
      </c>
    </row>
    <row r="4" spans="2:19" ht="15" customHeight="1" x14ac:dyDescent="0.3">
      <c r="B4" s="74" t="s">
        <v>0</v>
      </c>
      <c r="C4" s="74" t="s">
        <v>43</v>
      </c>
      <c r="D4" s="74" t="s">
        <v>23</v>
      </c>
      <c r="E4" s="74">
        <v>2025</v>
      </c>
      <c r="F4" s="74">
        <f t="shared" ref="F4:S4" si="0">E4+1</f>
        <v>2026</v>
      </c>
      <c r="G4" s="74">
        <f t="shared" si="0"/>
        <v>2027</v>
      </c>
      <c r="H4" s="74">
        <f t="shared" si="0"/>
        <v>2028</v>
      </c>
      <c r="I4" s="74">
        <f t="shared" si="0"/>
        <v>2029</v>
      </c>
      <c r="J4" s="74">
        <f t="shared" si="0"/>
        <v>2030</v>
      </c>
      <c r="K4" s="74">
        <f t="shared" si="0"/>
        <v>2031</v>
      </c>
      <c r="L4" s="74">
        <f t="shared" si="0"/>
        <v>2032</v>
      </c>
      <c r="M4" s="74">
        <f t="shared" si="0"/>
        <v>2033</v>
      </c>
      <c r="N4" s="74">
        <f t="shared" si="0"/>
        <v>2034</v>
      </c>
      <c r="O4" s="74">
        <f t="shared" si="0"/>
        <v>2035</v>
      </c>
      <c r="P4" s="74">
        <f t="shared" si="0"/>
        <v>2036</v>
      </c>
      <c r="Q4" s="74">
        <f t="shared" si="0"/>
        <v>2037</v>
      </c>
      <c r="R4" s="74">
        <f t="shared" si="0"/>
        <v>2038</v>
      </c>
      <c r="S4" s="74">
        <f t="shared" si="0"/>
        <v>2039</v>
      </c>
    </row>
    <row r="5" spans="2:19" ht="15" customHeight="1" x14ac:dyDescent="0.3">
      <c r="B5" s="143" t="s">
        <v>4</v>
      </c>
      <c r="C5" s="144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</row>
    <row r="6" spans="2:19" ht="15" customHeight="1" x14ac:dyDescent="0.3">
      <c r="B6" s="95" t="str">
        <f>CF!B8</f>
        <v xml:space="preserve">Pre-Sales from Branded Apartments T2 &amp; T3 </v>
      </c>
      <c r="C6" s="312">
        <v>2</v>
      </c>
      <c r="D6" s="181">
        <f t="shared" ref="D6:D11" si="1">SUM(E6:S6)</f>
        <v>2539826.8929531374</v>
      </c>
      <c r="E6" s="182">
        <f>Revenue!L164</f>
        <v>0</v>
      </c>
      <c r="F6" s="182">
        <f>Revenue!M164</f>
        <v>42332.123478303729</v>
      </c>
      <c r="G6" s="182">
        <f>Revenue!N164</f>
        <v>550297.50206893124</v>
      </c>
      <c r="H6" s="182">
        <f>Revenue!O164</f>
        <v>1058262.8806595586</v>
      </c>
      <c r="I6" s="182">
        <f>Revenue!P164</f>
        <v>888934.38674634369</v>
      </c>
      <c r="J6" s="182">
        <f>Revenue!Q164</f>
        <v>0</v>
      </c>
      <c r="K6" s="182">
        <f>Revenue!R164</f>
        <v>0</v>
      </c>
      <c r="L6" s="182">
        <f>Revenue!S164</f>
        <v>0</v>
      </c>
      <c r="M6" s="182">
        <f>Revenue!T164</f>
        <v>0</v>
      </c>
      <c r="N6" s="182">
        <f>Revenue!U164</f>
        <v>0</v>
      </c>
      <c r="O6" s="182">
        <f>Revenue!V164</f>
        <v>0</v>
      </c>
      <c r="P6" s="182">
        <f>Revenue!W164</f>
        <v>0</v>
      </c>
      <c r="Q6" s="182">
        <f>Revenue!X164</f>
        <v>0</v>
      </c>
      <c r="R6" s="182">
        <f>Revenue!Y164</f>
        <v>0</v>
      </c>
      <c r="S6" s="182">
        <f>Revenue!Z164</f>
        <v>0</v>
      </c>
    </row>
    <row r="7" spans="2:19" ht="15" customHeight="1" x14ac:dyDescent="0.3">
      <c r="B7" s="95" t="str">
        <f>CF!B9</f>
        <v xml:space="preserve">Pre-Sales from Branded Apartments T4 &amp; T5 </v>
      </c>
      <c r="C7" s="312">
        <v>3</v>
      </c>
      <c r="D7" s="181">
        <f t="shared" si="1"/>
        <v>1594796.9999999998</v>
      </c>
      <c r="E7" s="182">
        <f>Revenue!L165</f>
        <v>0</v>
      </c>
      <c r="F7" s="182">
        <f>Revenue!M165</f>
        <v>0</v>
      </c>
      <c r="G7" s="182">
        <f>Revenue!N165</f>
        <v>159479.69999999998</v>
      </c>
      <c r="H7" s="182">
        <f>Revenue!O165</f>
        <v>478439.1</v>
      </c>
      <c r="I7" s="182">
        <f>Revenue!P165</f>
        <v>797398.5</v>
      </c>
      <c r="J7" s="182">
        <f>Revenue!Q165</f>
        <v>159479.70000000001</v>
      </c>
      <c r="K7" s="182">
        <f>Revenue!R165</f>
        <v>0</v>
      </c>
      <c r="L7" s="182">
        <f>Revenue!S165</f>
        <v>0</v>
      </c>
      <c r="M7" s="182">
        <f>Revenue!T165</f>
        <v>0</v>
      </c>
      <c r="N7" s="182">
        <f>Revenue!U165</f>
        <v>0</v>
      </c>
      <c r="O7" s="182">
        <f>Revenue!V165</f>
        <v>0</v>
      </c>
      <c r="P7" s="182">
        <f>Revenue!W165</f>
        <v>0</v>
      </c>
      <c r="Q7" s="182">
        <f>Revenue!X165</f>
        <v>0</v>
      </c>
      <c r="R7" s="182">
        <f>Revenue!Y165</f>
        <v>0</v>
      </c>
      <c r="S7" s="182">
        <f>Revenue!Z165</f>
        <v>0</v>
      </c>
    </row>
    <row r="8" spans="2:19" ht="15" customHeight="1" x14ac:dyDescent="0.3">
      <c r="B8" s="95" t="str">
        <f>CF!B10</f>
        <v xml:space="preserve">Pre-Sales from Residential Tower 01 </v>
      </c>
      <c r="C8" s="312">
        <v>2</v>
      </c>
      <c r="D8" s="181">
        <f t="shared" si="1"/>
        <v>838610.8</v>
      </c>
      <c r="E8" s="182">
        <f>Revenue!L166</f>
        <v>0</v>
      </c>
      <c r="F8" s="182">
        <f>Revenue!M166</f>
        <v>0</v>
      </c>
      <c r="G8" s="182">
        <f>Revenue!N166</f>
        <v>0</v>
      </c>
      <c r="H8" s="182">
        <f>Revenue!O166</f>
        <v>0</v>
      </c>
      <c r="I8" s="182">
        <f>Revenue!P166</f>
        <v>0</v>
      </c>
      <c r="J8" s="182">
        <f>Revenue!Q166</f>
        <v>838610.8</v>
      </c>
      <c r="K8" s="182">
        <f>Revenue!R166</f>
        <v>0</v>
      </c>
      <c r="L8" s="182">
        <f>Revenue!S166</f>
        <v>0</v>
      </c>
      <c r="M8" s="182">
        <f>Revenue!T166</f>
        <v>0</v>
      </c>
      <c r="N8" s="182">
        <f>Revenue!U166</f>
        <v>0</v>
      </c>
      <c r="O8" s="182">
        <f>Revenue!V166</f>
        <v>0</v>
      </c>
      <c r="P8" s="182">
        <f>Revenue!W166</f>
        <v>0</v>
      </c>
      <c r="Q8" s="182">
        <f>Revenue!X166</f>
        <v>0</v>
      </c>
      <c r="R8" s="182">
        <f>Revenue!Y166</f>
        <v>0</v>
      </c>
      <c r="S8" s="182">
        <f>Revenue!Z166</f>
        <v>0</v>
      </c>
    </row>
    <row r="9" spans="2:19" ht="15" customHeight="1" x14ac:dyDescent="0.3">
      <c r="B9" s="95" t="str">
        <f>CF!B11</f>
        <v>Branded Apartments T2 &amp; T3</v>
      </c>
      <c r="C9" s="312">
        <v>2</v>
      </c>
      <c r="D9" s="181">
        <f t="shared" si="1"/>
        <v>282214.15652202489</v>
      </c>
      <c r="E9" s="182">
        <f>Revenue!L167</f>
        <v>0</v>
      </c>
      <c r="F9" s="182">
        <f>Revenue!M167</f>
        <v>0</v>
      </c>
      <c r="G9" s="182">
        <f>Revenue!N167</f>
        <v>0</v>
      </c>
      <c r="H9" s="182">
        <f>Revenue!O167</f>
        <v>0</v>
      </c>
      <c r="I9" s="182">
        <f>Revenue!P167</f>
        <v>0</v>
      </c>
      <c r="J9" s="182">
        <f>Revenue!Q167</f>
        <v>282214.15652202489</v>
      </c>
      <c r="K9" s="182">
        <f>Revenue!R167</f>
        <v>0</v>
      </c>
      <c r="L9" s="182">
        <f>Revenue!S167</f>
        <v>0</v>
      </c>
      <c r="M9" s="182">
        <f>Revenue!T167</f>
        <v>0</v>
      </c>
      <c r="N9" s="182">
        <f>Revenue!U167</f>
        <v>0</v>
      </c>
      <c r="O9" s="182">
        <f>Revenue!V167</f>
        <v>0</v>
      </c>
      <c r="P9" s="182">
        <f>Revenue!W167</f>
        <v>0</v>
      </c>
      <c r="Q9" s="182">
        <f>Revenue!X167</f>
        <v>0</v>
      </c>
      <c r="R9" s="182">
        <f>Revenue!Y167</f>
        <v>0</v>
      </c>
      <c r="S9" s="182">
        <f>Revenue!Z167</f>
        <v>0</v>
      </c>
    </row>
    <row r="10" spans="2:19" ht="15" customHeight="1" x14ac:dyDescent="0.3">
      <c r="B10" s="95" t="str">
        <f>CF!B12</f>
        <v xml:space="preserve">Branded Apartments T4 &amp; T5 </v>
      </c>
      <c r="C10" s="312">
        <v>3</v>
      </c>
      <c r="D10" s="181">
        <f t="shared" si="1"/>
        <v>1063227</v>
      </c>
      <c r="E10" s="182">
        <f>Revenue!L168</f>
        <v>0</v>
      </c>
      <c r="F10" s="182">
        <f>Revenue!M168</f>
        <v>0</v>
      </c>
      <c r="G10" s="182">
        <f>Revenue!N168</f>
        <v>0</v>
      </c>
      <c r="H10" s="182">
        <f>Revenue!O168</f>
        <v>0</v>
      </c>
      <c r="I10" s="182">
        <f>Revenue!P168</f>
        <v>0</v>
      </c>
      <c r="J10" s="182">
        <f>Revenue!Q168</f>
        <v>797413</v>
      </c>
      <c r="K10" s="182">
        <f>Revenue!R168</f>
        <v>265814</v>
      </c>
      <c r="L10" s="182">
        <f>Revenue!S168</f>
        <v>0</v>
      </c>
      <c r="M10" s="182">
        <f>Revenue!T168</f>
        <v>0</v>
      </c>
      <c r="N10" s="182">
        <f>Revenue!U168</f>
        <v>0</v>
      </c>
      <c r="O10" s="182">
        <f>Revenue!V168</f>
        <v>0</v>
      </c>
      <c r="P10" s="182">
        <f>Revenue!W168</f>
        <v>0</v>
      </c>
      <c r="Q10" s="182">
        <f>Revenue!X168</f>
        <v>0</v>
      </c>
      <c r="R10" s="182">
        <f>Revenue!Y168</f>
        <v>0</v>
      </c>
      <c r="S10" s="182">
        <f>Revenue!Z168</f>
        <v>0</v>
      </c>
    </row>
    <row r="11" spans="2:19" ht="15" customHeight="1" x14ac:dyDescent="0.3">
      <c r="B11" s="95" t="str">
        <f>CF!B13</f>
        <v>Residential Tower 01</v>
      </c>
      <c r="C11" s="312">
        <v>2</v>
      </c>
      <c r="D11" s="181">
        <f t="shared" si="1"/>
        <v>90301.2</v>
      </c>
      <c r="E11" s="182">
        <f>Revenue!L169</f>
        <v>0</v>
      </c>
      <c r="F11" s="182">
        <f>Revenue!M169</f>
        <v>0</v>
      </c>
      <c r="G11" s="182">
        <f>Revenue!N169</f>
        <v>0</v>
      </c>
      <c r="H11" s="182">
        <f>Revenue!O169</f>
        <v>0</v>
      </c>
      <c r="I11" s="182">
        <f>Revenue!P169</f>
        <v>0</v>
      </c>
      <c r="J11" s="182">
        <f>Revenue!Q169</f>
        <v>90301.2</v>
      </c>
      <c r="K11" s="182">
        <f>Revenue!R169</f>
        <v>0</v>
      </c>
      <c r="L11" s="182">
        <f>Revenue!S169</f>
        <v>0</v>
      </c>
      <c r="M11" s="182">
        <f>Revenue!T169</f>
        <v>0</v>
      </c>
      <c r="N11" s="182">
        <f>Revenue!U169</f>
        <v>0</v>
      </c>
      <c r="O11" s="182">
        <f>Revenue!V169</f>
        <v>0</v>
      </c>
      <c r="P11" s="182">
        <f>Revenue!W169</f>
        <v>0</v>
      </c>
      <c r="Q11" s="182">
        <f>Revenue!X169</f>
        <v>0</v>
      </c>
      <c r="R11" s="182">
        <f>Revenue!Y169</f>
        <v>0</v>
      </c>
      <c r="S11" s="182">
        <f>Revenue!Z169</f>
        <v>0</v>
      </c>
    </row>
    <row r="12" spans="2:19" ht="15" customHeight="1" x14ac:dyDescent="0.3">
      <c r="B12" s="146" t="s">
        <v>3</v>
      </c>
      <c r="C12" s="147"/>
      <c r="D12" s="183">
        <f>SUM(D6:D11)</f>
        <v>6408977.0494751623</v>
      </c>
      <c r="E12" s="183">
        <f>SUM(E6:E11)</f>
        <v>0</v>
      </c>
      <c r="F12" s="183">
        <f t="shared" ref="F12:S12" si="2">SUM(F6:F11)</f>
        <v>42332.123478303729</v>
      </c>
      <c r="G12" s="183">
        <f t="shared" si="2"/>
        <v>709777.20206893119</v>
      </c>
      <c r="H12" s="183">
        <f t="shared" si="2"/>
        <v>1536701.9806595584</v>
      </c>
      <c r="I12" s="183">
        <f t="shared" si="2"/>
        <v>1686332.8867463437</v>
      </c>
      <c r="J12" s="183">
        <f t="shared" si="2"/>
        <v>2168018.8565220251</v>
      </c>
      <c r="K12" s="183">
        <f t="shared" si="2"/>
        <v>265814</v>
      </c>
      <c r="L12" s="183">
        <f t="shared" si="2"/>
        <v>0</v>
      </c>
      <c r="M12" s="183">
        <f t="shared" si="2"/>
        <v>0</v>
      </c>
      <c r="N12" s="183">
        <f t="shared" si="2"/>
        <v>0</v>
      </c>
      <c r="O12" s="183">
        <f t="shared" si="2"/>
        <v>0</v>
      </c>
      <c r="P12" s="183">
        <f t="shared" si="2"/>
        <v>0</v>
      </c>
      <c r="Q12" s="183">
        <f t="shared" si="2"/>
        <v>0</v>
      </c>
      <c r="R12" s="183">
        <f t="shared" si="2"/>
        <v>0</v>
      </c>
      <c r="S12" s="183">
        <f t="shared" si="2"/>
        <v>0</v>
      </c>
    </row>
    <row r="13" spans="2:19" ht="15" customHeight="1" x14ac:dyDescent="0.3">
      <c r="B13" s="95"/>
      <c r="C13" s="14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2:19" ht="15" customHeight="1" x14ac:dyDescent="0.3">
      <c r="B14" s="143" t="s">
        <v>5</v>
      </c>
      <c r="C14" s="144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</row>
    <row r="15" spans="2:19" ht="15" customHeight="1" x14ac:dyDescent="0.3">
      <c r="B15" s="95" t="s">
        <v>6</v>
      </c>
      <c r="C15" s="312">
        <v>1</v>
      </c>
      <c r="D15" s="181">
        <f>SUM(E15:S15)</f>
        <v>5814328.8520875061</v>
      </c>
      <c r="E15" s="182">
        <f>Revenue!L223</f>
        <v>0</v>
      </c>
      <c r="F15" s="182">
        <f>Revenue!M223</f>
        <v>323867.37000000005</v>
      </c>
      <c r="G15" s="182">
        <f>Revenue!N223</f>
        <v>336217.37000000017</v>
      </c>
      <c r="H15" s="182">
        <f>Revenue!O223</f>
        <v>348567.37000000005</v>
      </c>
      <c r="I15" s="182">
        <f>Revenue!P223</f>
        <v>362217.37000000011</v>
      </c>
      <c r="J15" s="182">
        <f>Revenue!Q223</f>
        <v>377617.37000000017</v>
      </c>
      <c r="K15" s="182">
        <f>Revenue!R223</f>
        <v>400216.51029168075</v>
      </c>
      <c r="L15" s="182">
        <f>Revenue!S223</f>
        <v>412223.00560043112</v>
      </c>
      <c r="M15" s="182">
        <f>Revenue!T223</f>
        <v>424589.69576844398</v>
      </c>
      <c r="N15" s="182">
        <f>Revenue!U223</f>
        <v>437327.38664149726</v>
      </c>
      <c r="O15" s="182">
        <f>Revenue!V223</f>
        <v>450447.20824074215</v>
      </c>
      <c r="P15" s="182">
        <f>Revenue!W223</f>
        <v>463960.62448796479</v>
      </c>
      <c r="Q15" s="182">
        <f>Revenue!X223</f>
        <v>477879.44322260359</v>
      </c>
      <c r="R15" s="182">
        <f>Revenue!Y223</f>
        <v>492215.82651928131</v>
      </c>
      <c r="S15" s="182">
        <f>Revenue!Z223</f>
        <v>506982.30131486047</v>
      </c>
    </row>
    <row r="16" spans="2:19" ht="15" customHeight="1" x14ac:dyDescent="0.3">
      <c r="B16" s="95" t="s">
        <v>7</v>
      </c>
      <c r="C16" s="312">
        <v>2</v>
      </c>
      <c r="D16" s="181">
        <f>SUM(E16:S16)</f>
        <v>998402.50034685014</v>
      </c>
      <c r="E16" s="182">
        <f>Revenue!L224</f>
        <v>0</v>
      </c>
      <c r="F16" s="182">
        <f>Revenue!M224</f>
        <v>0</v>
      </c>
      <c r="G16" s="182">
        <f>Revenue!N224</f>
        <v>0</v>
      </c>
      <c r="H16" s="182">
        <f>Revenue!O224</f>
        <v>0</v>
      </c>
      <c r="I16" s="182">
        <f>Revenue!P224</f>
        <v>50085.648073760967</v>
      </c>
      <c r="J16" s="182">
        <f>Revenue!Q224</f>
        <v>59495.900492874891</v>
      </c>
      <c r="K16" s="182">
        <f>Revenue!R224</f>
        <v>78346.310484478177</v>
      </c>
      <c r="L16" s="182">
        <f>Revenue!S224</f>
        <v>91332.947305411581</v>
      </c>
      <c r="M16" s="182">
        <f>Revenue!T224</f>
        <v>93815.905845545029</v>
      </c>
      <c r="N16" s="182">
        <f>Revenue!U224</f>
        <v>96630.383020911395</v>
      </c>
      <c r="O16" s="182">
        <f>Revenue!V224</f>
        <v>99529.294511538741</v>
      </c>
      <c r="P16" s="182">
        <f>Revenue!W224</f>
        <v>102796.0368355065</v>
      </c>
      <c r="Q16" s="182">
        <f>Revenue!X224</f>
        <v>105590.62854729142</v>
      </c>
      <c r="R16" s="182">
        <f>Revenue!Y224</f>
        <v>108758.34740371018</v>
      </c>
      <c r="S16" s="182">
        <f>Revenue!Z224</f>
        <v>112021.09782582149</v>
      </c>
    </row>
    <row r="17" spans="2:19" ht="15" customHeight="1" x14ac:dyDescent="0.3">
      <c r="B17" s="95" t="s">
        <v>8</v>
      </c>
      <c r="C17" s="312">
        <v>2</v>
      </c>
      <c r="D17" s="181">
        <f>SUM(E17:S17)</f>
        <v>970246.362680258</v>
      </c>
      <c r="E17" s="182">
        <f>Revenue!L225</f>
        <v>0</v>
      </c>
      <c r="F17" s="182">
        <f>Revenue!M225</f>
        <v>0</v>
      </c>
      <c r="G17" s="182">
        <f>Revenue!N225</f>
        <v>0</v>
      </c>
      <c r="H17" s="182">
        <f>Revenue!O225</f>
        <v>0</v>
      </c>
      <c r="I17" s="182">
        <f>Revenue!P225</f>
        <v>60561.715701122994</v>
      </c>
      <c r="J17" s="182">
        <f>Revenue!Q225</f>
        <v>68319.383093314464</v>
      </c>
      <c r="K17" s="182">
        <f>Revenue!R225</f>
        <v>77252.885034755484</v>
      </c>
      <c r="L17" s="182">
        <f>Revenue!S225</f>
        <v>86108.351917640903</v>
      </c>
      <c r="M17" s="182">
        <f>Revenue!T225</f>
        <v>88449.275692451061</v>
      </c>
      <c r="N17" s="182">
        <f>Revenue!U225</f>
        <v>91102.753963224604</v>
      </c>
      <c r="O17" s="182">
        <f>Revenue!V225</f>
        <v>93835.836582121323</v>
      </c>
      <c r="P17" s="182">
        <f>Revenue!W225</f>
        <v>96915.708697885202</v>
      </c>
      <c r="Q17" s="182">
        <f>Revenue!X225</f>
        <v>99550.439029972506</v>
      </c>
      <c r="R17" s="182">
        <f>Revenue!Y225</f>
        <v>102536.95220087167</v>
      </c>
      <c r="S17" s="182">
        <f>Revenue!Z225</f>
        <v>105613.06076689782</v>
      </c>
    </row>
    <row r="18" spans="2:19" ht="15" customHeight="1" x14ac:dyDescent="0.3">
      <c r="B18" s="146" t="s">
        <v>183</v>
      </c>
      <c r="C18" s="147"/>
      <c r="D18" s="183">
        <f>SUM(E18:S18)</f>
        <v>7782977.7151146149</v>
      </c>
      <c r="E18" s="183">
        <f t="shared" ref="E18:S18" si="3">SUM(E15:E17)</f>
        <v>0</v>
      </c>
      <c r="F18" s="183">
        <f t="shared" si="3"/>
        <v>323867.37000000005</v>
      </c>
      <c r="G18" s="183">
        <f t="shared" si="3"/>
        <v>336217.37000000017</v>
      </c>
      <c r="H18" s="183">
        <f t="shared" si="3"/>
        <v>348567.37000000005</v>
      </c>
      <c r="I18" s="183">
        <f t="shared" si="3"/>
        <v>472864.73377488408</v>
      </c>
      <c r="J18" s="183">
        <f t="shared" si="3"/>
        <v>505432.65358618955</v>
      </c>
      <c r="K18" s="183">
        <f t="shared" si="3"/>
        <v>555815.7058109144</v>
      </c>
      <c r="L18" s="183">
        <f t="shared" si="3"/>
        <v>589664.30482348357</v>
      </c>
      <c r="M18" s="183">
        <f t="shared" si="3"/>
        <v>606854.87730644003</v>
      </c>
      <c r="N18" s="183">
        <f t="shared" si="3"/>
        <v>625060.52362563321</v>
      </c>
      <c r="O18" s="183">
        <f t="shared" si="3"/>
        <v>643812.33933440223</v>
      </c>
      <c r="P18" s="183">
        <f t="shared" si="3"/>
        <v>663672.37002135639</v>
      </c>
      <c r="Q18" s="183">
        <f t="shared" si="3"/>
        <v>683020.51079986757</v>
      </c>
      <c r="R18" s="183">
        <f t="shared" si="3"/>
        <v>703511.12612386316</v>
      </c>
      <c r="S18" s="183">
        <f t="shared" si="3"/>
        <v>724616.45990757982</v>
      </c>
    </row>
    <row r="19" spans="2:19" ht="15" customHeight="1" x14ac:dyDescent="0.3">
      <c r="B19" s="95"/>
      <c r="C19" s="149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2:19" ht="15" customHeight="1" x14ac:dyDescent="0.3">
      <c r="B20" s="143" t="s">
        <v>9</v>
      </c>
      <c r="C20" s="144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</row>
    <row r="21" spans="2:19" ht="15" customHeight="1" x14ac:dyDescent="0.3">
      <c r="B21" s="95" t="s">
        <v>12</v>
      </c>
      <c r="C21" s="312">
        <v>2</v>
      </c>
      <c r="D21" s="181">
        <f>SUM(E21:S21)</f>
        <v>220121.28609806683</v>
      </c>
      <c r="E21" s="182">
        <f>Revenue!L324</f>
        <v>0</v>
      </c>
      <c r="F21" s="182">
        <f>Revenue!M324</f>
        <v>0</v>
      </c>
      <c r="G21" s="182">
        <f>Revenue!N324</f>
        <v>0</v>
      </c>
      <c r="H21" s="182">
        <f>Revenue!O324</f>
        <v>0</v>
      </c>
      <c r="I21" s="182">
        <f>Revenue!P324</f>
        <v>9598.2877763964825</v>
      </c>
      <c r="J21" s="182">
        <f>Revenue!Q324</f>
        <v>13117.659961075191</v>
      </c>
      <c r="K21" s="182">
        <f>Revenue!R324</f>
        <v>16807.001825127587</v>
      </c>
      <c r="L21" s="182">
        <f>Revenue!S324</f>
        <v>20672.612244906937</v>
      </c>
      <c r="M21" s="182">
        <f>Revenue!T324</f>
        <v>21189.427551029607</v>
      </c>
      <c r="N21" s="182">
        <f>Revenue!U324</f>
        <v>21719.163239805344</v>
      </c>
      <c r="O21" s="182">
        <f>Revenue!V324</f>
        <v>22262.142320800478</v>
      </c>
      <c r="P21" s="182">
        <f>Revenue!W324</f>
        <v>22818.69587882049</v>
      </c>
      <c r="Q21" s="182">
        <f>Revenue!X324</f>
        <v>23389.163275791001</v>
      </c>
      <c r="R21" s="182">
        <f>Revenue!Y324</f>
        <v>23973.892357685771</v>
      </c>
      <c r="S21" s="182">
        <f>Revenue!Z324</f>
        <v>24573.239666627913</v>
      </c>
    </row>
    <row r="22" spans="2:19" ht="15" customHeight="1" x14ac:dyDescent="0.3">
      <c r="B22" s="95" t="s">
        <v>13</v>
      </c>
      <c r="C22" s="312">
        <v>3</v>
      </c>
      <c r="D22" s="181">
        <f>SUM(E22:S22)</f>
        <v>115889.21229639373</v>
      </c>
      <c r="E22" s="182">
        <f>Revenue!L325</f>
        <v>0</v>
      </c>
      <c r="F22" s="182">
        <f>Revenue!M325</f>
        <v>0</v>
      </c>
      <c r="G22" s="182">
        <f>Revenue!N325</f>
        <v>0</v>
      </c>
      <c r="H22" s="182">
        <f>Revenue!O325</f>
        <v>0</v>
      </c>
      <c r="I22" s="182">
        <f>Revenue!P325</f>
        <v>5053.295978404979</v>
      </c>
      <c r="J22" s="182">
        <f>Revenue!Q325</f>
        <v>6906.1711704868039</v>
      </c>
      <c r="K22" s="182">
        <f>Revenue!R325</f>
        <v>8848.5318121862165</v>
      </c>
      <c r="L22" s="182">
        <f>Revenue!S325</f>
        <v>10883.694128989051</v>
      </c>
      <c r="M22" s="182">
        <f>Revenue!T325</f>
        <v>11155.786482213774</v>
      </c>
      <c r="N22" s="182">
        <f>Revenue!U325</f>
        <v>11434.681144269116</v>
      </c>
      <c r="O22" s="182">
        <f>Revenue!V325</f>
        <v>11720.548172875846</v>
      </c>
      <c r="P22" s="182">
        <f>Revenue!W325</f>
        <v>12013.561877197741</v>
      </c>
      <c r="Q22" s="182">
        <f>Revenue!X325</f>
        <v>12313.900924127684</v>
      </c>
      <c r="R22" s="182">
        <f>Revenue!Y325</f>
        <v>12621.748447230873</v>
      </c>
      <c r="S22" s="182">
        <f>Revenue!Z325</f>
        <v>12937.292158411645</v>
      </c>
    </row>
    <row r="23" spans="2:19" ht="15" customHeight="1" x14ac:dyDescent="0.3">
      <c r="B23" s="146" t="s">
        <v>11</v>
      </c>
      <c r="C23" s="147"/>
      <c r="D23" s="183">
        <f>SUM(E23:S23)</f>
        <v>336010.49839446048</v>
      </c>
      <c r="E23" s="183">
        <f t="shared" ref="E23:S23" si="4">SUM(E21:E22)</f>
        <v>0</v>
      </c>
      <c r="F23" s="183">
        <f t="shared" si="4"/>
        <v>0</v>
      </c>
      <c r="G23" s="183">
        <f t="shared" si="4"/>
        <v>0</v>
      </c>
      <c r="H23" s="183">
        <f t="shared" si="4"/>
        <v>0</v>
      </c>
      <c r="I23" s="183">
        <f t="shared" si="4"/>
        <v>14651.583754801461</v>
      </c>
      <c r="J23" s="183">
        <f t="shared" si="4"/>
        <v>20023.831131561994</v>
      </c>
      <c r="K23" s="183">
        <f t="shared" si="4"/>
        <v>25655.533637313805</v>
      </c>
      <c r="L23" s="183">
        <f t="shared" si="4"/>
        <v>31556.30637389599</v>
      </c>
      <c r="M23" s="183">
        <f t="shared" si="4"/>
        <v>32345.214033243381</v>
      </c>
      <c r="N23" s="183">
        <f t="shared" si="4"/>
        <v>33153.844384074459</v>
      </c>
      <c r="O23" s="183">
        <f t="shared" si="4"/>
        <v>33982.690493676324</v>
      </c>
      <c r="P23" s="183">
        <f t="shared" si="4"/>
        <v>34832.257756018233</v>
      </c>
      <c r="Q23" s="183">
        <f t="shared" si="4"/>
        <v>35703.064199918685</v>
      </c>
      <c r="R23" s="183">
        <f t="shared" si="4"/>
        <v>36595.640804916642</v>
      </c>
      <c r="S23" s="183">
        <f t="shared" si="4"/>
        <v>37510.531825039558</v>
      </c>
    </row>
    <row r="24" spans="2:19" ht="15" customHeight="1" x14ac:dyDescent="0.3">
      <c r="B24" s="95"/>
      <c r="C24" s="149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2:19" ht="15" customHeight="1" x14ac:dyDescent="0.3">
      <c r="B25" s="146" t="s">
        <v>10</v>
      </c>
      <c r="C25" s="147"/>
      <c r="D25" s="183">
        <f>SUM(E25:S25)</f>
        <v>14527965.262984239</v>
      </c>
      <c r="E25" s="183">
        <f t="shared" ref="E25:S25" si="5">SUM(E12,E18,E23)</f>
        <v>0</v>
      </c>
      <c r="F25" s="183">
        <f t="shared" si="5"/>
        <v>366199.49347830378</v>
      </c>
      <c r="G25" s="183">
        <f t="shared" si="5"/>
        <v>1045994.5720689313</v>
      </c>
      <c r="H25" s="183">
        <f t="shared" si="5"/>
        <v>1885269.3506595585</v>
      </c>
      <c r="I25" s="183">
        <f t="shared" si="5"/>
        <v>2173849.2042760295</v>
      </c>
      <c r="J25" s="183">
        <f t="shared" si="5"/>
        <v>2693475.3412397769</v>
      </c>
      <c r="K25" s="183">
        <f t="shared" si="5"/>
        <v>847285.23944822815</v>
      </c>
      <c r="L25" s="183">
        <f t="shared" si="5"/>
        <v>621220.61119737953</v>
      </c>
      <c r="M25" s="183">
        <f t="shared" si="5"/>
        <v>639200.09133968339</v>
      </c>
      <c r="N25" s="183">
        <f t="shared" si="5"/>
        <v>658214.36800970766</v>
      </c>
      <c r="O25" s="183">
        <f t="shared" si="5"/>
        <v>677795.02982807858</v>
      </c>
      <c r="P25" s="183">
        <f t="shared" si="5"/>
        <v>698504.62777737458</v>
      </c>
      <c r="Q25" s="183">
        <f t="shared" si="5"/>
        <v>718723.57499978621</v>
      </c>
      <c r="R25" s="183">
        <f t="shared" si="5"/>
        <v>740106.76692877978</v>
      </c>
      <c r="S25" s="183">
        <f t="shared" si="5"/>
        <v>762126.99173261935</v>
      </c>
    </row>
    <row r="26" spans="2:19" ht="15" customHeight="1" x14ac:dyDescent="0.3">
      <c r="B26" s="95"/>
      <c r="C26" s="149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2:19" ht="15" customHeight="1" x14ac:dyDescent="0.3">
      <c r="B27" s="143" t="s">
        <v>14</v>
      </c>
      <c r="C27" s="144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 spans="2:19" ht="15" customHeight="1" x14ac:dyDescent="0.3">
      <c r="B28" s="95" t="s">
        <v>15</v>
      </c>
      <c r="C28" s="149"/>
      <c r="D28" s="185">
        <f t="shared" ref="D28:D33" si="6">SUM(E28:S28)</f>
        <v>0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</row>
    <row r="29" spans="2:19" ht="15" customHeight="1" x14ac:dyDescent="0.3">
      <c r="B29" s="89" t="s">
        <v>16</v>
      </c>
      <c r="C29" s="138"/>
      <c r="D29" s="185">
        <f t="shared" si="6"/>
        <v>0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</row>
    <row r="30" spans="2:19" ht="15" customHeight="1" x14ac:dyDescent="0.3">
      <c r="B30" s="95" t="s">
        <v>1</v>
      </c>
      <c r="C30" s="312">
        <v>2</v>
      </c>
      <c r="D30" s="185">
        <f t="shared" ca="1" si="6"/>
        <v>-1876587.7313017712</v>
      </c>
      <c r="E30" s="182">
        <f ca="1">-Costs!J174</f>
        <v>0</v>
      </c>
      <c r="F30" s="182">
        <f ca="1">-Costs!K174</f>
        <v>-10415.126670501475</v>
      </c>
      <c r="G30" s="182">
        <f ca="1">-Costs!L174</f>
        <v>-204360.99399050564</v>
      </c>
      <c r="H30" s="182">
        <f ca="1">-Costs!M174</f>
        <v>-614066.7477819816</v>
      </c>
      <c r="I30" s="182">
        <f ca="1">-Costs!N174</f>
        <v>-741861.49440177123</v>
      </c>
      <c r="J30" s="182">
        <f ca="1">-Costs!O174</f>
        <v>-305883.36845701112</v>
      </c>
      <c r="K30" s="182">
        <f ca="1">-Costs!P174</f>
        <v>0</v>
      </c>
      <c r="L30" s="182">
        <f ca="1">-Costs!Q174</f>
        <v>0</v>
      </c>
      <c r="M30" s="182">
        <f ca="1">-Costs!R174</f>
        <v>0</v>
      </c>
      <c r="N30" s="182">
        <f ca="1">-Costs!S174</f>
        <v>0</v>
      </c>
      <c r="O30" s="182">
        <f ca="1">-Costs!T174</f>
        <v>0</v>
      </c>
      <c r="P30" s="182">
        <f ca="1">-Costs!U174</f>
        <v>0</v>
      </c>
      <c r="Q30" s="182">
        <f ca="1">-Costs!V174</f>
        <v>0</v>
      </c>
      <c r="R30" s="182">
        <f ca="1">-Costs!W174</f>
        <v>0</v>
      </c>
      <c r="S30" s="182">
        <f ca="1">-Costs!X174</f>
        <v>0</v>
      </c>
    </row>
    <row r="31" spans="2:19" ht="15" customHeight="1" x14ac:dyDescent="0.3">
      <c r="B31" s="95" t="s">
        <v>2</v>
      </c>
      <c r="C31" s="312">
        <v>3</v>
      </c>
      <c r="D31" s="185">
        <f t="shared" ca="1" si="6"/>
        <v>-1867655.3057151465</v>
      </c>
      <c r="E31" s="182">
        <f ca="1">-Costs!J175</f>
        <v>0</v>
      </c>
      <c r="F31" s="182">
        <f ca="1">-Costs!K175</f>
        <v>0</v>
      </c>
      <c r="G31" s="182">
        <f ca="1">-Costs!L175</f>
        <v>-42598.702668928665</v>
      </c>
      <c r="H31" s="182">
        <f ca="1">-Costs!M175</f>
        <v>-214621.87759926115</v>
      </c>
      <c r="I31" s="182">
        <f ca="1">-Costs!N175</f>
        <v>-516883.70691830642</v>
      </c>
      <c r="J31" s="182">
        <f ca="1">-Costs!O175</f>
        <v>-906785.48795713566</v>
      </c>
      <c r="K31" s="182">
        <f ca="1">-Costs!P175</f>
        <v>-186765.53057151468</v>
      </c>
      <c r="L31" s="182">
        <f ca="1">-Costs!Q175</f>
        <v>0</v>
      </c>
      <c r="M31" s="182">
        <f ca="1">-Costs!R175</f>
        <v>0</v>
      </c>
      <c r="N31" s="182">
        <f ca="1">-Costs!S175</f>
        <v>0</v>
      </c>
      <c r="O31" s="182">
        <f ca="1">-Costs!T175</f>
        <v>0</v>
      </c>
      <c r="P31" s="182">
        <f ca="1">-Costs!U175</f>
        <v>0</v>
      </c>
      <c r="Q31" s="182">
        <f ca="1">-Costs!V175</f>
        <v>0</v>
      </c>
      <c r="R31" s="182">
        <f ca="1">-Costs!W175</f>
        <v>0</v>
      </c>
      <c r="S31" s="182">
        <f ca="1">-Costs!X175</f>
        <v>0</v>
      </c>
    </row>
    <row r="32" spans="2:19" ht="15" customHeight="1" x14ac:dyDescent="0.3">
      <c r="B32" s="95" t="s">
        <v>7</v>
      </c>
      <c r="C32" s="312">
        <v>2</v>
      </c>
      <c r="D32" s="181">
        <f t="shared" ca="1" si="6"/>
        <v>-649071.72517854755</v>
      </c>
      <c r="E32" s="182">
        <f ca="1">-Costs!J176</f>
        <v>0</v>
      </c>
      <c r="F32" s="182">
        <f ca="1">-Costs!K176</f>
        <v>0</v>
      </c>
      <c r="G32" s="182">
        <f ca="1">-Costs!L176</f>
        <v>0</v>
      </c>
      <c r="H32" s="182">
        <f ca="1">-Costs!M176</f>
        <v>0</v>
      </c>
      <c r="I32" s="182">
        <f ca="1">-Costs!N176</f>
        <v>0</v>
      </c>
      <c r="J32" s="182">
        <f ca="1">-Costs!O176</f>
        <v>-649071.72517854755</v>
      </c>
      <c r="K32" s="182">
        <f ca="1">-Costs!P176</f>
        <v>0</v>
      </c>
      <c r="L32" s="182">
        <f ca="1">-Costs!Q176</f>
        <v>0</v>
      </c>
      <c r="M32" s="182">
        <f ca="1">-Costs!R176</f>
        <v>0</v>
      </c>
      <c r="N32" s="182">
        <f ca="1">-Costs!S176</f>
        <v>0</v>
      </c>
      <c r="O32" s="182">
        <f ca="1">-Costs!T176</f>
        <v>0</v>
      </c>
      <c r="P32" s="182">
        <f ca="1">-Costs!U176</f>
        <v>0</v>
      </c>
      <c r="Q32" s="182">
        <f ca="1">-Costs!V176</f>
        <v>0</v>
      </c>
      <c r="R32" s="182">
        <f ca="1">-Costs!W176</f>
        <v>0</v>
      </c>
      <c r="S32" s="182">
        <f ca="1">-Costs!X176</f>
        <v>0</v>
      </c>
    </row>
    <row r="33" spans="2:19" ht="15" customHeight="1" x14ac:dyDescent="0.3">
      <c r="B33" s="146" t="s">
        <v>17</v>
      </c>
      <c r="C33" s="147"/>
      <c r="D33" s="183">
        <f t="shared" ca="1" si="6"/>
        <v>-4393314.7621954661</v>
      </c>
      <c r="E33" s="183">
        <f t="shared" ref="E33:S33" ca="1" si="7">SUM(E28:E32)</f>
        <v>0</v>
      </c>
      <c r="F33" s="183">
        <f t="shared" ca="1" si="7"/>
        <v>-10415.126670501475</v>
      </c>
      <c r="G33" s="183">
        <f t="shared" ca="1" si="7"/>
        <v>-246959.6966594343</v>
      </c>
      <c r="H33" s="183">
        <f t="shared" ca="1" si="7"/>
        <v>-828688.62538124272</v>
      </c>
      <c r="I33" s="183">
        <f t="shared" ca="1" si="7"/>
        <v>-1258745.2013200778</v>
      </c>
      <c r="J33" s="183">
        <f t="shared" ca="1" si="7"/>
        <v>-1861740.5815926944</v>
      </c>
      <c r="K33" s="183">
        <f t="shared" ca="1" si="7"/>
        <v>-186765.53057151468</v>
      </c>
      <c r="L33" s="183">
        <f t="shared" ca="1" si="7"/>
        <v>0</v>
      </c>
      <c r="M33" s="183">
        <f t="shared" ca="1" si="7"/>
        <v>0</v>
      </c>
      <c r="N33" s="183">
        <f t="shared" ca="1" si="7"/>
        <v>0</v>
      </c>
      <c r="O33" s="183">
        <f t="shared" ca="1" si="7"/>
        <v>0</v>
      </c>
      <c r="P33" s="183">
        <f t="shared" ca="1" si="7"/>
        <v>0</v>
      </c>
      <c r="Q33" s="183">
        <f t="shared" ca="1" si="7"/>
        <v>0</v>
      </c>
      <c r="R33" s="183">
        <f t="shared" ca="1" si="7"/>
        <v>0</v>
      </c>
      <c r="S33" s="183">
        <f t="shared" ca="1" si="7"/>
        <v>0</v>
      </c>
    </row>
    <row r="34" spans="2:19" ht="15" customHeight="1" x14ac:dyDescent="0.3">
      <c r="B34" s="95"/>
      <c r="C34" s="14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2:19" ht="15" customHeight="1" x14ac:dyDescent="0.3">
      <c r="B35" s="143" t="s">
        <v>18</v>
      </c>
      <c r="C35" s="144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</row>
    <row r="36" spans="2:19" ht="15" customHeight="1" x14ac:dyDescent="0.3">
      <c r="B36" s="89" t="s">
        <v>20</v>
      </c>
      <c r="C36" s="138"/>
      <c r="D36" s="181">
        <f t="shared" ref="D36:D43" si="8">SUM(E36:S36)</f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2:19" ht="15" customHeight="1" x14ac:dyDescent="0.3">
      <c r="B37" s="95" t="s">
        <v>6</v>
      </c>
      <c r="C37" s="312">
        <v>1</v>
      </c>
      <c r="D37" s="181">
        <f t="shared" si="8"/>
        <v>-3068478.3446824988</v>
      </c>
      <c r="E37" s="182">
        <f>Costs!J56</f>
        <v>0</v>
      </c>
      <c r="F37" s="182">
        <f>Costs!K56</f>
        <v>-167777.86000000007</v>
      </c>
      <c r="G37" s="182">
        <f>Costs!L56</f>
        <v>-174173.58000000013</v>
      </c>
      <c r="H37" s="182">
        <f>Costs!M56</f>
        <v>-175382.79999999993</v>
      </c>
      <c r="I37" s="182">
        <f>Costs!N56</f>
        <v>-187388.58611933072</v>
      </c>
      <c r="J37" s="182">
        <f>Costs!O56</f>
        <v>-200727.57345261562</v>
      </c>
      <c r="K37" s="182">
        <f>Costs!P56</f>
        <v>-212915.18347517418</v>
      </c>
      <c r="L37" s="182">
        <f>Costs!Q56</f>
        <v>-219302.63897942938</v>
      </c>
      <c r="M37" s="182">
        <f>Costs!R56</f>
        <v>-225881.71814881222</v>
      </c>
      <c r="N37" s="182">
        <f>Costs!S56</f>
        <v>-232658.16969327655</v>
      </c>
      <c r="O37" s="182">
        <f>Costs!T56</f>
        <v>-239637.91478407485</v>
      </c>
      <c r="P37" s="182">
        <f>Costs!U56</f>
        <v>-246827.05222759728</v>
      </c>
      <c r="Q37" s="182">
        <f>Costs!V56</f>
        <v>-254231.86379442512</v>
      </c>
      <c r="R37" s="182">
        <f>Costs!W56</f>
        <v>-261858.81970825768</v>
      </c>
      <c r="S37" s="182">
        <f>Costs!X56</f>
        <v>-269714.5842995058</v>
      </c>
    </row>
    <row r="38" spans="2:19" ht="15" customHeight="1" x14ac:dyDescent="0.3">
      <c r="B38" s="95" t="s">
        <v>7</v>
      </c>
      <c r="C38" s="312">
        <v>2</v>
      </c>
      <c r="D38" s="181">
        <f t="shared" si="8"/>
        <v>-742885.41599882313</v>
      </c>
      <c r="E38" s="182">
        <f>Costs!J57</f>
        <v>0</v>
      </c>
      <c r="F38" s="182">
        <f>Costs!K57</f>
        <v>0</v>
      </c>
      <c r="G38" s="182">
        <f>Costs!L57</f>
        <v>0</v>
      </c>
      <c r="H38" s="182">
        <f>Costs!M57</f>
        <v>0</v>
      </c>
      <c r="I38" s="182">
        <f>Costs!N57</f>
        <v>-37267.432214883629</v>
      </c>
      <c r="J38" s="182">
        <f>Costs!O57</f>
        <v>-44269.357070439139</v>
      </c>
      <c r="K38" s="182">
        <f>Costs!P57</f>
        <v>-58295.458430858023</v>
      </c>
      <c r="L38" s="182">
        <f>Costs!Q57</f>
        <v>-67958.478198730314</v>
      </c>
      <c r="M38" s="182">
        <f>Costs!R57</f>
        <v>-69805.983275444421</v>
      </c>
      <c r="N38" s="182">
        <f>Costs!S57</f>
        <v>-71900.16277370778</v>
      </c>
      <c r="O38" s="182">
        <f>Costs!T57</f>
        <v>-74057.167656919017</v>
      </c>
      <c r="P38" s="182">
        <f>Costs!U57</f>
        <v>-76487.865926863902</v>
      </c>
      <c r="Q38" s="182">
        <f>Costs!V57</f>
        <v>-78567.249167225353</v>
      </c>
      <c r="R38" s="182">
        <f>Costs!W57</f>
        <v>-80924.266642242132</v>
      </c>
      <c r="S38" s="182">
        <f>Costs!X57</f>
        <v>-83351.994641509402</v>
      </c>
    </row>
    <row r="39" spans="2:19" ht="15" customHeight="1" x14ac:dyDescent="0.3">
      <c r="B39" s="95" t="s">
        <v>8</v>
      </c>
      <c r="C39" s="312">
        <v>2</v>
      </c>
      <c r="D39" s="181">
        <f t="shared" si="8"/>
        <v>-579908.78754043113</v>
      </c>
      <c r="E39" s="182">
        <f>Costs!J58</f>
        <v>0</v>
      </c>
      <c r="F39" s="182">
        <f>Costs!K58</f>
        <v>0</v>
      </c>
      <c r="G39" s="182">
        <f>Costs!L58</f>
        <v>0</v>
      </c>
      <c r="H39" s="182">
        <f>Costs!M58</f>
        <v>0</v>
      </c>
      <c r="I39" s="182">
        <f>Costs!N58</f>
        <v>-36197.271615209669</v>
      </c>
      <c r="J39" s="182">
        <f>Costs!O58</f>
        <v>-40833.969741157955</v>
      </c>
      <c r="K39" s="182">
        <f>Costs!P58</f>
        <v>-46173.455132311545</v>
      </c>
      <c r="L39" s="182">
        <f>Costs!Q58</f>
        <v>-51466.299569236144</v>
      </c>
      <c r="M39" s="182">
        <f>Costs!R58</f>
        <v>-52865.451702334212</v>
      </c>
      <c r="N39" s="182">
        <f>Costs!S58</f>
        <v>-54451.415253404244</v>
      </c>
      <c r="O39" s="182">
        <f>Costs!T58</f>
        <v>-56084.957711006362</v>
      </c>
      <c r="P39" s="182">
        <f>Costs!U58</f>
        <v>-57925.773583274466</v>
      </c>
      <c r="Q39" s="182">
        <f>Costs!V58</f>
        <v>-59500.531635606647</v>
      </c>
      <c r="R39" s="182">
        <f>Costs!W58</f>
        <v>-61285.547584674838</v>
      </c>
      <c r="S39" s="182">
        <f>Costs!X58</f>
        <v>-63124.114012215083</v>
      </c>
    </row>
    <row r="40" spans="2:19" ht="15" customHeight="1" x14ac:dyDescent="0.3">
      <c r="B40" s="89" t="s">
        <v>19</v>
      </c>
      <c r="C40" s="138"/>
      <c r="D40" s="181">
        <f t="shared" si="8"/>
        <v>0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spans="2:19" ht="15" customHeight="1" x14ac:dyDescent="0.3">
      <c r="B41" s="95" t="s">
        <v>12</v>
      </c>
      <c r="C41" s="312">
        <v>2</v>
      </c>
      <c r="D41" s="181">
        <f t="shared" si="8"/>
        <v>-26414.554331768017</v>
      </c>
      <c r="E41" s="182">
        <f>Costs!J60</f>
        <v>0</v>
      </c>
      <c r="F41" s="182">
        <f>Costs!K60</f>
        <v>0</v>
      </c>
      <c r="G41" s="182">
        <f>Costs!L60</f>
        <v>0</v>
      </c>
      <c r="H41" s="182">
        <f>Costs!M60</f>
        <v>0</v>
      </c>
      <c r="I41" s="182">
        <f>Costs!N60</f>
        <v>-1151.7945331675778</v>
      </c>
      <c r="J41" s="182">
        <f>Costs!O60</f>
        <v>-1574.1191953290229</v>
      </c>
      <c r="K41" s="182">
        <f>Costs!P60</f>
        <v>-2016.8402190153104</v>
      </c>
      <c r="L41" s="182">
        <f>Costs!Q60</f>
        <v>-2480.7134693888324</v>
      </c>
      <c r="M41" s="182">
        <f>Costs!R60</f>
        <v>-2542.7313061235527</v>
      </c>
      <c r="N41" s="182">
        <f>Costs!S60</f>
        <v>-2606.299588776641</v>
      </c>
      <c r="O41" s="182">
        <f>Costs!T60</f>
        <v>-2671.4570784960574</v>
      </c>
      <c r="P41" s="182">
        <f>Costs!U60</f>
        <v>-2738.2435054584589</v>
      </c>
      <c r="Q41" s="182">
        <f>Costs!V60</f>
        <v>-2806.6995930949201</v>
      </c>
      <c r="R41" s="182">
        <f>Costs!W60</f>
        <v>-2876.8670829222924</v>
      </c>
      <c r="S41" s="182">
        <f>Costs!X60</f>
        <v>-2948.7887599953492</v>
      </c>
    </row>
    <row r="42" spans="2:19" ht="15" customHeight="1" x14ac:dyDescent="0.3">
      <c r="B42" s="95" t="s">
        <v>13</v>
      </c>
      <c r="C42" s="312">
        <v>3</v>
      </c>
      <c r="D42" s="181">
        <f t="shared" si="8"/>
        <v>-13906.705475567247</v>
      </c>
      <c r="E42" s="182">
        <f>Costs!J61</f>
        <v>0</v>
      </c>
      <c r="F42" s="182">
        <f>Costs!K61</f>
        <v>0</v>
      </c>
      <c r="G42" s="182">
        <f>Costs!L61</f>
        <v>0</v>
      </c>
      <c r="H42" s="182">
        <f>Costs!M61</f>
        <v>0</v>
      </c>
      <c r="I42" s="182">
        <f>Costs!N61</f>
        <v>-606.39551740859747</v>
      </c>
      <c r="J42" s="182">
        <f>Costs!O61</f>
        <v>-828.74054045841649</v>
      </c>
      <c r="K42" s="182">
        <f>Costs!P61</f>
        <v>-1061.8238174623459</v>
      </c>
      <c r="L42" s="182">
        <f>Costs!Q61</f>
        <v>-1306.0432954786861</v>
      </c>
      <c r="M42" s="182">
        <f>Costs!R61</f>
        <v>-1338.694377865653</v>
      </c>
      <c r="N42" s="182">
        <f>Costs!S61</f>
        <v>-1372.1617373122938</v>
      </c>
      <c r="O42" s="182">
        <f>Costs!T61</f>
        <v>-1406.4657807451015</v>
      </c>
      <c r="P42" s="182">
        <f>Costs!U61</f>
        <v>-1441.6274252637288</v>
      </c>
      <c r="Q42" s="182">
        <f>Costs!V61</f>
        <v>-1477.6681108953219</v>
      </c>
      <c r="R42" s="182">
        <f>Costs!W61</f>
        <v>-1514.6098136677047</v>
      </c>
      <c r="S42" s="182">
        <f>Costs!X61</f>
        <v>-1552.4750590093972</v>
      </c>
    </row>
    <row r="43" spans="2:19" ht="15" customHeight="1" x14ac:dyDescent="0.3">
      <c r="B43" s="146" t="s">
        <v>21</v>
      </c>
      <c r="C43" s="147"/>
      <c r="D43" s="183">
        <f t="shared" si="8"/>
        <v>-4431593.8080290901</v>
      </c>
      <c r="E43" s="183">
        <f t="shared" ref="E43:S43" si="9">SUM(E37:E42)</f>
        <v>0</v>
      </c>
      <c r="F43" s="183">
        <f t="shared" si="9"/>
        <v>-167777.86000000007</v>
      </c>
      <c r="G43" s="183">
        <f t="shared" si="9"/>
        <v>-174173.58000000013</v>
      </c>
      <c r="H43" s="183">
        <f t="shared" si="9"/>
        <v>-175382.79999999993</v>
      </c>
      <c r="I43" s="183">
        <f t="shared" si="9"/>
        <v>-262611.48000000021</v>
      </c>
      <c r="J43" s="183">
        <f t="shared" si="9"/>
        <v>-288233.76000000018</v>
      </c>
      <c r="K43" s="183">
        <f t="shared" si="9"/>
        <v>-320462.76107482146</v>
      </c>
      <c r="L43" s="183">
        <f t="shared" si="9"/>
        <v>-342514.1735122634</v>
      </c>
      <c r="M43" s="183">
        <f t="shared" si="9"/>
        <v>-352434.57881058007</v>
      </c>
      <c r="N43" s="183">
        <f t="shared" si="9"/>
        <v>-362988.20904647751</v>
      </c>
      <c r="O43" s="183">
        <f t="shared" si="9"/>
        <v>-373857.96301124134</v>
      </c>
      <c r="P43" s="183">
        <f t="shared" si="9"/>
        <v>-385420.56266845786</v>
      </c>
      <c r="Q43" s="183">
        <f t="shared" si="9"/>
        <v>-396584.01230124739</v>
      </c>
      <c r="R43" s="183">
        <f t="shared" si="9"/>
        <v>-408460.1108317647</v>
      </c>
      <c r="S43" s="183">
        <f t="shared" si="9"/>
        <v>-420691.95677223499</v>
      </c>
    </row>
    <row r="44" spans="2:19" ht="15" customHeight="1" x14ac:dyDescent="0.3">
      <c r="B44" s="95"/>
      <c r="C44" s="149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2:19" ht="15" customHeight="1" x14ac:dyDescent="0.3">
      <c r="B45" s="146" t="s">
        <v>22</v>
      </c>
      <c r="C45" s="147"/>
      <c r="D45" s="183">
        <f ca="1">SUM(E45:S45)</f>
        <v>5703056.6927596824</v>
      </c>
      <c r="E45" s="183">
        <f t="shared" ref="E45:G45" ca="1" si="10">SUM(E25,E33,E43)</f>
        <v>0</v>
      </c>
      <c r="F45" s="183">
        <f t="shared" ca="1" si="10"/>
        <v>188006.50680780222</v>
      </c>
      <c r="G45" s="183">
        <f t="shared" ca="1" si="10"/>
        <v>624861.29540949687</v>
      </c>
      <c r="H45" s="183">
        <f ca="1">SUM(H25,H33,H43)</f>
        <v>881197.9252783159</v>
      </c>
      <c r="I45" s="183">
        <f t="shared" ref="I45:S45" ca="1" si="11">SUM(I25,I33,I43)</f>
        <v>652492.52295595151</v>
      </c>
      <c r="J45" s="183">
        <f t="shared" ca="1" si="11"/>
        <v>543500.9996470823</v>
      </c>
      <c r="K45" s="183">
        <f t="shared" ca="1" si="11"/>
        <v>340056.94780189195</v>
      </c>
      <c r="L45" s="183">
        <f t="shared" ca="1" si="11"/>
        <v>278706.43768511614</v>
      </c>
      <c r="M45" s="183">
        <f t="shared" ca="1" si="11"/>
        <v>286765.51252910332</v>
      </c>
      <c r="N45" s="183">
        <f t="shared" ca="1" si="11"/>
        <v>295226.15896323015</v>
      </c>
      <c r="O45" s="183">
        <f t="shared" ca="1" si="11"/>
        <v>303937.06681683724</v>
      </c>
      <c r="P45" s="183">
        <f t="shared" ca="1" si="11"/>
        <v>313084.06510891672</v>
      </c>
      <c r="Q45" s="183">
        <f t="shared" ca="1" si="11"/>
        <v>322139.56269853882</v>
      </c>
      <c r="R45" s="183">
        <f t="shared" ca="1" si="11"/>
        <v>331646.65609701507</v>
      </c>
      <c r="S45" s="183">
        <f t="shared" ca="1" si="11"/>
        <v>341435.03496038436</v>
      </c>
    </row>
    <row r="46" spans="2:19" ht="15" customHeight="1" x14ac:dyDescent="0.3">
      <c r="B46" s="151" t="s">
        <v>452</v>
      </c>
      <c r="C46" s="149"/>
      <c r="D46" s="152">
        <f t="shared" ref="D46:S46" ca="1" si="12">IFERROR(D45/D$25,0)</f>
        <v>0.39255715370482641</v>
      </c>
      <c r="E46" s="152">
        <f t="shared" ca="1" si="12"/>
        <v>0</v>
      </c>
      <c r="F46" s="152">
        <f t="shared" ca="1" si="12"/>
        <v>0.51339914488150717</v>
      </c>
      <c r="G46" s="152">
        <f t="shared" ca="1" si="12"/>
        <v>0.59738483553843758</v>
      </c>
      <c r="H46" s="152">
        <f t="shared" ca="1" si="12"/>
        <v>0.46741221617485595</v>
      </c>
      <c r="I46" s="152">
        <f t="shared" ca="1" si="12"/>
        <v>0.30015537493239103</v>
      </c>
      <c r="J46" s="152">
        <f t="shared" ca="1" si="12"/>
        <v>0.20178428639220986</v>
      </c>
      <c r="K46" s="152">
        <f t="shared" ca="1" si="12"/>
        <v>0.40134883976421559</v>
      </c>
      <c r="L46" s="152">
        <f t="shared" ca="1" si="12"/>
        <v>0.44864325597297855</v>
      </c>
      <c r="M46" s="152">
        <f t="shared" ca="1" si="12"/>
        <v>0.44863183909764265</v>
      </c>
      <c r="N46" s="152">
        <f t="shared" ca="1" si="12"/>
        <v>0.44852585010553281</v>
      </c>
      <c r="O46" s="152">
        <f t="shared" ca="1" si="12"/>
        <v>0.44842032390519343</v>
      </c>
      <c r="P46" s="152">
        <f t="shared" ca="1" si="12"/>
        <v>0.44822045933345195</v>
      </c>
      <c r="Q46" s="152">
        <f t="shared" ca="1" si="12"/>
        <v>0.44821065275149025</v>
      </c>
      <c r="R46" s="152">
        <f t="shared" ca="1" si="12"/>
        <v>0.4481065042456629</v>
      </c>
      <c r="S46" s="152">
        <f t="shared" ca="1" si="12"/>
        <v>0.44800281142669679</v>
      </c>
    </row>
    <row r="47" spans="2:19" ht="15" customHeight="1" x14ac:dyDescent="0.3">
      <c r="B47" s="95"/>
      <c r="C47" s="14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2:19" ht="15" customHeight="1" x14ac:dyDescent="0.3">
      <c r="B48" s="95" t="s">
        <v>453</v>
      </c>
      <c r="C48" s="149"/>
      <c r="D48" s="181">
        <f ca="1">SUM(E48:S48)</f>
        <v>-227484.89980563868</v>
      </c>
      <c r="E48" s="181"/>
      <c r="F48" s="181">
        <f>Capex!M298</f>
        <v>0</v>
      </c>
      <c r="G48" s="181">
        <f>Capex!N298</f>
        <v>0</v>
      </c>
      <c r="H48" s="181">
        <f>Capex!O298</f>
        <v>0</v>
      </c>
      <c r="I48" s="181">
        <f>Capex!P298</f>
        <v>0</v>
      </c>
      <c r="J48" s="181">
        <f>Capex!Q298</f>
        <v>0</v>
      </c>
      <c r="K48" s="181">
        <f ca="1">Capex!R298</f>
        <v>-28413.917927956703</v>
      </c>
      <c r="L48" s="181">
        <f ca="1">Capex!S298</f>
        <v>-28413.917927956703</v>
      </c>
      <c r="M48" s="181">
        <f ca="1">Capex!T298</f>
        <v>-28413.917927956703</v>
      </c>
      <c r="N48" s="181">
        <f ca="1">Capex!U298</f>
        <v>-28413.917927956703</v>
      </c>
      <c r="O48" s="181">
        <f ca="1">Capex!V298</f>
        <v>-28413.917927956703</v>
      </c>
      <c r="P48" s="181">
        <f ca="1">Capex!W298</f>
        <v>-28413.917927956703</v>
      </c>
      <c r="Q48" s="181">
        <f ca="1">Capex!X298</f>
        <v>-28413.917927956703</v>
      </c>
      <c r="R48" s="181">
        <f>Capex!Y298</f>
        <v>-14293.737154970888</v>
      </c>
      <c r="S48" s="181">
        <f>Capex!Z298</f>
        <v>-14293.737154970888</v>
      </c>
    </row>
    <row r="49" spans="2:19" ht="15" customHeight="1" x14ac:dyDescent="0.3">
      <c r="B49" s="146" t="s">
        <v>451</v>
      </c>
      <c r="C49" s="147"/>
      <c r="D49" s="183">
        <f ca="1">SUM(E49:S49)</f>
        <v>5475571.7929540444</v>
      </c>
      <c r="E49" s="183">
        <f t="shared" ref="E49:S49" ca="1" si="13">SUM(E45,E48)</f>
        <v>0</v>
      </c>
      <c r="F49" s="183">
        <f t="shared" ca="1" si="13"/>
        <v>188006.50680780222</v>
      </c>
      <c r="G49" s="183">
        <f t="shared" ca="1" si="13"/>
        <v>624861.29540949687</v>
      </c>
      <c r="H49" s="183">
        <f t="shared" ca="1" si="13"/>
        <v>881197.9252783159</v>
      </c>
      <c r="I49" s="183">
        <f t="shared" ca="1" si="13"/>
        <v>652492.52295595151</v>
      </c>
      <c r="J49" s="183">
        <f t="shared" ca="1" si="13"/>
        <v>543500.9996470823</v>
      </c>
      <c r="K49" s="183">
        <f t="shared" ca="1" si="13"/>
        <v>311643.02987393527</v>
      </c>
      <c r="L49" s="183">
        <f t="shared" ca="1" si="13"/>
        <v>250292.51975715943</v>
      </c>
      <c r="M49" s="183">
        <f t="shared" ca="1" si="13"/>
        <v>258351.59460114661</v>
      </c>
      <c r="N49" s="183">
        <f t="shared" ca="1" si="13"/>
        <v>266812.24103527342</v>
      </c>
      <c r="O49" s="183">
        <f t="shared" ca="1" si="13"/>
        <v>275523.1488888805</v>
      </c>
      <c r="P49" s="183">
        <f t="shared" ca="1" si="13"/>
        <v>284670.14718096005</v>
      </c>
      <c r="Q49" s="183">
        <f t="shared" ca="1" si="13"/>
        <v>293725.64477058209</v>
      </c>
      <c r="R49" s="183">
        <f t="shared" ca="1" si="13"/>
        <v>317352.9189420442</v>
      </c>
      <c r="S49" s="183">
        <f t="shared" ca="1" si="13"/>
        <v>327141.29780541349</v>
      </c>
    </row>
    <row r="50" spans="2:19" ht="15" customHeight="1" x14ac:dyDescent="0.3">
      <c r="B50" s="151" t="s">
        <v>452</v>
      </c>
      <c r="C50" s="149"/>
      <c r="D50" s="152">
        <f t="shared" ref="D50:S50" ca="1" si="14">IFERROR(D49/D$25,0)</f>
        <v>0.37689873935101142</v>
      </c>
      <c r="E50" s="152">
        <f t="shared" ca="1" si="14"/>
        <v>0</v>
      </c>
      <c r="F50" s="152">
        <f t="shared" ca="1" si="14"/>
        <v>0.51339914488150717</v>
      </c>
      <c r="G50" s="152">
        <f t="shared" ca="1" si="14"/>
        <v>0.59738483553843758</v>
      </c>
      <c r="H50" s="152">
        <f t="shared" ca="1" si="14"/>
        <v>0.46741221617485595</v>
      </c>
      <c r="I50" s="152">
        <f t="shared" ca="1" si="14"/>
        <v>0.30015537493239103</v>
      </c>
      <c r="J50" s="152">
        <f t="shared" ca="1" si="14"/>
        <v>0.20178428639220986</v>
      </c>
      <c r="K50" s="152">
        <f t="shared" ca="1" si="14"/>
        <v>0.36781359495520594</v>
      </c>
      <c r="L50" s="152">
        <f t="shared" ca="1" si="14"/>
        <v>0.40290440343685624</v>
      </c>
      <c r="M50" s="152">
        <f t="shared" ca="1" si="14"/>
        <v>0.40417953329711515</v>
      </c>
      <c r="N50" s="152">
        <f t="shared" ca="1" si="14"/>
        <v>0.40535766765780834</v>
      </c>
      <c r="O50" s="152">
        <f t="shared" ca="1" si="14"/>
        <v>0.40649921696647207</v>
      </c>
      <c r="P50" s="152">
        <f t="shared" ca="1" si="14"/>
        <v>0.40754224934310573</v>
      </c>
      <c r="Q50" s="152">
        <f t="shared" ca="1" si="14"/>
        <v>0.40867679172854382</v>
      </c>
      <c r="R50" s="152">
        <f t="shared" ca="1" si="14"/>
        <v>0.42879342970874762</v>
      </c>
      <c r="S50" s="152">
        <f t="shared" ca="1" si="14"/>
        <v>0.42924775182373548</v>
      </c>
    </row>
    <row r="51" spans="2:19" ht="15" customHeight="1" x14ac:dyDescent="0.3">
      <c r="B51" s="95"/>
      <c r="C51" s="14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2:19" ht="15" customHeight="1" x14ac:dyDescent="0.3">
      <c r="B52" s="153" t="s">
        <v>454</v>
      </c>
      <c r="C52" s="310"/>
      <c r="D52" s="187">
        <f>SUM(E52:S52)</f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188"/>
    </row>
    <row r="53" spans="2:19" ht="15" customHeight="1" x14ac:dyDescent="0.3">
      <c r="B53" s="95" t="s">
        <v>455</v>
      </c>
      <c r="C53" s="149"/>
      <c r="D53" s="181">
        <f ca="1">SUM(E53:S53)</f>
        <v>-1087047.605195482</v>
      </c>
      <c r="E53" s="181">
        <f ca="1">-Debt!H128</f>
        <v>0</v>
      </c>
      <c r="F53" s="181">
        <f ca="1">-Debt!I128</f>
        <v>-151200</v>
      </c>
      <c r="G53" s="181">
        <f ca="1">-Debt!J128</f>
        <v>-151200</v>
      </c>
      <c r="H53" s="181">
        <f ca="1">-Debt!K128</f>
        <v>-151200</v>
      </c>
      <c r="I53" s="181">
        <f ca="1">-Debt!L128</f>
        <v>-142130.16125114445</v>
      </c>
      <c r="J53" s="181">
        <f ca="1">-Debt!M128</f>
        <v>-153855.55262000085</v>
      </c>
      <c r="K53" s="181">
        <f ca="1">-Debt!N128</f>
        <v>-141255.45109203347</v>
      </c>
      <c r="L53" s="181">
        <f ca="1">-Debt!O128</f>
        <v>-127315.73397767589</v>
      </c>
      <c r="M53" s="181">
        <f ca="1">-Debt!P128</f>
        <v>-53887.980473623611</v>
      </c>
      <c r="N53" s="181">
        <f ca="1">-Debt!Q128</f>
        <v>-15002.725781003814</v>
      </c>
      <c r="O53" s="181">
        <f ca="1">-Debt!R128</f>
        <v>0</v>
      </c>
      <c r="P53" s="181">
        <f ca="1">-Debt!S128</f>
        <v>0</v>
      </c>
      <c r="Q53" s="181">
        <f ca="1">-Debt!T128</f>
        <v>0</v>
      </c>
      <c r="R53" s="181">
        <f ca="1">-Debt!U128</f>
        <v>0</v>
      </c>
      <c r="S53" s="181">
        <f ca="1">-Debt!V128</f>
        <v>0</v>
      </c>
    </row>
    <row r="54" spans="2:19" ht="15" customHeight="1" x14ac:dyDescent="0.3">
      <c r="B54" s="95" t="s">
        <v>456</v>
      </c>
      <c r="C54" s="149"/>
      <c r="D54" s="181">
        <f>SUM(E54:S54)</f>
        <v>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2:19" ht="15" customHeight="1" x14ac:dyDescent="0.3">
      <c r="B55" s="146" t="s">
        <v>457</v>
      </c>
      <c r="C55" s="147"/>
      <c r="D55" s="183">
        <f ca="1">SUM(E55:S55)</f>
        <v>4388524.1877585612</v>
      </c>
      <c r="E55" s="183">
        <f t="shared" ref="E55:S55" ca="1" si="15">SUM(E49,E52:E54)</f>
        <v>0</v>
      </c>
      <c r="F55" s="183">
        <f t="shared" ca="1" si="15"/>
        <v>36806.506807802216</v>
      </c>
      <c r="G55" s="183">
        <f t="shared" ca="1" si="15"/>
        <v>473661.29540949687</v>
      </c>
      <c r="H55" s="183">
        <f t="shared" ca="1" si="15"/>
        <v>729997.9252783159</v>
      </c>
      <c r="I55" s="183">
        <f t="shared" ca="1" si="15"/>
        <v>510362.36170480703</v>
      </c>
      <c r="J55" s="183">
        <f t="shared" ca="1" si="15"/>
        <v>389645.44702708145</v>
      </c>
      <c r="K55" s="183">
        <f t="shared" ca="1" si="15"/>
        <v>170387.5787819018</v>
      </c>
      <c r="L55" s="183">
        <f t="shared" ca="1" si="15"/>
        <v>122976.78577948354</v>
      </c>
      <c r="M55" s="183">
        <f t="shared" ca="1" si="15"/>
        <v>204463.614127523</v>
      </c>
      <c r="N55" s="183">
        <f t="shared" ca="1" si="15"/>
        <v>251809.51525426959</v>
      </c>
      <c r="O55" s="183">
        <f t="shared" ca="1" si="15"/>
        <v>275523.1488888805</v>
      </c>
      <c r="P55" s="183">
        <f t="shared" ca="1" si="15"/>
        <v>284670.14718096005</v>
      </c>
      <c r="Q55" s="183">
        <f t="shared" ca="1" si="15"/>
        <v>293725.64477058209</v>
      </c>
      <c r="R55" s="183">
        <f t="shared" ca="1" si="15"/>
        <v>317352.9189420442</v>
      </c>
      <c r="S55" s="183">
        <f t="shared" ca="1" si="15"/>
        <v>327141.29780541349</v>
      </c>
    </row>
    <row r="56" spans="2:19" ht="15" customHeight="1" x14ac:dyDescent="0.3">
      <c r="B56" s="151" t="s">
        <v>458</v>
      </c>
      <c r="C56" s="149"/>
      <c r="D56" s="152">
        <f t="shared" ref="D56:S56" ca="1" si="16">IFERROR(D55/D$25,0)</f>
        <v>0.30207424841110198</v>
      </c>
      <c r="E56" s="152">
        <f t="shared" ca="1" si="16"/>
        <v>0</v>
      </c>
      <c r="F56" s="152">
        <f t="shared" ca="1" si="16"/>
        <v>0.100509442157333</v>
      </c>
      <c r="G56" s="152">
        <f t="shared" ca="1" si="16"/>
        <v>0.45283341621229989</v>
      </c>
      <c r="H56" s="152">
        <f t="shared" ca="1" si="16"/>
        <v>0.38721147459535543</v>
      </c>
      <c r="I56" s="152">
        <f t="shared" ca="1" si="16"/>
        <v>0.23477358075293736</v>
      </c>
      <c r="J56" s="152">
        <f t="shared" ca="1" si="16"/>
        <v>0.1446627117988509</v>
      </c>
      <c r="K56" s="152">
        <f t="shared" ca="1" si="16"/>
        <v>0.20109824985604866</v>
      </c>
      <c r="L56" s="152">
        <f t="shared" ca="1" si="16"/>
        <v>0.19795992528717032</v>
      </c>
      <c r="M56" s="152">
        <f t="shared" ca="1" si="16"/>
        <v>0.31987419416507412</v>
      </c>
      <c r="N56" s="152">
        <f t="shared" ca="1" si="16"/>
        <v>0.38256459824127659</v>
      </c>
      <c r="O56" s="152">
        <f t="shared" ca="1" si="16"/>
        <v>0.40649921696647207</v>
      </c>
      <c r="P56" s="152">
        <f t="shared" ca="1" si="16"/>
        <v>0.40754224934310573</v>
      </c>
      <c r="Q56" s="152">
        <f t="shared" ca="1" si="16"/>
        <v>0.40867679172854382</v>
      </c>
      <c r="R56" s="152">
        <f t="shared" ca="1" si="16"/>
        <v>0.42879342970874762</v>
      </c>
      <c r="S56" s="152">
        <f t="shared" ca="1" si="16"/>
        <v>0.42924775182373548</v>
      </c>
    </row>
    <row r="57" spans="2:19" ht="15" customHeight="1" x14ac:dyDescent="0.3">
      <c r="B57" s="95"/>
      <c r="C57" s="14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2:19" ht="15" customHeight="1" x14ac:dyDescent="0.3">
      <c r="B58" s="95" t="s">
        <v>459</v>
      </c>
      <c r="C58" s="133">
        <v>2.5000000000000001E-2</v>
      </c>
      <c r="D58" s="181">
        <f ca="1">SUM(E58:S58)</f>
        <v>-109713.10469396405</v>
      </c>
      <c r="E58" s="181">
        <f t="shared" ref="E58:S58" ca="1" si="17">-IF(E55&gt;0,E55*$C$58,0)</f>
        <v>0</v>
      </c>
      <c r="F58" s="181">
        <f t="shared" ca="1" si="17"/>
        <v>-920.1626701950554</v>
      </c>
      <c r="G58" s="181">
        <f t="shared" ca="1" si="17"/>
        <v>-11841.532385237422</v>
      </c>
      <c r="H58" s="181">
        <f t="shared" ca="1" si="17"/>
        <v>-18249.948131957899</v>
      </c>
      <c r="I58" s="181">
        <f t="shared" ca="1" si="17"/>
        <v>-12759.059042620176</v>
      </c>
      <c r="J58" s="181">
        <f t="shared" ca="1" si="17"/>
        <v>-9741.1361756770366</v>
      </c>
      <c r="K58" s="181">
        <f t="shared" ca="1" si="17"/>
        <v>-4259.6894695475448</v>
      </c>
      <c r="L58" s="181">
        <f t="shared" ca="1" si="17"/>
        <v>-3074.4196444870886</v>
      </c>
      <c r="M58" s="181">
        <f t="shared" ca="1" si="17"/>
        <v>-5111.5903531880758</v>
      </c>
      <c r="N58" s="181">
        <f t="shared" ca="1" si="17"/>
        <v>-6295.2378813567402</v>
      </c>
      <c r="O58" s="181">
        <f t="shared" ca="1" si="17"/>
        <v>-6888.0787222220133</v>
      </c>
      <c r="P58" s="181">
        <f t="shared" ca="1" si="17"/>
        <v>-7116.7536795240012</v>
      </c>
      <c r="Q58" s="181">
        <f t="shared" ca="1" si="17"/>
        <v>-7343.1411192645528</v>
      </c>
      <c r="R58" s="181">
        <f t="shared" ca="1" si="17"/>
        <v>-7933.822973551105</v>
      </c>
      <c r="S58" s="181">
        <f t="shared" ca="1" si="17"/>
        <v>-8178.5324451353372</v>
      </c>
    </row>
    <row r="59" spans="2:19" ht="15" customHeight="1" x14ac:dyDescent="0.3">
      <c r="B59" s="146" t="s">
        <v>460</v>
      </c>
      <c r="C59" s="147"/>
      <c r="D59" s="183">
        <f ca="1">SUM(E59:S59)</f>
        <v>4278811.083064599</v>
      </c>
      <c r="E59" s="183">
        <f t="shared" ref="E59:S59" ca="1" si="18">SUM(E55,E58)</f>
        <v>0</v>
      </c>
      <c r="F59" s="183">
        <f t="shared" ca="1" si="18"/>
        <v>35886.344137607157</v>
      </c>
      <c r="G59" s="183">
        <f t="shared" ca="1" si="18"/>
        <v>461819.76302425948</v>
      </c>
      <c r="H59" s="183">
        <f t="shared" ca="1" si="18"/>
        <v>711747.977146358</v>
      </c>
      <c r="I59" s="183">
        <f t="shared" ca="1" si="18"/>
        <v>497603.30266218685</v>
      </c>
      <c r="J59" s="183">
        <f t="shared" ca="1" si="18"/>
        <v>379904.31085140439</v>
      </c>
      <c r="K59" s="183">
        <f t="shared" ca="1" si="18"/>
        <v>166127.88931235427</v>
      </c>
      <c r="L59" s="183">
        <f t="shared" ca="1" si="18"/>
        <v>119902.36613499645</v>
      </c>
      <c r="M59" s="183">
        <f t="shared" ca="1" si="18"/>
        <v>199352.02377433493</v>
      </c>
      <c r="N59" s="183">
        <f t="shared" ca="1" si="18"/>
        <v>245514.27737291285</v>
      </c>
      <c r="O59" s="183">
        <f t="shared" ca="1" si="18"/>
        <v>268635.07016665849</v>
      </c>
      <c r="P59" s="183">
        <f t="shared" ca="1" si="18"/>
        <v>277553.39350143605</v>
      </c>
      <c r="Q59" s="183">
        <f t="shared" ca="1" si="18"/>
        <v>286382.50365131756</v>
      </c>
      <c r="R59" s="183">
        <f t="shared" ca="1" si="18"/>
        <v>309419.09596849309</v>
      </c>
      <c r="S59" s="183">
        <f t="shared" ca="1" si="18"/>
        <v>318962.76536027814</v>
      </c>
    </row>
    <row r="60" spans="2:19" ht="15" customHeight="1" x14ac:dyDescent="0.3">
      <c r="B60" s="151" t="s">
        <v>461</v>
      </c>
      <c r="C60" s="149"/>
      <c r="D60" s="152">
        <f t="shared" ref="D60:S60" ca="1" si="19">IFERROR(D59/D$25,0)</f>
        <v>0.29452239220082455</v>
      </c>
      <c r="E60" s="152">
        <f t="shared" ca="1" si="19"/>
        <v>0</v>
      </c>
      <c r="F60" s="152">
        <f t="shared" ca="1" si="19"/>
        <v>9.7996706103399667E-2</v>
      </c>
      <c r="G60" s="152">
        <f t="shared" ca="1" si="19"/>
        <v>0.44151258080699241</v>
      </c>
      <c r="H60" s="152">
        <f t="shared" ca="1" si="19"/>
        <v>0.37753118773047156</v>
      </c>
      <c r="I60" s="152">
        <f t="shared" ca="1" si="19"/>
        <v>0.22890424123411393</v>
      </c>
      <c r="J60" s="152">
        <f t="shared" ca="1" si="19"/>
        <v>0.14104614400387963</v>
      </c>
      <c r="K60" s="152">
        <f t="shared" ca="1" si="19"/>
        <v>0.19607079360964746</v>
      </c>
      <c r="L60" s="152">
        <f t="shared" ca="1" si="19"/>
        <v>0.19301092715499107</v>
      </c>
      <c r="M60" s="152">
        <f t="shared" ca="1" si="19"/>
        <v>0.3118773393109473</v>
      </c>
      <c r="N60" s="152">
        <f t="shared" ca="1" si="19"/>
        <v>0.37300048328524466</v>
      </c>
      <c r="O60" s="152">
        <f t="shared" ca="1" si="19"/>
        <v>0.39633673654231022</v>
      </c>
      <c r="P60" s="152">
        <f t="shared" ca="1" si="19"/>
        <v>0.39735369310952806</v>
      </c>
      <c r="Q60" s="152">
        <f t="shared" ca="1" si="19"/>
        <v>0.39845987193533028</v>
      </c>
      <c r="R60" s="152">
        <f t="shared" ca="1" si="19"/>
        <v>0.41807359396602894</v>
      </c>
      <c r="S60" s="152">
        <f t="shared" ca="1" si="19"/>
        <v>0.41851655802814208</v>
      </c>
    </row>
    <row r="61" spans="2:19" ht="15" customHeight="1" x14ac:dyDescent="0.3">
      <c r="B61" s="95"/>
      <c r="C61" s="14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2:19" ht="15" customHeight="1" x14ac:dyDescent="0.3">
      <c r="B62" s="21" t="s">
        <v>193</v>
      </c>
      <c r="C62" s="31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</row>
    <row r="63" spans="2:19" ht="15" customHeight="1" x14ac:dyDescent="0.3"/>
    <row r="64" spans="2:19" ht="15" customHeight="1" x14ac:dyDescent="0.3"/>
    <row r="65" ht="15" customHeight="1" x14ac:dyDescent="0.3"/>
    <row r="66" ht="15" customHeight="1" x14ac:dyDescent="0.3"/>
    <row r="67" ht="15" customHeight="1" x14ac:dyDescent="0.3"/>
  </sheetData>
  <pageMargins left="0.75" right="0.75" top="1" bottom="1" header="0.511811023622047" footer="0.511811023622047"/>
  <pageSetup paperSize="9" scale="42" fitToHeight="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F630-A25C-4D6C-8593-56F8C8E1FAF7}">
  <sheetPr codeName="Sheet2">
    <pageSetUpPr fitToPage="1"/>
  </sheetPr>
  <dimension ref="A1:AJ106"/>
  <sheetViews>
    <sheetView showGridLines="0" zoomScale="70" zoomScaleNormal="7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G21" sqref="G21"/>
    </sheetView>
  </sheetViews>
  <sheetFormatPr defaultColWidth="8.6640625" defaultRowHeight="12.6" outlineLevelRow="1" x14ac:dyDescent="0.3"/>
  <cols>
    <col min="1" max="1" width="3.33203125" style="8" customWidth="1"/>
    <col min="2" max="2" width="51.6640625" style="8" customWidth="1"/>
    <col min="3" max="4" width="10.109375" style="20" customWidth="1"/>
    <col min="5" max="5" width="12.77734375" style="8" customWidth="1"/>
    <col min="6" max="20" width="13" style="8" customWidth="1"/>
    <col min="21" max="21" width="9.6640625" style="8" bestFit="1" customWidth="1"/>
    <col min="22" max="16384" width="8.6640625" style="8"/>
  </cols>
  <sheetData>
    <row r="1" spans="2:20" ht="15" customHeight="1" x14ac:dyDescent="0.3">
      <c r="B1" s="139" t="s">
        <v>613</v>
      </c>
      <c r="C1" s="140"/>
      <c r="D1" s="140"/>
      <c r="E1" s="141" t="s">
        <v>756</v>
      </c>
      <c r="F1" s="410" t="s">
        <v>755</v>
      </c>
      <c r="G1" s="409">
        <f>SUMIF('Capex Allocation'!$V$1:$V$2,$F$1,'Capex Allocation'!$W$1:$W$2)</f>
        <v>2</v>
      </c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</row>
    <row r="2" spans="2:20" ht="15" customHeight="1" x14ac:dyDescent="0.3">
      <c r="B2" s="141" t="s">
        <v>564</v>
      </c>
      <c r="C2" s="142"/>
      <c r="D2" s="142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</row>
    <row r="3" spans="2:20" ht="15" customHeight="1" x14ac:dyDescent="0.3">
      <c r="B3" s="141" t="s">
        <v>569</v>
      </c>
      <c r="G3" s="414"/>
      <c r="H3" s="414"/>
      <c r="I3" s="414"/>
      <c r="J3" s="414"/>
      <c r="K3" s="414"/>
      <c r="L3" s="414"/>
    </row>
    <row r="4" spans="2:20" ht="15" customHeight="1" x14ac:dyDescent="0.3">
      <c r="B4" s="141"/>
      <c r="G4" s="414"/>
      <c r="H4" s="414"/>
      <c r="I4" s="414"/>
      <c r="J4" s="414"/>
      <c r="K4" s="414"/>
      <c r="L4" s="414"/>
    </row>
    <row r="5" spans="2:20" ht="15" customHeight="1" x14ac:dyDescent="0.3">
      <c r="B5" s="74" t="s">
        <v>0</v>
      </c>
      <c r="C5" s="74" t="s">
        <v>43</v>
      </c>
      <c r="D5" s="74"/>
      <c r="E5" s="74" t="s">
        <v>23</v>
      </c>
      <c r="F5" s="74">
        <v>2025</v>
      </c>
      <c r="G5" s="74">
        <f t="shared" ref="G5:T5" si="0">F5+1</f>
        <v>2026</v>
      </c>
      <c r="H5" s="74">
        <f t="shared" si="0"/>
        <v>2027</v>
      </c>
      <c r="I5" s="74">
        <f t="shared" si="0"/>
        <v>2028</v>
      </c>
      <c r="J5" s="74">
        <f t="shared" si="0"/>
        <v>2029</v>
      </c>
      <c r="K5" s="74">
        <f t="shared" si="0"/>
        <v>2030</v>
      </c>
      <c r="L5" s="74">
        <f t="shared" si="0"/>
        <v>2031</v>
      </c>
      <c r="M5" s="74">
        <f t="shared" si="0"/>
        <v>2032</v>
      </c>
      <c r="N5" s="74">
        <f t="shared" si="0"/>
        <v>2033</v>
      </c>
      <c r="O5" s="74">
        <f t="shared" si="0"/>
        <v>2034</v>
      </c>
      <c r="P5" s="74">
        <f t="shared" si="0"/>
        <v>2035</v>
      </c>
      <c r="Q5" s="74">
        <f t="shared" si="0"/>
        <v>2036</v>
      </c>
      <c r="R5" s="74">
        <f t="shared" si="0"/>
        <v>2037</v>
      </c>
      <c r="S5" s="74">
        <f t="shared" si="0"/>
        <v>2038</v>
      </c>
      <c r="T5" s="74">
        <f t="shared" si="0"/>
        <v>2039</v>
      </c>
    </row>
    <row r="6" spans="2:20" ht="15" customHeight="1" x14ac:dyDescent="0.3">
      <c r="B6" s="143" t="s">
        <v>24</v>
      </c>
      <c r="C6" s="144"/>
      <c r="D6" s="144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</row>
    <row r="7" spans="2:20" ht="15" customHeight="1" outlineLevel="1" x14ac:dyDescent="0.3">
      <c r="B7" s="89" t="s">
        <v>25</v>
      </c>
      <c r="C7" s="138"/>
      <c r="D7" s="138"/>
      <c r="E7" s="1"/>
      <c r="F7" s="1"/>
      <c r="M7" s="1"/>
      <c r="N7" s="1"/>
      <c r="O7" s="1"/>
      <c r="P7" s="1"/>
      <c r="Q7" s="1"/>
      <c r="R7" s="1"/>
      <c r="S7" s="1"/>
      <c r="T7" s="1"/>
    </row>
    <row r="8" spans="2:20" ht="15" customHeight="1" outlineLevel="1" x14ac:dyDescent="0.3">
      <c r="B8" s="95" t="s">
        <v>57</v>
      </c>
      <c r="C8" s="312">
        <v>2</v>
      </c>
      <c r="D8" s="367"/>
      <c r="E8" s="181">
        <f t="shared" ref="E8:E13" si="1">SUM(F8:T8)</f>
        <v>2539826.8929531374</v>
      </c>
      <c r="F8" s="182">
        <f>Revenue!L16</f>
        <v>0</v>
      </c>
      <c r="G8" s="182">
        <f>Revenue!M16</f>
        <v>28221.41565220249</v>
      </c>
      <c r="H8" s="182">
        <f>Revenue!N16</f>
        <v>465636.60563715996</v>
      </c>
      <c r="I8" s="182">
        <f>Revenue!O16</f>
        <v>973601.98422778747</v>
      </c>
      <c r="J8" s="182">
        <f>Revenue!P16</f>
        <v>945375.5427883307</v>
      </c>
      <c r="K8" s="182">
        <f>Revenue!Q16</f>
        <v>126991.34464765688</v>
      </c>
      <c r="L8" s="182">
        <f>Revenue!R16</f>
        <v>0</v>
      </c>
      <c r="M8" s="182">
        <f>Revenue!S16</f>
        <v>0</v>
      </c>
      <c r="N8" s="182">
        <f>Revenue!T16</f>
        <v>0</v>
      </c>
      <c r="O8" s="182">
        <f>Revenue!U16</f>
        <v>0</v>
      </c>
      <c r="P8" s="182">
        <f>Revenue!V16</f>
        <v>0</v>
      </c>
      <c r="Q8" s="182">
        <f>Revenue!W16</f>
        <v>0</v>
      </c>
      <c r="R8" s="182">
        <f>Revenue!X16</f>
        <v>0</v>
      </c>
      <c r="S8" s="182">
        <f>Revenue!Y16</f>
        <v>0</v>
      </c>
      <c r="T8" s="182">
        <f>Revenue!Z16</f>
        <v>0</v>
      </c>
    </row>
    <row r="9" spans="2:20" ht="15" customHeight="1" outlineLevel="1" x14ac:dyDescent="0.3">
      <c r="B9" s="95" t="s">
        <v>56</v>
      </c>
      <c r="C9" s="312">
        <v>3</v>
      </c>
      <c r="D9" s="367"/>
      <c r="E9" s="181">
        <f t="shared" si="1"/>
        <v>1594797.0000000002</v>
      </c>
      <c r="F9" s="182">
        <f>Revenue!L17</f>
        <v>0</v>
      </c>
      <c r="G9" s="182">
        <f>Revenue!M17</f>
        <v>0</v>
      </c>
      <c r="H9" s="182">
        <f>Revenue!N17</f>
        <v>106319.8</v>
      </c>
      <c r="I9" s="182">
        <f>Revenue!O17</f>
        <v>425279.19999999995</v>
      </c>
      <c r="J9" s="182">
        <f>Revenue!P17</f>
        <v>744238.6</v>
      </c>
      <c r="K9" s="182">
        <f>Revenue!Q17</f>
        <v>239219.55</v>
      </c>
      <c r="L9" s="182">
        <f>Revenue!R17</f>
        <v>79739.850000000006</v>
      </c>
      <c r="M9" s="182">
        <f>Revenue!S17</f>
        <v>0</v>
      </c>
      <c r="N9" s="182">
        <f>Revenue!T17</f>
        <v>0</v>
      </c>
      <c r="O9" s="182">
        <f>Revenue!U17</f>
        <v>0</v>
      </c>
      <c r="P9" s="182">
        <f>Revenue!V17</f>
        <v>0</v>
      </c>
      <c r="Q9" s="182">
        <f>Revenue!W17</f>
        <v>0</v>
      </c>
      <c r="R9" s="182">
        <f>Revenue!X17</f>
        <v>0</v>
      </c>
      <c r="S9" s="182">
        <f>Revenue!Y17</f>
        <v>0</v>
      </c>
      <c r="T9" s="182">
        <f>Revenue!Z17</f>
        <v>0</v>
      </c>
    </row>
    <row r="10" spans="2:20" ht="15" customHeight="1" outlineLevel="1" x14ac:dyDescent="0.3">
      <c r="B10" s="95" t="s">
        <v>55</v>
      </c>
      <c r="C10" s="312">
        <v>2</v>
      </c>
      <c r="D10" s="367"/>
      <c r="E10" s="181">
        <f t="shared" si="1"/>
        <v>838610.8</v>
      </c>
      <c r="F10" s="182">
        <f>Revenue!L18</f>
        <v>0</v>
      </c>
      <c r="G10" s="182">
        <f>Revenue!M18</f>
        <v>9548.1200000000008</v>
      </c>
      <c r="H10" s="182">
        <f>Revenue!N18</f>
        <v>153658.97999999998</v>
      </c>
      <c r="I10" s="182">
        <f>Revenue!O18</f>
        <v>320863.14</v>
      </c>
      <c r="J10" s="182">
        <f>Revenue!P18</f>
        <v>312610.02</v>
      </c>
      <c r="K10" s="182">
        <f>Revenue!Q18</f>
        <v>41930.54</v>
      </c>
      <c r="L10" s="182">
        <f>Revenue!R18</f>
        <v>0</v>
      </c>
      <c r="M10" s="182">
        <f>Revenue!S18</f>
        <v>0</v>
      </c>
      <c r="N10" s="182">
        <f>Revenue!T18</f>
        <v>0</v>
      </c>
      <c r="O10" s="182">
        <f>Revenue!U18</f>
        <v>0</v>
      </c>
      <c r="P10" s="182">
        <f>Revenue!V18</f>
        <v>0</v>
      </c>
      <c r="Q10" s="182">
        <f>Revenue!W18</f>
        <v>0</v>
      </c>
      <c r="R10" s="182">
        <f>Revenue!X18</f>
        <v>0</v>
      </c>
      <c r="S10" s="182">
        <f>Revenue!Y18</f>
        <v>0</v>
      </c>
      <c r="T10" s="182">
        <f>Revenue!Z18</f>
        <v>0</v>
      </c>
    </row>
    <row r="11" spans="2:20" ht="15" customHeight="1" outlineLevel="1" x14ac:dyDescent="0.3">
      <c r="B11" s="95" t="s">
        <v>52</v>
      </c>
      <c r="C11" s="312">
        <v>2</v>
      </c>
      <c r="D11" s="367"/>
      <c r="E11" s="181">
        <f t="shared" si="1"/>
        <v>282214.15652202489</v>
      </c>
      <c r="F11" s="182">
        <f>Revenue!L19</f>
        <v>0</v>
      </c>
      <c r="G11" s="182">
        <f>Revenue!M19</f>
        <v>0</v>
      </c>
      <c r="H11" s="182">
        <f>Revenue!N19</f>
        <v>0</v>
      </c>
      <c r="I11" s="182">
        <f>Revenue!O19</f>
        <v>0</v>
      </c>
      <c r="J11" s="182">
        <f>Revenue!P19</f>
        <v>0</v>
      </c>
      <c r="K11" s="182">
        <f>Revenue!Q19</f>
        <v>282214.15652202489</v>
      </c>
      <c r="L11" s="182">
        <f>Revenue!R19</f>
        <v>0</v>
      </c>
      <c r="M11" s="182">
        <f>Revenue!S19</f>
        <v>0</v>
      </c>
      <c r="N11" s="182">
        <f>Revenue!T19</f>
        <v>0</v>
      </c>
      <c r="O11" s="182">
        <f>Revenue!U19</f>
        <v>0</v>
      </c>
      <c r="P11" s="182">
        <f>Revenue!V19</f>
        <v>0</v>
      </c>
      <c r="Q11" s="182">
        <f>Revenue!W19</f>
        <v>0</v>
      </c>
      <c r="R11" s="182">
        <f>Revenue!X19</f>
        <v>0</v>
      </c>
      <c r="S11" s="182">
        <f>Revenue!Y19</f>
        <v>0</v>
      </c>
      <c r="T11" s="182">
        <f>Revenue!Z19</f>
        <v>0</v>
      </c>
    </row>
    <row r="12" spans="2:20" ht="15" customHeight="1" outlineLevel="1" x14ac:dyDescent="0.3">
      <c r="B12" s="95" t="s">
        <v>47</v>
      </c>
      <c r="C12" s="312">
        <v>3</v>
      </c>
      <c r="D12" s="367"/>
      <c r="E12" s="181">
        <f t="shared" si="1"/>
        <v>1063227</v>
      </c>
      <c r="F12" s="182">
        <f>Revenue!L20</f>
        <v>0</v>
      </c>
      <c r="G12" s="182">
        <f>Revenue!M20</f>
        <v>0</v>
      </c>
      <c r="H12" s="182">
        <f>Revenue!N20</f>
        <v>0</v>
      </c>
      <c r="I12" s="182">
        <f>Revenue!O20</f>
        <v>0</v>
      </c>
      <c r="J12" s="182">
        <f>Revenue!P20</f>
        <v>0</v>
      </c>
      <c r="K12" s="182">
        <f>Revenue!Q20</f>
        <v>797413</v>
      </c>
      <c r="L12" s="182">
        <f>Revenue!R20</f>
        <v>265814</v>
      </c>
      <c r="M12" s="182">
        <f>Revenue!S20</f>
        <v>0</v>
      </c>
      <c r="N12" s="182">
        <f>Revenue!T20</f>
        <v>0</v>
      </c>
      <c r="O12" s="182">
        <f>Revenue!U20</f>
        <v>0</v>
      </c>
      <c r="P12" s="182">
        <f>Revenue!V20</f>
        <v>0</v>
      </c>
      <c r="Q12" s="182">
        <f>Revenue!W20</f>
        <v>0</v>
      </c>
      <c r="R12" s="182">
        <f>Revenue!X20</f>
        <v>0</v>
      </c>
      <c r="S12" s="182">
        <f>Revenue!Y20</f>
        <v>0</v>
      </c>
      <c r="T12" s="182">
        <f>Revenue!Z20</f>
        <v>0</v>
      </c>
    </row>
    <row r="13" spans="2:20" ht="15" customHeight="1" outlineLevel="1" x14ac:dyDescent="0.3">
      <c r="B13" s="84" t="s">
        <v>91</v>
      </c>
      <c r="C13" s="312">
        <v>2</v>
      </c>
      <c r="D13" s="367"/>
      <c r="E13" s="181">
        <f t="shared" si="1"/>
        <v>90301.2</v>
      </c>
      <c r="F13" s="182">
        <f>Revenue!L21</f>
        <v>0</v>
      </c>
      <c r="G13" s="182">
        <f>Revenue!M21</f>
        <v>0</v>
      </c>
      <c r="H13" s="182">
        <f>Revenue!N21</f>
        <v>0</v>
      </c>
      <c r="I13" s="182">
        <f>Revenue!O21</f>
        <v>0</v>
      </c>
      <c r="J13" s="182">
        <f>Revenue!P21</f>
        <v>0</v>
      </c>
      <c r="K13" s="182">
        <f>Revenue!Q21</f>
        <v>90301.2</v>
      </c>
      <c r="L13" s="182">
        <f>Revenue!R21</f>
        <v>0</v>
      </c>
      <c r="M13" s="182">
        <f>Revenue!S21</f>
        <v>0</v>
      </c>
      <c r="N13" s="182">
        <f>Revenue!T21</f>
        <v>0</v>
      </c>
      <c r="O13" s="182">
        <f>Revenue!U21</f>
        <v>0</v>
      </c>
      <c r="P13" s="182">
        <f>Revenue!V21</f>
        <v>0</v>
      </c>
      <c r="Q13" s="182">
        <f>Revenue!W21</f>
        <v>0</v>
      </c>
      <c r="R13" s="182">
        <f>Revenue!X21</f>
        <v>0</v>
      </c>
      <c r="S13" s="182">
        <f>Revenue!Y21</f>
        <v>0</v>
      </c>
      <c r="T13" s="182">
        <f>Revenue!Z21</f>
        <v>0</v>
      </c>
    </row>
    <row r="14" spans="2:20" ht="15" customHeight="1" outlineLevel="1" x14ac:dyDescent="0.3">
      <c r="B14" s="89" t="s">
        <v>26</v>
      </c>
      <c r="C14" s="138"/>
      <c r="D14" s="138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2:20" ht="15" customHeight="1" outlineLevel="1" x14ac:dyDescent="0.3">
      <c r="B15" s="95" t="s">
        <v>53</v>
      </c>
      <c r="C15" s="312">
        <v>1</v>
      </c>
      <c r="D15" s="367"/>
      <c r="E15" s="181">
        <f>SUM(F15:T15)</f>
        <v>5814328.8520875061</v>
      </c>
      <c r="F15" s="182">
        <f>Revenue!L223</f>
        <v>0</v>
      </c>
      <c r="G15" s="182">
        <f>Revenue!M223</f>
        <v>323867.37000000005</v>
      </c>
      <c r="H15" s="182">
        <f>Revenue!N223</f>
        <v>336217.37000000017</v>
      </c>
      <c r="I15" s="182">
        <f>Revenue!O223</f>
        <v>348567.37000000005</v>
      </c>
      <c r="J15" s="182">
        <f>Revenue!P223</f>
        <v>362217.37000000011</v>
      </c>
      <c r="K15" s="182">
        <f>Revenue!Q223</f>
        <v>377617.37000000017</v>
      </c>
      <c r="L15" s="182">
        <f>Revenue!R223</f>
        <v>400216.51029168075</v>
      </c>
      <c r="M15" s="182">
        <f>Revenue!S223</f>
        <v>412223.00560043112</v>
      </c>
      <c r="N15" s="182">
        <f>Revenue!T223</f>
        <v>424589.69576844398</v>
      </c>
      <c r="O15" s="182">
        <f>Revenue!U223</f>
        <v>437327.38664149726</v>
      </c>
      <c r="P15" s="182">
        <f>Revenue!V223</f>
        <v>450447.20824074215</v>
      </c>
      <c r="Q15" s="182">
        <f>Revenue!W223</f>
        <v>463960.62448796479</v>
      </c>
      <c r="R15" s="182">
        <f>Revenue!X223</f>
        <v>477879.44322260359</v>
      </c>
      <c r="S15" s="182">
        <f>Revenue!Y223</f>
        <v>492215.82651928131</v>
      </c>
      <c r="T15" s="182">
        <f>Revenue!Z223</f>
        <v>506982.30131486047</v>
      </c>
    </row>
    <row r="16" spans="2:20" ht="15" customHeight="1" outlineLevel="1" x14ac:dyDescent="0.3">
      <c r="B16" s="95" t="s">
        <v>46</v>
      </c>
      <c r="C16" s="312">
        <v>2</v>
      </c>
      <c r="D16" s="367"/>
      <c r="E16" s="181">
        <f>SUM(F16:T16)</f>
        <v>998402.50034685014</v>
      </c>
      <c r="F16" s="182">
        <f>Revenue!L224</f>
        <v>0</v>
      </c>
      <c r="G16" s="182">
        <f>Revenue!M224</f>
        <v>0</v>
      </c>
      <c r="H16" s="182">
        <f>Revenue!N224</f>
        <v>0</v>
      </c>
      <c r="I16" s="182">
        <f>Revenue!O224</f>
        <v>0</v>
      </c>
      <c r="J16" s="182">
        <f>Revenue!P224</f>
        <v>50085.648073760967</v>
      </c>
      <c r="K16" s="182">
        <f>Revenue!Q224</f>
        <v>59495.900492874891</v>
      </c>
      <c r="L16" s="182">
        <f>Revenue!R224</f>
        <v>78346.310484478177</v>
      </c>
      <c r="M16" s="182">
        <f>Revenue!S224</f>
        <v>91332.947305411581</v>
      </c>
      <c r="N16" s="182">
        <f>Revenue!T224</f>
        <v>93815.905845545029</v>
      </c>
      <c r="O16" s="182">
        <f>Revenue!U224</f>
        <v>96630.383020911395</v>
      </c>
      <c r="P16" s="182">
        <f>Revenue!V224</f>
        <v>99529.294511538741</v>
      </c>
      <c r="Q16" s="182">
        <f>Revenue!W224</f>
        <v>102796.0368355065</v>
      </c>
      <c r="R16" s="182">
        <f>Revenue!X224</f>
        <v>105590.62854729142</v>
      </c>
      <c r="S16" s="182">
        <f>Revenue!Y224</f>
        <v>108758.34740371018</v>
      </c>
      <c r="T16" s="182">
        <f>Revenue!Z224</f>
        <v>112021.09782582149</v>
      </c>
    </row>
    <row r="17" spans="1:20" ht="15" customHeight="1" outlineLevel="1" x14ac:dyDescent="0.3">
      <c r="B17" s="95" t="s">
        <v>45</v>
      </c>
      <c r="C17" s="312">
        <v>2</v>
      </c>
      <c r="D17" s="367"/>
      <c r="E17" s="181">
        <f>SUM(F17:T17)</f>
        <v>970246.362680258</v>
      </c>
      <c r="F17" s="182">
        <f>Revenue!L225</f>
        <v>0</v>
      </c>
      <c r="G17" s="182">
        <f>Revenue!M225</f>
        <v>0</v>
      </c>
      <c r="H17" s="182">
        <f>Revenue!N225</f>
        <v>0</v>
      </c>
      <c r="I17" s="182">
        <f>Revenue!O225</f>
        <v>0</v>
      </c>
      <c r="J17" s="182">
        <f>Revenue!P225</f>
        <v>60561.715701122994</v>
      </c>
      <c r="K17" s="182">
        <f>Revenue!Q225</f>
        <v>68319.383093314464</v>
      </c>
      <c r="L17" s="182">
        <f>Revenue!R225</f>
        <v>77252.885034755484</v>
      </c>
      <c r="M17" s="182">
        <f>Revenue!S225</f>
        <v>86108.351917640903</v>
      </c>
      <c r="N17" s="182">
        <f>Revenue!T225</f>
        <v>88449.275692451061</v>
      </c>
      <c r="O17" s="182">
        <f>Revenue!U225</f>
        <v>91102.753963224604</v>
      </c>
      <c r="P17" s="182">
        <f>Revenue!V225</f>
        <v>93835.836582121323</v>
      </c>
      <c r="Q17" s="182">
        <f>Revenue!W225</f>
        <v>96915.708697885202</v>
      </c>
      <c r="R17" s="182">
        <f>Revenue!X225</f>
        <v>99550.439029972506</v>
      </c>
      <c r="S17" s="182">
        <f>Revenue!Y225</f>
        <v>102536.95220087167</v>
      </c>
      <c r="T17" s="182">
        <f>Revenue!Z225</f>
        <v>105613.06076689782</v>
      </c>
    </row>
    <row r="18" spans="1:20" ht="15" customHeight="1" outlineLevel="1" x14ac:dyDescent="0.3">
      <c r="B18" s="89" t="s">
        <v>27</v>
      </c>
      <c r="C18" s="138"/>
      <c r="D18" s="138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5" customHeight="1" outlineLevel="1" x14ac:dyDescent="0.3">
      <c r="B19" s="95" t="s">
        <v>54</v>
      </c>
      <c r="C19" s="312">
        <v>2</v>
      </c>
      <c r="D19" s="367"/>
      <c r="E19" s="181">
        <f>SUM(F19:T19)</f>
        <v>220121.28609806683</v>
      </c>
      <c r="F19" s="182">
        <f>Revenue!L324</f>
        <v>0</v>
      </c>
      <c r="G19" s="182">
        <f>Revenue!M324</f>
        <v>0</v>
      </c>
      <c r="H19" s="182">
        <f>Revenue!N324</f>
        <v>0</v>
      </c>
      <c r="I19" s="182">
        <f>Revenue!O324</f>
        <v>0</v>
      </c>
      <c r="J19" s="182">
        <f>Revenue!P324</f>
        <v>9598.2877763964825</v>
      </c>
      <c r="K19" s="182">
        <f>Revenue!Q324</f>
        <v>13117.659961075191</v>
      </c>
      <c r="L19" s="182">
        <f>Revenue!R324</f>
        <v>16807.001825127587</v>
      </c>
      <c r="M19" s="182">
        <f>Revenue!S324</f>
        <v>20672.612244906937</v>
      </c>
      <c r="N19" s="182">
        <f>Revenue!T324</f>
        <v>21189.427551029607</v>
      </c>
      <c r="O19" s="182">
        <f>Revenue!U324</f>
        <v>21719.163239805344</v>
      </c>
      <c r="P19" s="182">
        <f>Revenue!V324</f>
        <v>22262.142320800478</v>
      </c>
      <c r="Q19" s="182">
        <f>Revenue!W324</f>
        <v>22818.69587882049</v>
      </c>
      <c r="R19" s="182">
        <f>Revenue!X324</f>
        <v>23389.163275791001</v>
      </c>
      <c r="S19" s="182">
        <f>Revenue!Y324</f>
        <v>23973.892357685771</v>
      </c>
      <c r="T19" s="182">
        <f>Revenue!Z324</f>
        <v>24573.239666627913</v>
      </c>
    </row>
    <row r="20" spans="1:20" ht="15" customHeight="1" outlineLevel="1" x14ac:dyDescent="0.3">
      <c r="B20" s="95" t="s">
        <v>54</v>
      </c>
      <c r="C20" s="312">
        <v>3</v>
      </c>
      <c r="D20" s="367"/>
      <c r="E20" s="181">
        <f>SUM(F20:T20)</f>
        <v>115889.21229639373</v>
      </c>
      <c r="F20" s="182">
        <f>Revenue!L325</f>
        <v>0</v>
      </c>
      <c r="G20" s="182">
        <f>Revenue!M325</f>
        <v>0</v>
      </c>
      <c r="H20" s="182">
        <f>Revenue!N325</f>
        <v>0</v>
      </c>
      <c r="I20" s="182">
        <f>Revenue!O325</f>
        <v>0</v>
      </c>
      <c r="J20" s="182">
        <f>Revenue!P325</f>
        <v>5053.295978404979</v>
      </c>
      <c r="K20" s="182">
        <f>Revenue!Q325</f>
        <v>6906.1711704868039</v>
      </c>
      <c r="L20" s="182">
        <f>Revenue!R325</f>
        <v>8848.5318121862165</v>
      </c>
      <c r="M20" s="182">
        <f>Revenue!S325</f>
        <v>10883.694128989051</v>
      </c>
      <c r="N20" s="182">
        <f>Revenue!T325</f>
        <v>11155.786482213774</v>
      </c>
      <c r="O20" s="182">
        <f>Revenue!U325</f>
        <v>11434.681144269116</v>
      </c>
      <c r="P20" s="182">
        <f>Revenue!V325</f>
        <v>11720.548172875846</v>
      </c>
      <c r="Q20" s="182">
        <f>Revenue!W325</f>
        <v>12013.561877197741</v>
      </c>
      <c r="R20" s="182">
        <f>Revenue!X325</f>
        <v>12313.900924127684</v>
      </c>
      <c r="S20" s="182">
        <f>Revenue!Y325</f>
        <v>12621.748447230873</v>
      </c>
      <c r="T20" s="182">
        <f>Revenue!Z325</f>
        <v>12937.292158411645</v>
      </c>
    </row>
    <row r="21" spans="1:20" ht="15" customHeight="1" outlineLevel="1" x14ac:dyDescent="0.3">
      <c r="B21" s="146" t="s">
        <v>28</v>
      </c>
      <c r="C21" s="147"/>
      <c r="D21" s="147"/>
      <c r="E21" s="183">
        <f>SUM(F21:T21)</f>
        <v>14527965.262984239</v>
      </c>
      <c r="F21" s="183">
        <f t="shared" ref="F21:T21" si="2">SUM(F7:F20)</f>
        <v>0</v>
      </c>
      <c r="G21" s="183">
        <f t="shared" si="2"/>
        <v>361636.90565220255</v>
      </c>
      <c r="H21" s="183">
        <f t="shared" si="2"/>
        <v>1061832.75563716</v>
      </c>
      <c r="I21" s="183">
        <f t="shared" si="2"/>
        <v>2068311.6942277877</v>
      </c>
      <c r="J21" s="183">
        <f t="shared" si="2"/>
        <v>2489740.4803180159</v>
      </c>
      <c r="K21" s="183">
        <f t="shared" si="2"/>
        <v>2103526.2758874334</v>
      </c>
      <c r="L21" s="183">
        <f t="shared" si="2"/>
        <v>927025.08944822825</v>
      </c>
      <c r="M21" s="183">
        <f t="shared" si="2"/>
        <v>621220.61119737953</v>
      </c>
      <c r="N21" s="183">
        <f t="shared" si="2"/>
        <v>639200.09133968339</v>
      </c>
      <c r="O21" s="183">
        <f t="shared" si="2"/>
        <v>658214.36800970766</v>
      </c>
      <c r="P21" s="183">
        <f t="shared" si="2"/>
        <v>677795.02982807858</v>
      </c>
      <c r="Q21" s="183">
        <f t="shared" si="2"/>
        <v>698504.62777737458</v>
      </c>
      <c r="R21" s="183">
        <f t="shared" si="2"/>
        <v>718723.57499978621</v>
      </c>
      <c r="S21" s="183">
        <f t="shared" si="2"/>
        <v>740106.76692877978</v>
      </c>
      <c r="T21" s="183">
        <f t="shared" si="2"/>
        <v>762126.99173261947</v>
      </c>
    </row>
    <row r="22" spans="1:20" ht="15" customHeight="1" outlineLevel="1" x14ac:dyDescent="0.3">
      <c r="A22" s="12"/>
      <c r="B22" s="148" t="s">
        <v>515</v>
      </c>
      <c r="C22" s="340"/>
      <c r="D22" s="340"/>
      <c r="E22" s="184">
        <f>SUM(F22:T22)</f>
        <v>-195739.7937181255</v>
      </c>
      <c r="F22" s="182">
        <f>'Wafi Escrow'!G32</f>
        <v>0</v>
      </c>
      <c r="G22" s="182">
        <f>'Wafi Escrow'!H32</f>
        <v>-1510.7814260880996</v>
      </c>
      <c r="H22" s="182">
        <f>'Wafi Escrow'!I32</f>
        <v>-29024.615425486398</v>
      </c>
      <c r="I22" s="182">
        <f>'Wafi Escrow'!J32</f>
        <v>-68789.772969111509</v>
      </c>
      <c r="J22" s="182">
        <f>'Wafi Escrow'!K32</f>
        <v>-80088.966511533232</v>
      </c>
      <c r="K22" s="182">
        <f>'Wafi Escrow'!L32</f>
        <v>-16325.657385906276</v>
      </c>
      <c r="L22" s="182">
        <f>'Wafi Escrow'!M32</f>
        <v>0</v>
      </c>
      <c r="M22" s="182">
        <f>'Wafi Escrow'!N32</f>
        <v>0</v>
      </c>
      <c r="N22" s="182">
        <f>'Wafi Escrow'!O32</f>
        <v>0</v>
      </c>
      <c r="O22" s="182">
        <f>'Wafi Escrow'!P32</f>
        <v>0</v>
      </c>
      <c r="P22" s="182">
        <f>'Wafi Escrow'!Q32</f>
        <v>0</v>
      </c>
      <c r="Q22" s="182">
        <f>'Wafi Escrow'!R32</f>
        <v>0</v>
      </c>
      <c r="R22" s="182">
        <f>'Wafi Escrow'!S32</f>
        <v>0</v>
      </c>
      <c r="S22" s="182">
        <f>'Wafi Escrow'!T32</f>
        <v>0</v>
      </c>
      <c r="T22" s="182">
        <f>'Wafi Escrow'!U32</f>
        <v>0</v>
      </c>
    </row>
    <row r="23" spans="1:20" ht="15" customHeight="1" outlineLevel="1" x14ac:dyDescent="0.3">
      <c r="A23" s="12"/>
      <c r="B23" s="309" t="s">
        <v>516</v>
      </c>
      <c r="C23" s="340"/>
      <c r="D23" s="340"/>
      <c r="E23" s="381">
        <f>SUM(F23:T23)</f>
        <v>195739.79371812553</v>
      </c>
      <c r="F23" s="182">
        <f>'Wafi Escrow'!G33</f>
        <v>0</v>
      </c>
      <c r="G23" s="182">
        <f>'Wafi Escrow'!H33</f>
        <v>0</v>
      </c>
      <c r="H23" s="182">
        <f>'Wafi Escrow'!I33</f>
        <v>0</v>
      </c>
      <c r="I23" s="182">
        <f>'Wafi Escrow'!J33</f>
        <v>0</v>
      </c>
      <c r="J23" s="182">
        <f>'Wafi Escrow'!K33</f>
        <v>0</v>
      </c>
      <c r="K23" s="182">
        <f>'Wafi Escrow'!L33</f>
        <v>195739.79371812553</v>
      </c>
      <c r="L23" s="182">
        <f>'Wafi Escrow'!M33</f>
        <v>0</v>
      </c>
      <c r="M23" s="182">
        <f>'Wafi Escrow'!N33</f>
        <v>0</v>
      </c>
      <c r="N23" s="182">
        <f>'Wafi Escrow'!O33</f>
        <v>0</v>
      </c>
      <c r="O23" s="182">
        <f>'Wafi Escrow'!P33</f>
        <v>0</v>
      </c>
      <c r="P23" s="182">
        <f>'Wafi Escrow'!Q33</f>
        <v>0</v>
      </c>
      <c r="Q23" s="182">
        <f>'Wafi Escrow'!R33</f>
        <v>0</v>
      </c>
      <c r="R23" s="182">
        <f>'Wafi Escrow'!S33</f>
        <v>0</v>
      </c>
      <c r="S23" s="182">
        <f>'Wafi Escrow'!T33</f>
        <v>0</v>
      </c>
      <c r="T23" s="182">
        <f>'Wafi Escrow'!U33</f>
        <v>0</v>
      </c>
    </row>
    <row r="24" spans="1:20" ht="15" customHeight="1" outlineLevel="1" x14ac:dyDescent="0.3">
      <c r="A24" s="12"/>
      <c r="B24" s="146" t="s">
        <v>536</v>
      </c>
      <c r="C24" s="147"/>
      <c r="D24" s="147"/>
      <c r="E24" s="183">
        <f t="shared" ref="E24:T24" si="3">SUM(E22:E23)</f>
        <v>0</v>
      </c>
      <c r="F24" s="183">
        <f t="shared" si="3"/>
        <v>0</v>
      </c>
      <c r="G24" s="183">
        <f t="shared" si="3"/>
        <v>-1510.7814260880996</v>
      </c>
      <c r="H24" s="183">
        <f t="shared" si="3"/>
        <v>-29024.615425486398</v>
      </c>
      <c r="I24" s="183">
        <f t="shared" si="3"/>
        <v>-68789.772969111509</v>
      </c>
      <c r="J24" s="183">
        <f t="shared" si="3"/>
        <v>-80088.966511533232</v>
      </c>
      <c r="K24" s="183">
        <f t="shared" si="3"/>
        <v>179414.13633221926</v>
      </c>
      <c r="L24" s="183">
        <f t="shared" si="3"/>
        <v>0</v>
      </c>
      <c r="M24" s="183">
        <f t="shared" si="3"/>
        <v>0</v>
      </c>
      <c r="N24" s="183">
        <f t="shared" si="3"/>
        <v>0</v>
      </c>
      <c r="O24" s="183">
        <f t="shared" si="3"/>
        <v>0</v>
      </c>
      <c r="P24" s="183">
        <f t="shared" si="3"/>
        <v>0</v>
      </c>
      <c r="Q24" s="183">
        <f t="shared" si="3"/>
        <v>0</v>
      </c>
      <c r="R24" s="183">
        <f t="shared" si="3"/>
        <v>0</v>
      </c>
      <c r="S24" s="183">
        <f t="shared" si="3"/>
        <v>0</v>
      </c>
      <c r="T24" s="183">
        <f t="shared" si="3"/>
        <v>0</v>
      </c>
    </row>
    <row r="25" spans="1:20" ht="15" customHeight="1" x14ac:dyDescent="0.3">
      <c r="B25" s="95"/>
      <c r="C25" s="149"/>
      <c r="D25" s="14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5" customHeight="1" x14ac:dyDescent="0.3">
      <c r="B26" s="143" t="s">
        <v>709</v>
      </c>
      <c r="C26" s="144"/>
      <c r="D26" s="144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spans="1:20" ht="15" customHeight="1" outlineLevel="1" x14ac:dyDescent="0.3">
      <c r="B27" s="89" t="s">
        <v>710</v>
      </c>
      <c r="C27" s="149"/>
      <c r="D27" s="149"/>
      <c r="E27" s="181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</row>
    <row r="28" spans="1:20" ht="15" customHeight="1" outlineLevel="1" x14ac:dyDescent="0.3">
      <c r="B28" s="89" t="s">
        <v>667</v>
      </c>
      <c r="C28" s="149"/>
      <c r="D28" s="149"/>
      <c r="E28" s="181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</row>
    <row r="29" spans="1:20" ht="15" customHeight="1" outlineLevel="1" x14ac:dyDescent="0.3">
      <c r="B29" s="390" t="s">
        <v>6</v>
      </c>
      <c r="C29" s="312">
        <v>1</v>
      </c>
      <c r="D29" s="149"/>
      <c r="E29" s="181">
        <f t="shared" ref="E29:E34" si="4">SUM(F29:T29)</f>
        <v>-3046310.0226852801</v>
      </c>
      <c r="F29" s="182">
        <f>Costs!J100</f>
        <v>0</v>
      </c>
      <c r="G29" s="182">
        <f>Costs!K100</f>
        <v>-153987.89890410966</v>
      </c>
      <c r="H29" s="182">
        <f>Costs!L100</f>
        <v>-173647.90438356178</v>
      </c>
      <c r="I29" s="182">
        <f>Costs!M100</f>
        <v>-175283.41205479449</v>
      </c>
      <c r="J29" s="182">
        <f>Costs!N100</f>
        <v>-186401.80917801586</v>
      </c>
      <c r="K29" s="182">
        <f>Costs!O100</f>
        <v>-199631.21832933192</v>
      </c>
      <c r="L29" s="182">
        <f>Costs!P100</f>
        <v>-211913.46210345704</v>
      </c>
      <c r="M29" s="182">
        <f>Costs!Q100</f>
        <v>-218777.64263661386</v>
      </c>
      <c r="N29" s="182">
        <f>Costs!R100</f>
        <v>-225340.97191571223</v>
      </c>
      <c r="O29" s="182">
        <f>Costs!S100</f>
        <v>-232101.20107318359</v>
      </c>
      <c r="P29" s="182">
        <f>Costs!T100</f>
        <v>-239064.23710537911</v>
      </c>
      <c r="Q29" s="182">
        <f>Costs!U100</f>
        <v>-246236.16421854062</v>
      </c>
      <c r="R29" s="182">
        <f>Costs!V100</f>
        <v>-253623.24914509681</v>
      </c>
      <c r="S29" s="182">
        <f>Costs!W100</f>
        <v>-261231.94661944953</v>
      </c>
      <c r="T29" s="182">
        <f>Costs!X100</f>
        <v>-269068.90501803334</v>
      </c>
    </row>
    <row r="30" spans="1:20" ht="15" customHeight="1" outlineLevel="1" x14ac:dyDescent="0.3">
      <c r="B30" s="390" t="s">
        <v>7</v>
      </c>
      <c r="C30" s="312">
        <v>1</v>
      </c>
      <c r="D30" s="149"/>
      <c r="E30" s="181">
        <f t="shared" si="4"/>
        <v>-736034.5671241784</v>
      </c>
      <c r="F30" s="182">
        <f>Costs!J101</f>
        <v>0</v>
      </c>
      <c r="G30" s="182">
        <f>Costs!K101</f>
        <v>0</v>
      </c>
      <c r="H30" s="182">
        <f>Costs!L101</f>
        <v>0</v>
      </c>
      <c r="I30" s="182">
        <f>Costs!M101</f>
        <v>0</v>
      </c>
      <c r="J30" s="182">
        <f>Costs!N101</f>
        <v>-34204.355594482236</v>
      </c>
      <c r="K30" s="182">
        <f>Costs!O101</f>
        <v>-43693.856397379779</v>
      </c>
      <c r="L30" s="182">
        <f>Costs!P101</f>
        <v>-57142.628182056469</v>
      </c>
      <c r="M30" s="182">
        <f>Costs!Q101</f>
        <v>-67164.257395891487</v>
      </c>
      <c r="N30" s="182">
        <f>Costs!R101</f>
        <v>-69654.133543111762</v>
      </c>
      <c r="O30" s="182">
        <f>Costs!S101</f>
        <v>-71728.038431384761</v>
      </c>
      <c r="P30" s="182">
        <f>Costs!T101</f>
        <v>-73879.879584326307</v>
      </c>
      <c r="Q30" s="182">
        <f>Costs!U101</f>
        <v>-76288.082507416388</v>
      </c>
      <c r="R30" s="182">
        <f>Costs!V101</f>
        <v>-78396.340955688793</v>
      </c>
      <c r="S30" s="182">
        <f>Costs!W101</f>
        <v>-80730.539178542123</v>
      </c>
      <c r="T30" s="182">
        <f>Costs!X101</f>
        <v>-83152.455353898389</v>
      </c>
    </row>
    <row r="31" spans="1:20" ht="15" customHeight="1" outlineLevel="1" x14ac:dyDescent="0.3">
      <c r="B31" s="390" t="s">
        <v>8</v>
      </c>
      <c r="C31" s="312">
        <v>1</v>
      </c>
      <c r="D31" s="149"/>
      <c r="E31" s="181">
        <f t="shared" si="4"/>
        <v>-574720.50419696141</v>
      </c>
      <c r="F31" s="182">
        <f>Costs!J102</f>
        <v>0</v>
      </c>
      <c r="G31" s="182">
        <f>Costs!K102</f>
        <v>0</v>
      </c>
      <c r="H31" s="182">
        <f>Costs!L102</f>
        <v>0</v>
      </c>
      <c r="I31" s="182">
        <f>Costs!M102</f>
        <v>0</v>
      </c>
      <c r="J31" s="182">
        <f>Costs!N102</f>
        <v>-33222.153400260926</v>
      </c>
      <c r="K31" s="182">
        <f>Costs!O102</f>
        <v>-40452.871265052621</v>
      </c>
      <c r="L31" s="182">
        <f>Costs!P102</f>
        <v>-45734.593319340012</v>
      </c>
      <c r="M31" s="182">
        <f>Costs!Q102</f>
        <v>-51031.271259351932</v>
      </c>
      <c r="N31" s="182">
        <f>Costs!R102</f>
        <v>-52750.4528968741</v>
      </c>
      <c r="O31" s="182">
        <f>Costs!S102</f>
        <v>-54321.062084823141</v>
      </c>
      <c r="P31" s="182">
        <f>Costs!T102</f>
        <v>-55950.693947367836</v>
      </c>
      <c r="Q31" s="182">
        <f>Costs!U102</f>
        <v>-57774.473648567495</v>
      </c>
      <c r="R31" s="182">
        <f>Costs!V102</f>
        <v>-59371.099466921813</v>
      </c>
      <c r="S31" s="182">
        <f>Costs!W102</f>
        <v>-61138.833945025399</v>
      </c>
      <c r="T31" s="182">
        <f>Costs!X102</f>
        <v>-62972.998963376158</v>
      </c>
    </row>
    <row r="32" spans="1:20" ht="15" customHeight="1" outlineLevel="1" x14ac:dyDescent="0.3">
      <c r="B32" s="89" t="s">
        <v>665</v>
      </c>
      <c r="C32" s="149"/>
      <c r="D32" s="149"/>
      <c r="E32" s="181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</row>
    <row r="33" spans="2:21" ht="15" customHeight="1" outlineLevel="1" x14ac:dyDescent="0.3">
      <c r="B33" s="390" t="s">
        <v>12</v>
      </c>
      <c r="C33" s="312">
        <v>2</v>
      </c>
      <c r="D33" s="149"/>
      <c r="E33" s="181">
        <f t="shared" si="4"/>
        <v>-26172.188132316343</v>
      </c>
      <c r="F33" s="182">
        <f>Costs!J104</f>
        <v>0</v>
      </c>
      <c r="G33" s="182">
        <f>Costs!K104</f>
        <v>0</v>
      </c>
      <c r="H33" s="182">
        <f>Costs!L104</f>
        <v>0</v>
      </c>
      <c r="I33" s="182">
        <f>Costs!M104</f>
        <v>0</v>
      </c>
      <c r="J33" s="182">
        <f>Costs!N104</f>
        <v>-1057.126489345585</v>
      </c>
      <c r="K33" s="182">
        <f>Costs!O104</f>
        <v>-1539.407579260959</v>
      </c>
      <c r="L33" s="182">
        <f>Costs!P104</f>
        <v>-1980.452189671232</v>
      </c>
      <c r="M33" s="182">
        <f>Costs!Q104</f>
        <v>-2442.5869008649815</v>
      </c>
      <c r="N33" s="182">
        <f>Costs!R104</f>
        <v>-2537.6339496796027</v>
      </c>
      <c r="O33" s="182">
        <f>Costs!S104</f>
        <v>-2601.0747984215927</v>
      </c>
      <c r="P33" s="182">
        <f>Costs!T104</f>
        <v>-2666.1016683821331</v>
      </c>
      <c r="Q33" s="182">
        <f>Costs!U104</f>
        <v>-2732.7542100916862</v>
      </c>
      <c r="R33" s="182">
        <f>Costs!V104</f>
        <v>-2801.0730653439778</v>
      </c>
      <c r="S33" s="182">
        <f>Costs!W104</f>
        <v>-2871.099891977577</v>
      </c>
      <c r="T33" s="182">
        <f>Costs!X104</f>
        <v>-2942.8773892770159</v>
      </c>
    </row>
    <row r="34" spans="2:21" ht="15" customHeight="1" outlineLevel="1" x14ac:dyDescent="0.3">
      <c r="B34" s="390" t="s">
        <v>13</v>
      </c>
      <c r="C34" s="312">
        <v>3</v>
      </c>
      <c r="D34" s="149"/>
      <c r="E34" s="181">
        <f t="shared" si="4"/>
        <v>-13779.104785785654</v>
      </c>
      <c r="F34" s="182">
        <f>Costs!J105</f>
        <v>0</v>
      </c>
      <c r="G34" s="182">
        <f>Costs!K105</f>
        <v>0</v>
      </c>
      <c r="H34" s="182">
        <f>Costs!L105</f>
        <v>0</v>
      </c>
      <c r="I34" s="182">
        <f>Costs!M105</f>
        <v>0</v>
      </c>
      <c r="J34" s="182">
        <f>Costs!N105</f>
        <v>-556.55478995035662</v>
      </c>
      <c r="K34" s="182">
        <f>Costs!O105</f>
        <v>-810.46560705706145</v>
      </c>
      <c r="L34" s="182">
        <f>Costs!P105</f>
        <v>-1042.6662878455845</v>
      </c>
      <c r="M34" s="182">
        <f>Costs!Q105</f>
        <v>-1285.970461669124</v>
      </c>
      <c r="N34" s="182">
        <f>Costs!R105</f>
        <v>-1336.0107272585051</v>
      </c>
      <c r="O34" s="182">
        <f>Costs!S105</f>
        <v>-1369.4109954399671</v>
      </c>
      <c r="P34" s="182">
        <f>Costs!T105</f>
        <v>-1403.6462703259665</v>
      </c>
      <c r="Q34" s="182">
        <f>Costs!U105</f>
        <v>-1438.7374270841156</v>
      </c>
      <c r="R34" s="182">
        <f>Costs!V105</f>
        <v>-1474.7058627612182</v>
      </c>
      <c r="S34" s="182">
        <f>Costs!W105</f>
        <v>-1511.5735093302485</v>
      </c>
      <c r="T34" s="182">
        <f>Costs!X105</f>
        <v>-1549.3628470635047</v>
      </c>
    </row>
    <row r="35" spans="2:21" ht="15" customHeight="1" outlineLevel="1" x14ac:dyDescent="0.3">
      <c r="B35" s="146" t="s">
        <v>716</v>
      </c>
      <c r="C35" s="147"/>
      <c r="D35" s="147"/>
      <c r="E35" s="183">
        <f>SUM(F35:T35)</f>
        <v>-4397016.386924522</v>
      </c>
      <c r="F35" s="183">
        <f t="shared" ref="F35" si="5">SUM(F27:F34)</f>
        <v>0</v>
      </c>
      <c r="G35" s="183">
        <f t="shared" ref="G35" si="6">SUM(G27:G34)</f>
        <v>-153987.89890410966</v>
      </c>
      <c r="H35" s="183">
        <f t="shared" ref="H35:T35" si="7">SUM(H27:H34)</f>
        <v>-173647.90438356178</v>
      </c>
      <c r="I35" s="183">
        <f t="shared" si="7"/>
        <v>-175283.41205479449</v>
      </c>
      <c r="J35" s="183">
        <f t="shared" si="7"/>
        <v>-255441.99945205497</v>
      </c>
      <c r="K35" s="183">
        <f t="shared" si="7"/>
        <v>-286127.81917808228</v>
      </c>
      <c r="L35" s="183">
        <f t="shared" si="7"/>
        <v>-317813.80208237033</v>
      </c>
      <c r="M35" s="183">
        <f t="shared" si="7"/>
        <v>-340701.72865439137</v>
      </c>
      <c r="N35" s="183">
        <f t="shared" si="7"/>
        <v>-351619.2030326362</v>
      </c>
      <c r="O35" s="183">
        <f t="shared" si="7"/>
        <v>-362120.78738325305</v>
      </c>
      <c r="P35" s="183">
        <f t="shared" si="7"/>
        <v>-372964.55857578135</v>
      </c>
      <c r="Q35" s="183">
        <f t="shared" si="7"/>
        <v>-384470.21201170032</v>
      </c>
      <c r="R35" s="183">
        <f t="shared" si="7"/>
        <v>-395666.46849581262</v>
      </c>
      <c r="S35" s="183">
        <f t="shared" si="7"/>
        <v>-407483.99314432481</v>
      </c>
      <c r="T35" s="183">
        <f t="shared" si="7"/>
        <v>-419686.59957164846</v>
      </c>
    </row>
    <row r="36" spans="2:21" ht="15" customHeight="1" outlineLevel="1" x14ac:dyDescent="0.3">
      <c r="B36" s="95" t="s">
        <v>29</v>
      </c>
      <c r="C36" s="149"/>
      <c r="D36" s="149"/>
      <c r="E36" s="181">
        <f ca="1">SUM(F36:T36)</f>
        <v>-109713.10469396405</v>
      </c>
      <c r="F36" s="182">
        <f ca="1">'P&amp;L'!E58</f>
        <v>0</v>
      </c>
      <c r="G36" s="182">
        <f ca="1">'P&amp;L'!F58</f>
        <v>-920.1626701950554</v>
      </c>
      <c r="H36" s="182">
        <f ca="1">'P&amp;L'!G58</f>
        <v>-11841.532385237422</v>
      </c>
      <c r="I36" s="182">
        <f ca="1">'P&amp;L'!H58</f>
        <v>-18249.948131957899</v>
      </c>
      <c r="J36" s="182">
        <f ca="1">'P&amp;L'!I58</f>
        <v>-12759.059042620176</v>
      </c>
      <c r="K36" s="182">
        <f ca="1">'P&amp;L'!J58</f>
        <v>-9741.1361756770366</v>
      </c>
      <c r="L36" s="182">
        <f ca="1">'P&amp;L'!K58</f>
        <v>-4259.6894695475448</v>
      </c>
      <c r="M36" s="182">
        <f ca="1">'P&amp;L'!L58</f>
        <v>-3074.4196444870886</v>
      </c>
      <c r="N36" s="182">
        <f ca="1">'P&amp;L'!M58</f>
        <v>-5111.5903531880758</v>
      </c>
      <c r="O36" s="182">
        <f ca="1">'P&amp;L'!N58</f>
        <v>-6295.237881356742</v>
      </c>
      <c r="P36" s="182">
        <f ca="1">'P&amp;L'!O58</f>
        <v>-6888.0787222220133</v>
      </c>
      <c r="Q36" s="182">
        <f ca="1">'P&amp;L'!P58</f>
        <v>-7116.7536795240012</v>
      </c>
      <c r="R36" s="182">
        <f ca="1">'P&amp;L'!Q58</f>
        <v>-7343.1411192645528</v>
      </c>
      <c r="S36" s="182">
        <f ca="1">'P&amp;L'!R58</f>
        <v>-7933.822973551105</v>
      </c>
      <c r="T36" s="182">
        <f ca="1">'P&amp;L'!S58</f>
        <v>-8178.5324451353372</v>
      </c>
    </row>
    <row r="37" spans="2:21" ht="15" customHeight="1" outlineLevel="1" x14ac:dyDescent="0.3">
      <c r="B37" s="146" t="s">
        <v>30</v>
      </c>
      <c r="C37" s="147"/>
      <c r="D37" s="147"/>
      <c r="E37" s="183">
        <f ca="1">SUM(F37:T37)</f>
        <v>-4506729.4916184852</v>
      </c>
      <c r="F37" s="183">
        <f ca="1">SUM(F35:F36)</f>
        <v>0</v>
      </c>
      <c r="G37" s="183">
        <f ca="1">SUM(G35:G36)</f>
        <v>-154908.06157430471</v>
      </c>
      <c r="H37" s="183">
        <f t="shared" ref="H37:T37" ca="1" si="8">SUM(H35:H36)</f>
        <v>-185489.43676879921</v>
      </c>
      <c r="I37" s="183">
        <f t="shared" ca="1" si="8"/>
        <v>-193533.3601867524</v>
      </c>
      <c r="J37" s="183">
        <f t="shared" ca="1" si="8"/>
        <v>-268201.05849467515</v>
      </c>
      <c r="K37" s="183">
        <f t="shared" ca="1" si="8"/>
        <v>-295868.95535375935</v>
      </c>
      <c r="L37" s="183">
        <f t="shared" ca="1" si="8"/>
        <v>-322073.49155191786</v>
      </c>
      <c r="M37" s="183">
        <f t="shared" ca="1" si="8"/>
        <v>-343776.14829887846</v>
      </c>
      <c r="N37" s="183">
        <f t="shared" ca="1" si="8"/>
        <v>-356730.79338582431</v>
      </c>
      <c r="O37" s="183">
        <f t="shared" ca="1" si="8"/>
        <v>-368416.02526460978</v>
      </c>
      <c r="P37" s="183">
        <f t="shared" ca="1" si="8"/>
        <v>-379852.63729800336</v>
      </c>
      <c r="Q37" s="183">
        <f t="shared" ca="1" si="8"/>
        <v>-391586.96569122432</v>
      </c>
      <c r="R37" s="183">
        <f t="shared" ca="1" si="8"/>
        <v>-403009.60961507715</v>
      </c>
      <c r="S37" s="183">
        <f t="shared" ca="1" si="8"/>
        <v>-415417.81611787592</v>
      </c>
      <c r="T37" s="183">
        <f t="shared" ca="1" si="8"/>
        <v>-427865.13201678381</v>
      </c>
    </row>
    <row r="38" spans="2:21" ht="15" customHeight="1" outlineLevel="1" x14ac:dyDescent="0.3">
      <c r="B38" s="95"/>
      <c r="C38" s="149"/>
      <c r="D38" s="14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2:21" ht="15" customHeight="1" outlineLevel="1" x14ac:dyDescent="0.3">
      <c r="B39" s="95" t="s">
        <v>32</v>
      </c>
      <c r="C39" s="149"/>
      <c r="D39" s="312">
        <v>2039</v>
      </c>
      <c r="E39" s="181">
        <f ca="1">SUM(F39:T39)</f>
        <v>4996382.7041905588</v>
      </c>
      <c r="F39" s="368">
        <f>IF(F$5=$D$39,(SUM(F21,F37)*(1+WACC!$G$35))/WACC!$G$37,0)</f>
        <v>0</v>
      </c>
      <c r="G39" s="368">
        <f>IF(G$5=$D$39,(SUM(G21,G37)*(1+WACC!$G$35))/WACC!$G$37,0)</f>
        <v>0</v>
      </c>
      <c r="H39" s="368">
        <f>IF(H$5=$D$39,(SUM(H21,H37)*(1+WACC!$G$35))/WACC!$G$37,0)</f>
        <v>0</v>
      </c>
      <c r="I39" s="368">
        <f>IF(I$5=$D$39,(SUM(I21,I37)*(1+WACC!$G$35))/WACC!$G$37,0)</f>
        <v>0</v>
      </c>
      <c r="J39" s="368">
        <f>IF(J$5=$D$39,(SUM(J21,J37)*(1+WACC!$G$35))/WACC!$G$37,0)</f>
        <v>0</v>
      </c>
      <c r="K39" s="368">
        <f>IF(K$5=$D$39,(SUM(K21,K37)*(1+WACC!$G$35))/WACC!$G$37,0)</f>
        <v>0</v>
      </c>
      <c r="L39" s="368">
        <f>IF(L$5=$D$39,(SUM(L21,L37)*(1+WACC!$G$35))/WACC!$G$37,0)</f>
        <v>0</v>
      </c>
      <c r="M39" s="368">
        <f>IF(M$5=$D$39,(SUM(M21,M37)*(1+WACC!$G$35))/WACC!$G$37,0)</f>
        <v>0</v>
      </c>
      <c r="N39" s="368">
        <f>IF(N$5=$D$39,(SUM(N21,N37)*(1+WACC!$G$35))/WACC!$G$37,0)</f>
        <v>0</v>
      </c>
      <c r="O39" s="368">
        <f>IF(O$5=$D$39,(SUM(O21,O37)*(1+WACC!$G$35))/WACC!$G$37,0)</f>
        <v>0</v>
      </c>
      <c r="P39" s="368">
        <f>IF(P$5=$D$39,(SUM(P21,P37)*(1+WACC!$G$35))/WACC!$G$37,0)</f>
        <v>0</v>
      </c>
      <c r="Q39" s="368">
        <f>IF(Q$5=$D$39,(SUM(Q21,Q37)*(1+WACC!$G$35))/WACC!$G$37,0)</f>
        <v>0</v>
      </c>
      <c r="R39" s="368">
        <f>IF(R$5=$D$39,(SUM(R21,R37)*(1+WACC!$G$35))/WACC!$G$37,0)</f>
        <v>0</v>
      </c>
      <c r="S39" s="368">
        <f>IF(S$5=$D$39,(SUM(S21,S37)*(1+WACC!$G$35))/WACC!$G$37,0)</f>
        <v>0</v>
      </c>
      <c r="T39" s="368">
        <f ca="1">IF(T$5=$D$39,SUM(T21,T37)*(1+WACC!$G$35)/WACC!$G$37,0)</f>
        <v>4996382.7041905588</v>
      </c>
      <c r="U39" s="23"/>
    </row>
    <row r="40" spans="2:21" ht="15" customHeight="1" x14ac:dyDescent="0.3">
      <c r="B40" s="146" t="s">
        <v>31</v>
      </c>
      <c r="C40" s="147"/>
      <c r="D40" s="147"/>
      <c r="E40" s="183">
        <v>15819784.521657599</v>
      </c>
      <c r="F40" s="183">
        <f ca="1">SUM(F21,F24,F37,F39)</f>
        <v>0</v>
      </c>
      <c r="G40" s="183">
        <f ca="1">SUM(G21,G24,G37,G39)</f>
        <v>205218.06265180971</v>
      </c>
      <c r="H40" s="183">
        <f t="shared" ref="H40:T40" ca="1" si="9">SUM(H21,H24,H37,H39)</f>
        <v>847318.70344287448</v>
      </c>
      <c r="I40" s="183">
        <f t="shared" ca="1" si="9"/>
        <v>1805988.5610719237</v>
      </c>
      <c r="J40" s="183">
        <f t="shared" ca="1" si="9"/>
        <v>2141450.4553118078</v>
      </c>
      <c r="K40" s="183">
        <f t="shared" ca="1" si="9"/>
        <v>1987071.4568658937</v>
      </c>
      <c r="L40" s="183">
        <f t="shared" ca="1" si="9"/>
        <v>604951.59789631038</v>
      </c>
      <c r="M40" s="183">
        <f t="shared" ca="1" si="9"/>
        <v>277444.46289850108</v>
      </c>
      <c r="N40" s="183">
        <f t="shared" ca="1" si="9"/>
        <v>282469.29795385909</v>
      </c>
      <c r="O40" s="183">
        <f t="shared" ca="1" si="9"/>
        <v>289798.34274509788</v>
      </c>
      <c r="P40" s="183">
        <f t="shared" ca="1" si="9"/>
        <v>297942.39253007522</v>
      </c>
      <c r="Q40" s="183">
        <f t="shared" ca="1" si="9"/>
        <v>306917.66208615026</v>
      </c>
      <c r="R40" s="183">
        <f t="shared" ca="1" si="9"/>
        <v>315713.96538470907</v>
      </c>
      <c r="S40" s="183">
        <f t="shared" ca="1" si="9"/>
        <v>324688.95081090386</v>
      </c>
      <c r="T40" s="183">
        <f t="shared" ca="1" si="9"/>
        <v>5330644.5639063939</v>
      </c>
    </row>
    <row r="41" spans="2:21" ht="15" customHeight="1" x14ac:dyDescent="0.3">
      <c r="B41" s="95"/>
      <c r="C41" s="149"/>
      <c r="D41" s="149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2:21" ht="15" customHeight="1" x14ac:dyDescent="0.3">
      <c r="B42" s="143" t="s">
        <v>33</v>
      </c>
      <c r="C42" s="144"/>
      <c r="D42" s="144"/>
      <c r="E42" s="16"/>
      <c r="F42" s="16"/>
      <c r="G42" s="16"/>
      <c r="H42" s="442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 spans="2:21" ht="15" customHeight="1" outlineLevel="1" x14ac:dyDescent="0.3">
      <c r="B43" s="89" t="s">
        <v>34</v>
      </c>
      <c r="C43" s="138"/>
      <c r="D43" s="138"/>
      <c r="E43" s="17"/>
      <c r="F43" s="17"/>
      <c r="G43" s="17"/>
      <c r="H43" s="441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</row>
    <row r="44" spans="2:21" ht="15" customHeight="1" outlineLevel="1" x14ac:dyDescent="0.3">
      <c r="B44" s="95" t="s">
        <v>48</v>
      </c>
      <c r="C44" s="312">
        <v>2</v>
      </c>
      <c r="D44" s="367"/>
      <c r="E44" s="185">
        <f>SUM(F44:T44)</f>
        <v>-1313606.6147425999</v>
      </c>
      <c r="F44" s="186">
        <f>-Capex!L189</f>
        <v>0</v>
      </c>
      <c r="G44" s="186">
        <f>-Capex!M189</f>
        <v>-131360.66147426001</v>
      </c>
      <c r="H44" s="186">
        <f>-Capex!N189</f>
        <v>-328401.65368564997</v>
      </c>
      <c r="I44" s="186">
        <f>-Capex!O189</f>
        <v>-394081.98442277987</v>
      </c>
      <c r="J44" s="186">
        <f>-Capex!P189</f>
        <v>-328401.65368564997</v>
      </c>
      <c r="K44" s="186">
        <f>-Capex!Q189</f>
        <v>-131360.66147426001</v>
      </c>
      <c r="L44" s="186">
        <f>-Capex!R189</f>
        <v>0</v>
      </c>
      <c r="M44" s="186">
        <f>-Capex!S189</f>
        <v>0</v>
      </c>
      <c r="N44" s="186">
        <f>-Capex!T189</f>
        <v>0</v>
      </c>
      <c r="O44" s="186">
        <f>-Capex!U189</f>
        <v>0</v>
      </c>
      <c r="P44" s="186">
        <f>-Capex!V189</f>
        <v>0</v>
      </c>
      <c r="Q44" s="186">
        <f>-Capex!W189</f>
        <v>0</v>
      </c>
      <c r="R44" s="186">
        <f>-Capex!X189</f>
        <v>0</v>
      </c>
      <c r="S44" s="186">
        <f>-Capex!Y189</f>
        <v>0</v>
      </c>
      <c r="T44" s="186">
        <f>-Capex!Z189</f>
        <v>0</v>
      </c>
    </row>
    <row r="45" spans="2:21" ht="15" customHeight="1" outlineLevel="1" x14ac:dyDescent="0.3">
      <c r="B45" s="95" t="s">
        <v>49</v>
      </c>
      <c r="C45" s="312">
        <v>3</v>
      </c>
      <c r="D45" s="367"/>
      <c r="E45" s="185">
        <f>SUM(F45:T45)</f>
        <v>-1447096.1598745862</v>
      </c>
      <c r="F45" s="186">
        <f>-Capex!L190</f>
        <v>0</v>
      </c>
      <c r="G45" s="186">
        <f>-Capex!M190</f>
        <v>-144709.61598745862</v>
      </c>
      <c r="H45" s="186">
        <f>-Capex!N190</f>
        <v>-144709.61598745862</v>
      </c>
      <c r="I45" s="186">
        <f>-Capex!O190</f>
        <v>-361774.03996864648</v>
      </c>
      <c r="J45" s="186">
        <f>-Capex!P190</f>
        <v>-361774.03996864648</v>
      </c>
      <c r="K45" s="186">
        <f>-Capex!Q190</f>
        <v>-361774.03996864648</v>
      </c>
      <c r="L45" s="186">
        <f>-Capex!R190</f>
        <v>-72354.807993729308</v>
      </c>
      <c r="M45" s="186">
        <f>-Capex!S190</f>
        <v>0</v>
      </c>
      <c r="N45" s="186">
        <f>-Capex!T190</f>
        <v>0</v>
      </c>
      <c r="O45" s="186">
        <f>-Capex!U190</f>
        <v>0</v>
      </c>
      <c r="P45" s="186">
        <f>-Capex!V190</f>
        <v>0</v>
      </c>
      <c r="Q45" s="186">
        <f>-Capex!W190</f>
        <v>0</v>
      </c>
      <c r="R45" s="186">
        <f>-Capex!X190</f>
        <v>0</v>
      </c>
      <c r="S45" s="186">
        <f>-Capex!Y190</f>
        <v>0</v>
      </c>
      <c r="T45" s="186">
        <f>-Capex!Z190</f>
        <v>0</v>
      </c>
    </row>
    <row r="46" spans="2:21" ht="15" customHeight="1" outlineLevel="1" x14ac:dyDescent="0.3">
      <c r="B46" s="95" t="s">
        <v>50</v>
      </c>
      <c r="C46" s="312">
        <v>2</v>
      </c>
      <c r="D46" s="367"/>
      <c r="E46" s="185">
        <f>SUM(F46:T46)</f>
        <v>-443418.29399397696</v>
      </c>
      <c r="F46" s="186">
        <f>-Capex!L191</f>
        <v>0</v>
      </c>
      <c r="G46" s="186">
        <f>-Capex!M191</f>
        <v>-44341.829399397691</v>
      </c>
      <c r="H46" s="186">
        <f>-Capex!N191</f>
        <v>-110854.57349849424</v>
      </c>
      <c r="I46" s="186">
        <f>-Capex!O191</f>
        <v>-133025.48819819308</v>
      </c>
      <c r="J46" s="186">
        <f>-Capex!P191</f>
        <v>-110854.57349849424</v>
      </c>
      <c r="K46" s="186">
        <f>-Capex!Q191</f>
        <v>-44341.829399397691</v>
      </c>
      <c r="L46" s="186">
        <f>-Capex!R191</f>
        <v>0</v>
      </c>
      <c r="M46" s="186">
        <f>-Capex!S191</f>
        <v>0</v>
      </c>
      <c r="N46" s="186">
        <f>-Capex!T191</f>
        <v>0</v>
      </c>
      <c r="O46" s="186">
        <f>-Capex!U191</f>
        <v>0</v>
      </c>
      <c r="P46" s="186">
        <f>-Capex!V191</f>
        <v>0</v>
      </c>
      <c r="Q46" s="186">
        <f>-Capex!W191</f>
        <v>0</v>
      </c>
      <c r="R46" s="186">
        <f>-Capex!X191</f>
        <v>0</v>
      </c>
      <c r="S46" s="186">
        <f>-Capex!Y191</f>
        <v>0</v>
      </c>
      <c r="T46" s="186">
        <f>-Capex!Z191</f>
        <v>0</v>
      </c>
    </row>
    <row r="47" spans="2:21" ht="15" customHeight="1" outlineLevel="1" x14ac:dyDescent="0.3">
      <c r="B47" s="89" t="s">
        <v>35</v>
      </c>
      <c r="C47" s="138"/>
      <c r="D47" s="138"/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</row>
    <row r="48" spans="2:21" ht="15" customHeight="1" outlineLevel="1" x14ac:dyDescent="0.3">
      <c r="B48" s="95" t="s">
        <v>51</v>
      </c>
      <c r="C48" s="312">
        <v>2</v>
      </c>
      <c r="D48" s="367"/>
      <c r="E48" s="185">
        <f>SUM(F48:T48)</f>
        <v>-245218.49779314047</v>
      </c>
      <c r="F48" s="186">
        <f>-Capex!L193</f>
        <v>0</v>
      </c>
      <c r="G48" s="186">
        <f>-Capex!M193</f>
        <v>-24521.849779314052</v>
      </c>
      <c r="H48" s="186">
        <f>-Capex!N193</f>
        <v>-61304.624448285118</v>
      </c>
      <c r="I48" s="186">
        <f>-Capex!O193</f>
        <v>-73565.549337942153</v>
      </c>
      <c r="J48" s="186">
        <f>-Capex!P193</f>
        <v>-61304.624448285118</v>
      </c>
      <c r="K48" s="186">
        <f>-Capex!Q193</f>
        <v>-24521.849779314052</v>
      </c>
      <c r="L48" s="186">
        <f>-Capex!R193</f>
        <v>0</v>
      </c>
      <c r="M48" s="186">
        <f>-Capex!S193</f>
        <v>0</v>
      </c>
      <c r="N48" s="186">
        <f>-Capex!T193</f>
        <v>0</v>
      </c>
      <c r="O48" s="186">
        <f>-Capex!U193</f>
        <v>0</v>
      </c>
      <c r="P48" s="186">
        <f>-Capex!V193</f>
        <v>0</v>
      </c>
      <c r="Q48" s="186">
        <f>-Capex!W193</f>
        <v>0</v>
      </c>
      <c r="R48" s="186">
        <f>-Capex!X193</f>
        <v>0</v>
      </c>
      <c r="S48" s="186">
        <f>-Capex!Y193</f>
        <v>0</v>
      </c>
      <c r="T48" s="186">
        <f>-Capex!Z193</f>
        <v>0</v>
      </c>
    </row>
    <row r="49" spans="2:36" ht="15" customHeight="1" outlineLevel="1" x14ac:dyDescent="0.3">
      <c r="B49" s="89" t="s">
        <v>36</v>
      </c>
      <c r="C49" s="138"/>
      <c r="D49" s="138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</row>
    <row r="50" spans="2:36" ht="15" customHeight="1" outlineLevel="1" x14ac:dyDescent="0.3">
      <c r="B50" s="95" t="s">
        <v>44</v>
      </c>
      <c r="C50" s="312">
        <v>2</v>
      </c>
      <c r="D50" s="367"/>
      <c r="E50" s="185">
        <f>SUM(F50:T50)</f>
        <v>-76409.112704468105</v>
      </c>
      <c r="F50" s="186">
        <f>-Capex!L195</f>
        <v>0</v>
      </c>
      <c r="G50" s="186">
        <f>-Capex!M195</f>
        <v>-7640.9112704468098</v>
      </c>
      <c r="H50" s="186">
        <f>-Capex!N195</f>
        <v>-19102.278176117026</v>
      </c>
      <c r="I50" s="186">
        <f>-Capex!O195</f>
        <v>-22922.733811340429</v>
      </c>
      <c r="J50" s="186">
        <f>-Capex!P195</f>
        <v>-19102.278176117026</v>
      </c>
      <c r="K50" s="186">
        <f>-Capex!Q195</f>
        <v>-7640.9112704468098</v>
      </c>
      <c r="L50" s="186">
        <f>-Capex!R195</f>
        <v>0</v>
      </c>
      <c r="M50" s="186">
        <f>-Capex!S195</f>
        <v>0</v>
      </c>
      <c r="N50" s="186">
        <f>-Capex!T195</f>
        <v>0</v>
      </c>
      <c r="O50" s="186">
        <f>-Capex!U195</f>
        <v>0</v>
      </c>
      <c r="P50" s="186">
        <f>-Capex!V195</f>
        <v>0</v>
      </c>
      <c r="Q50" s="186">
        <f>-Capex!W195</f>
        <v>0</v>
      </c>
      <c r="R50" s="186">
        <f>-Capex!X195</f>
        <v>0</v>
      </c>
      <c r="S50" s="186">
        <f>-Capex!Y195</f>
        <v>0</v>
      </c>
      <c r="T50" s="186">
        <f>-Capex!Z195</f>
        <v>0</v>
      </c>
    </row>
    <row r="51" spans="2:36" ht="15" customHeight="1" outlineLevel="1" x14ac:dyDescent="0.3">
      <c r="B51" s="95" t="s">
        <v>44</v>
      </c>
      <c r="C51" s="312">
        <v>3</v>
      </c>
      <c r="D51" s="367"/>
      <c r="E51" s="185">
        <f>SUM(F51:T51)</f>
        <v>-35715.818376663599</v>
      </c>
      <c r="F51" s="186">
        <f>-Capex!L196</f>
        <v>0</v>
      </c>
      <c r="G51" s="186">
        <f>-Capex!M196</f>
        <v>-3571.5818376663601</v>
      </c>
      <c r="H51" s="186">
        <f>-Capex!N196</f>
        <v>-8928.9545941658998</v>
      </c>
      <c r="I51" s="186">
        <f>-Capex!O196</f>
        <v>-10714.745512999079</v>
      </c>
      <c r="J51" s="186">
        <f>-Capex!P196</f>
        <v>-8928.9545941658998</v>
      </c>
      <c r="K51" s="186">
        <f>-Capex!Q196</f>
        <v>-3571.5818376663601</v>
      </c>
      <c r="L51" s="186">
        <f>-Capex!R196</f>
        <v>0</v>
      </c>
      <c r="M51" s="186">
        <f>-Capex!S196</f>
        <v>0</v>
      </c>
      <c r="N51" s="186">
        <f>-Capex!T196</f>
        <v>0</v>
      </c>
      <c r="O51" s="186">
        <f>-Capex!U196</f>
        <v>0</v>
      </c>
      <c r="P51" s="186">
        <f>-Capex!V196</f>
        <v>0</v>
      </c>
      <c r="Q51" s="186">
        <f>-Capex!W196</f>
        <v>0</v>
      </c>
      <c r="R51" s="186">
        <f>-Capex!X196</f>
        <v>0</v>
      </c>
      <c r="S51" s="186">
        <f>-Capex!Y196</f>
        <v>0</v>
      </c>
      <c r="T51" s="186">
        <f>-Capex!Z196</f>
        <v>0</v>
      </c>
    </row>
    <row r="52" spans="2:36" ht="15" customHeight="1" outlineLevel="1" x14ac:dyDescent="0.3">
      <c r="B52" s="146" t="s">
        <v>37</v>
      </c>
      <c r="C52" s="147"/>
      <c r="D52" s="147"/>
      <c r="E52" s="183">
        <f>SUM(F52:T52)</f>
        <v>-3561464.4974854346</v>
      </c>
      <c r="F52" s="183">
        <f t="shared" ref="F52:T52" si="10">SUM(F43:F51)</f>
        <v>0</v>
      </c>
      <c r="G52" s="183">
        <f t="shared" si="10"/>
        <v>-356146.44974854356</v>
      </c>
      <c r="H52" s="183">
        <f t="shared" si="10"/>
        <v>-673301.70039017079</v>
      </c>
      <c r="I52" s="183">
        <f t="shared" si="10"/>
        <v>-996084.54125190119</v>
      </c>
      <c r="J52" s="183">
        <f t="shared" si="10"/>
        <v>-890366.12437135866</v>
      </c>
      <c r="K52" s="183">
        <f t="shared" si="10"/>
        <v>-573210.87372973142</v>
      </c>
      <c r="L52" s="183">
        <f t="shared" si="10"/>
        <v>-72354.807993729308</v>
      </c>
      <c r="M52" s="183">
        <f t="shared" si="10"/>
        <v>0</v>
      </c>
      <c r="N52" s="183">
        <f t="shared" si="10"/>
        <v>0</v>
      </c>
      <c r="O52" s="183">
        <f t="shared" si="10"/>
        <v>0</v>
      </c>
      <c r="P52" s="183">
        <f t="shared" si="10"/>
        <v>0</v>
      </c>
      <c r="Q52" s="183">
        <f t="shared" si="10"/>
        <v>0</v>
      </c>
      <c r="R52" s="183">
        <f t="shared" si="10"/>
        <v>0</v>
      </c>
      <c r="S52" s="183">
        <f t="shared" si="10"/>
        <v>0</v>
      </c>
      <c r="T52" s="183">
        <f t="shared" si="10"/>
        <v>0</v>
      </c>
    </row>
    <row r="53" spans="2:36" ht="15" customHeight="1" outlineLevel="1" x14ac:dyDescent="0.3">
      <c r="B53" s="95" t="s">
        <v>621</v>
      </c>
      <c r="C53" s="312">
        <v>1</v>
      </c>
      <c r="D53" s="367"/>
      <c r="E53" s="185">
        <f>SUM(F53:T53)</f>
        <v>-3682051.0191153171</v>
      </c>
      <c r="F53" s="186">
        <f>-IF(F$5=Debt!$F$19,Debt!$F$13,0)</f>
        <v>-3682051.0191153171</v>
      </c>
      <c r="G53" s="186">
        <f>-IF(G$5=Debt!$F$19,Debt!$F$13,0)</f>
        <v>0</v>
      </c>
      <c r="H53" s="186">
        <f>-IF(H$5=Debt!$F$19,Debt!$F$13,0)</f>
        <v>0</v>
      </c>
      <c r="I53" s="186">
        <f>-IF(I$5=Debt!$F$19,Debt!$F$13,0)</f>
        <v>0</v>
      </c>
      <c r="J53" s="186">
        <f>-IF(J$5=Debt!$F$19,Debt!$F$13,0)</f>
        <v>0</v>
      </c>
      <c r="K53" s="186">
        <f>-IF(K$5=Debt!$F$19,Debt!$F$13,0)</f>
        <v>0</v>
      </c>
      <c r="L53" s="186">
        <f>-IF(L$5=Debt!$F$19,Debt!$F$13,0)</f>
        <v>0</v>
      </c>
      <c r="M53" s="186">
        <f>-IF(M$5=Debt!$F$19,Debt!$F$13,0)</f>
        <v>0</v>
      </c>
      <c r="N53" s="186">
        <f>-IF(N$5=Debt!$F$19,Debt!$F$13,0)</f>
        <v>0</v>
      </c>
      <c r="O53" s="186">
        <f>-IF(O$5=Debt!$F$19,Debt!$F$13,0)</f>
        <v>0</v>
      </c>
      <c r="P53" s="186">
        <f>-IF(P$5=Debt!$F$19,Debt!$F$13,0)</f>
        <v>0</v>
      </c>
      <c r="Q53" s="186">
        <f>-IF(Q$5=Debt!$F$19,Debt!$F$13,0)</f>
        <v>0</v>
      </c>
      <c r="R53" s="186">
        <f>-IF(R$5=Debt!$F$19,Debt!$F$13,0)</f>
        <v>0</v>
      </c>
      <c r="S53" s="186">
        <f>-IF(S$5=Debt!$F$19,Debt!$F$13,0)</f>
        <v>0</v>
      </c>
      <c r="T53" s="186">
        <f>-IF(T$5=Debt!$F$19,Debt!$F$13,0)</f>
        <v>0</v>
      </c>
    </row>
    <row r="54" spans="2:36" ht="15" customHeight="1" x14ac:dyDescent="0.3">
      <c r="B54" s="146" t="s">
        <v>38</v>
      </c>
      <c r="C54" s="147"/>
      <c r="D54" s="147"/>
      <c r="E54" s="183">
        <f>SUM(F54:T54)</f>
        <v>-7243515.5166007532</v>
      </c>
      <c r="F54" s="183">
        <f>SUM(F52:F53)</f>
        <v>-3682051.0191153171</v>
      </c>
      <c r="G54" s="183">
        <f t="shared" ref="G54:T54" si="11">SUM(G52:G53)</f>
        <v>-356146.44974854356</v>
      </c>
      <c r="H54" s="183">
        <f t="shared" si="11"/>
        <v>-673301.70039017079</v>
      </c>
      <c r="I54" s="183">
        <f t="shared" si="11"/>
        <v>-996084.54125190119</v>
      </c>
      <c r="J54" s="183">
        <f t="shared" si="11"/>
        <v>-890366.12437135866</v>
      </c>
      <c r="K54" s="183">
        <f t="shared" si="11"/>
        <v>-573210.87372973142</v>
      </c>
      <c r="L54" s="183">
        <f t="shared" si="11"/>
        <v>-72354.807993729308</v>
      </c>
      <c r="M54" s="183">
        <f t="shared" si="11"/>
        <v>0</v>
      </c>
      <c r="N54" s="183">
        <f t="shared" si="11"/>
        <v>0</v>
      </c>
      <c r="O54" s="183">
        <f t="shared" si="11"/>
        <v>0</v>
      </c>
      <c r="P54" s="183">
        <f t="shared" si="11"/>
        <v>0</v>
      </c>
      <c r="Q54" s="183">
        <f t="shared" si="11"/>
        <v>0</v>
      </c>
      <c r="R54" s="183">
        <f t="shared" si="11"/>
        <v>0</v>
      </c>
      <c r="S54" s="183">
        <f t="shared" si="11"/>
        <v>0</v>
      </c>
      <c r="T54" s="183">
        <f t="shared" si="11"/>
        <v>0</v>
      </c>
    </row>
    <row r="55" spans="2:36" ht="15" customHeight="1" outlineLevel="1" x14ac:dyDescent="0.3">
      <c r="B55" s="95"/>
      <c r="C55" s="149"/>
      <c r="D55" s="149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2:36" ht="15" customHeight="1" outlineLevel="1" x14ac:dyDescent="0.3">
      <c r="B56" s="150" t="s">
        <v>649</v>
      </c>
      <c r="C56" s="312">
        <v>1</v>
      </c>
      <c r="D56" s="367"/>
      <c r="E56" s="23">
        <f t="shared" ref="E56:E67" si="12">SUM(F56:T56)</f>
        <v>1282051.0191153171</v>
      </c>
      <c r="F56" s="182">
        <f>Debt!H141</f>
        <v>1282051.0191153171</v>
      </c>
      <c r="G56" s="182">
        <f>Debt!I141</f>
        <v>0</v>
      </c>
      <c r="H56" s="182">
        <f>Debt!J141</f>
        <v>0</v>
      </c>
      <c r="I56" s="182">
        <f>Debt!K141</f>
        <v>0</v>
      </c>
      <c r="J56" s="182">
        <f>Debt!L141</f>
        <v>0</v>
      </c>
      <c r="K56" s="182">
        <f>Debt!M141</f>
        <v>0</v>
      </c>
      <c r="L56" s="182">
        <f>Debt!N141</f>
        <v>0</v>
      </c>
      <c r="M56" s="182">
        <f>Debt!O141</f>
        <v>0</v>
      </c>
      <c r="N56" s="182">
        <f>Debt!P141</f>
        <v>0</v>
      </c>
      <c r="O56" s="182">
        <f>Debt!Q141</f>
        <v>0</v>
      </c>
      <c r="P56" s="182">
        <f>Debt!R141</f>
        <v>0</v>
      </c>
      <c r="Q56" s="182">
        <f>Debt!S141</f>
        <v>0</v>
      </c>
      <c r="R56" s="182">
        <f>Debt!T141</f>
        <v>0</v>
      </c>
      <c r="S56" s="182">
        <f>Debt!U141</f>
        <v>0</v>
      </c>
      <c r="T56" s="182">
        <f>Debt!V141</f>
        <v>0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2:36" ht="15" customHeight="1" outlineLevel="1" x14ac:dyDescent="0.3">
      <c r="B57" s="150" t="s">
        <v>650</v>
      </c>
      <c r="C57" s="312" t="s">
        <v>659</v>
      </c>
      <c r="D57" s="367"/>
      <c r="E57" s="23">
        <f t="shared" ca="1" si="12"/>
        <v>0</v>
      </c>
      <c r="F57" s="182">
        <f ca="1">Debt!H142</f>
        <v>0</v>
      </c>
      <c r="G57" s="182">
        <f ca="1">Debt!I142</f>
        <v>0</v>
      </c>
      <c r="H57" s="182">
        <f ca="1">Debt!J142</f>
        <v>0</v>
      </c>
      <c r="I57" s="182">
        <f ca="1">Debt!K142</f>
        <v>0</v>
      </c>
      <c r="J57" s="182">
        <f ca="1">Debt!L142</f>
        <v>0</v>
      </c>
      <c r="K57" s="182">
        <f ca="1">Debt!M142</f>
        <v>0</v>
      </c>
      <c r="L57" s="182">
        <f ca="1">Debt!N142</f>
        <v>0</v>
      </c>
      <c r="M57" s="182">
        <f ca="1">Debt!O142</f>
        <v>0</v>
      </c>
      <c r="N57" s="182">
        <f ca="1">Debt!P142</f>
        <v>0</v>
      </c>
      <c r="O57" s="182">
        <f ca="1">Debt!Q142</f>
        <v>0</v>
      </c>
      <c r="P57" s="182">
        <f ca="1">Debt!R142</f>
        <v>0</v>
      </c>
      <c r="Q57" s="182">
        <f ca="1">Debt!S142</f>
        <v>0</v>
      </c>
      <c r="R57" s="182">
        <f ca="1">Debt!T142</f>
        <v>0</v>
      </c>
      <c r="S57" s="182">
        <f ca="1">Debt!U142</f>
        <v>0</v>
      </c>
      <c r="T57" s="182">
        <f ca="1">Debt!V142</f>
        <v>0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2:36" ht="15" customHeight="1" outlineLevel="1" x14ac:dyDescent="0.3">
      <c r="B58" s="150" t="s">
        <v>443</v>
      </c>
      <c r="C58" s="312">
        <v>1</v>
      </c>
      <c r="D58" s="367"/>
      <c r="E58" s="23">
        <f t="shared" si="12"/>
        <v>2400000</v>
      </c>
      <c r="F58" s="182">
        <f>Debt!H105</f>
        <v>2400000</v>
      </c>
      <c r="G58" s="182">
        <f>Debt!I105</f>
        <v>0</v>
      </c>
      <c r="H58" s="182">
        <f>Debt!J105</f>
        <v>0</v>
      </c>
      <c r="I58" s="182">
        <f>Debt!K105</f>
        <v>0</v>
      </c>
      <c r="J58" s="182">
        <f>Debt!L105</f>
        <v>0</v>
      </c>
      <c r="K58" s="182">
        <f>Debt!M105</f>
        <v>0</v>
      </c>
      <c r="L58" s="182">
        <f>Debt!N105</f>
        <v>0</v>
      </c>
      <c r="M58" s="182">
        <f>Debt!O105</f>
        <v>0</v>
      </c>
      <c r="N58" s="182">
        <f>Debt!P105</f>
        <v>0</v>
      </c>
      <c r="O58" s="182">
        <f>Debt!Q105</f>
        <v>0</v>
      </c>
      <c r="P58" s="182">
        <f>Debt!R105</f>
        <v>0</v>
      </c>
      <c r="Q58" s="182">
        <f>Debt!S105</f>
        <v>0</v>
      </c>
      <c r="R58" s="182">
        <f>Debt!T105</f>
        <v>0</v>
      </c>
      <c r="S58" s="182">
        <f>Debt!U105</f>
        <v>0</v>
      </c>
      <c r="T58" s="182">
        <f>Debt!V105</f>
        <v>0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2:36" ht="15" customHeight="1" outlineLevel="1" x14ac:dyDescent="0.3">
      <c r="B59" s="150" t="s">
        <v>444</v>
      </c>
      <c r="C59" s="312" t="s">
        <v>659</v>
      </c>
      <c r="D59" s="367"/>
      <c r="E59" s="23">
        <f t="shared" ca="1" si="12"/>
        <v>352128.38709673384</v>
      </c>
      <c r="F59" s="182">
        <f ca="1">Debt!H87</f>
        <v>0</v>
      </c>
      <c r="G59" s="182">
        <f ca="1">Debt!I87</f>
        <v>352128.38709673384</v>
      </c>
      <c r="H59" s="182">
        <f ca="1">Debt!J87</f>
        <v>0</v>
      </c>
      <c r="I59" s="182">
        <f ca="1">Debt!K87</f>
        <v>0</v>
      </c>
      <c r="J59" s="182">
        <f ca="1">Debt!L87</f>
        <v>0</v>
      </c>
      <c r="K59" s="182">
        <f ca="1">Debt!M87</f>
        <v>0</v>
      </c>
      <c r="L59" s="182">
        <f ca="1">Debt!N87</f>
        <v>0</v>
      </c>
      <c r="M59" s="182">
        <f ca="1">Debt!O87</f>
        <v>0</v>
      </c>
      <c r="N59" s="182">
        <f ca="1">Debt!P87</f>
        <v>0</v>
      </c>
      <c r="O59" s="182">
        <f ca="1">Debt!Q87</f>
        <v>0</v>
      </c>
      <c r="P59" s="182">
        <f ca="1">Debt!R87</f>
        <v>0</v>
      </c>
      <c r="Q59" s="182">
        <f ca="1">Debt!S87</f>
        <v>0</v>
      </c>
      <c r="R59" s="182">
        <f ca="1">Debt!T87</f>
        <v>0</v>
      </c>
      <c r="S59" s="182">
        <f ca="1">Debt!U87</f>
        <v>0</v>
      </c>
      <c r="T59" s="182">
        <f ca="1">Debt!V87</f>
        <v>0</v>
      </c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2:36" ht="15" customHeight="1" outlineLevel="1" x14ac:dyDescent="0.3">
      <c r="B60" s="150" t="s">
        <v>620</v>
      </c>
      <c r="C60" s="312" t="s">
        <v>659</v>
      </c>
      <c r="D60" s="367"/>
      <c r="E60" s="23">
        <f t="shared" ca="1" si="12"/>
        <v>28932.290457822241</v>
      </c>
      <c r="F60" s="182">
        <f>Debt!H88</f>
        <v>0</v>
      </c>
      <c r="G60" s="182">
        <f ca="1">Debt!I88</f>
        <v>27742.470824588894</v>
      </c>
      <c r="H60" s="182">
        <f ca="1">Debt!J88</f>
        <v>1189.8196332333464</v>
      </c>
      <c r="I60" s="182">
        <f ca="1">Debt!K88</f>
        <v>0</v>
      </c>
      <c r="J60" s="182">
        <f ca="1">Debt!L88</f>
        <v>0</v>
      </c>
      <c r="K60" s="182">
        <f>Debt!M88</f>
        <v>0</v>
      </c>
      <c r="L60" s="182">
        <f>Debt!N88</f>
        <v>0</v>
      </c>
      <c r="M60" s="182">
        <f>Debt!O88</f>
        <v>0</v>
      </c>
      <c r="N60" s="182">
        <f>Debt!P88</f>
        <v>0</v>
      </c>
      <c r="O60" s="182">
        <f>Debt!Q88</f>
        <v>0</v>
      </c>
      <c r="P60" s="182">
        <f>Debt!R88</f>
        <v>0</v>
      </c>
      <c r="Q60" s="182">
        <f>Debt!S88</f>
        <v>0</v>
      </c>
      <c r="R60" s="182">
        <f>Debt!T88</f>
        <v>0</v>
      </c>
      <c r="S60" s="182">
        <f>Debt!U88</f>
        <v>0</v>
      </c>
      <c r="T60" s="182">
        <f>Debt!V88</f>
        <v>0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2:36" ht="15" customHeight="1" outlineLevel="1" x14ac:dyDescent="0.3">
      <c r="B61" s="150" t="s">
        <v>445</v>
      </c>
      <c r="C61" s="312">
        <v>1</v>
      </c>
      <c r="D61" s="367"/>
      <c r="E61" s="23">
        <f t="shared" si="12"/>
        <v>-2400000</v>
      </c>
      <c r="F61" s="182">
        <f>Debt!H110</f>
        <v>0</v>
      </c>
      <c r="G61" s="182">
        <f>Debt!I110</f>
        <v>0</v>
      </c>
      <c r="H61" s="182">
        <f>Debt!J110</f>
        <v>0</v>
      </c>
      <c r="I61" s="182">
        <f>Debt!K110</f>
        <v>-143965.69442627855</v>
      </c>
      <c r="J61" s="182">
        <f>Debt!L110</f>
        <v>-159425.62454455416</v>
      </c>
      <c r="K61" s="182">
        <f>Debt!M110</f>
        <v>-177144.56548141775</v>
      </c>
      <c r="L61" s="182">
        <f>Debt!N110</f>
        <v>-195953.77342625975</v>
      </c>
      <c r="M61" s="182">
        <f>Debt!O110</f>
        <v>-1137395.1307012464</v>
      </c>
      <c r="N61" s="182">
        <f>Debt!P110</f>
        <v>-586115.21142024337</v>
      </c>
      <c r="O61" s="182">
        <f>Debt!Q110</f>
        <v>0</v>
      </c>
      <c r="P61" s="182">
        <f>Debt!R110</f>
        <v>0</v>
      </c>
      <c r="Q61" s="182">
        <f>Debt!S110</f>
        <v>0</v>
      </c>
      <c r="R61" s="182">
        <f>Debt!T110</f>
        <v>0</v>
      </c>
      <c r="S61" s="182">
        <f>Debt!U110</f>
        <v>0</v>
      </c>
      <c r="T61" s="182">
        <f>Debt!V110</f>
        <v>0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2:36" ht="15" customHeight="1" outlineLevel="1" x14ac:dyDescent="0.3">
      <c r="B62" s="150" t="s">
        <v>446</v>
      </c>
      <c r="C62" s="312" t="s">
        <v>659</v>
      </c>
      <c r="D62" s="367"/>
      <c r="E62" s="23">
        <f t="shared" ca="1" si="12"/>
        <v>-381060.67755455605</v>
      </c>
      <c r="F62" s="182">
        <f ca="1">Debt!H111</f>
        <v>0</v>
      </c>
      <c r="G62" s="182">
        <f ca="1">Debt!I111</f>
        <v>0</v>
      </c>
      <c r="H62" s="182">
        <f ca="1">Debt!J111</f>
        <v>0</v>
      </c>
      <c r="I62" s="182">
        <f ca="1">Debt!K111</f>
        <v>-14629.737642845401</v>
      </c>
      <c r="J62" s="182">
        <f ca="1">Debt!L111</f>
        <v>-20887.992051975707</v>
      </c>
      <c r="K62" s="182">
        <f ca="1">Debt!M111</f>
        <v>-22857.046073619724</v>
      </c>
      <c r="L62" s="182">
        <f ca="1">Debt!N111</f>
        <v>-25311.57759528944</v>
      </c>
      <c r="M62" s="182">
        <f ca="1">Debt!O111</f>
        <v>-28124.76618847216</v>
      </c>
      <c r="N62" s="182">
        <f ca="1">Debt!P111</f>
        <v>-31111.053541975714</v>
      </c>
      <c r="O62" s="182">
        <f ca="1">Debt!Q111</f>
        <v>-238138.50446037794</v>
      </c>
      <c r="P62" s="182">
        <f ca="1">Debt!R111</f>
        <v>0</v>
      </c>
      <c r="Q62" s="182">
        <f ca="1">Debt!S111</f>
        <v>0</v>
      </c>
      <c r="R62" s="182">
        <f ca="1">Debt!T111</f>
        <v>0</v>
      </c>
      <c r="S62" s="182">
        <f ca="1">Debt!U111</f>
        <v>0</v>
      </c>
      <c r="T62" s="182">
        <f ca="1">Debt!V111</f>
        <v>0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2:36" ht="15" customHeight="1" outlineLevel="1" x14ac:dyDescent="0.3">
      <c r="B63" s="150" t="s">
        <v>447</v>
      </c>
      <c r="C63" s="312">
        <v>1</v>
      </c>
      <c r="D63" s="367"/>
      <c r="E63" s="23">
        <f t="shared" si="12"/>
        <v>-994249.15730861947</v>
      </c>
      <c r="F63" s="182">
        <f>-Debt!H120</f>
        <v>0</v>
      </c>
      <c r="G63" s="182">
        <f>-Debt!I120</f>
        <v>-151200</v>
      </c>
      <c r="H63" s="182">
        <f>-Debt!J120</f>
        <v>-151200</v>
      </c>
      <c r="I63" s="182">
        <f>-Debt!K120</f>
        <v>-151200</v>
      </c>
      <c r="J63" s="182">
        <f>-Debt!L120</f>
        <v>-142130.16125114445</v>
      </c>
      <c r="K63" s="182">
        <f>-Debt!M120</f>
        <v>-132086.34690483753</v>
      </c>
      <c r="L63" s="182">
        <f>-Debt!N120</f>
        <v>-120926.23927950821</v>
      </c>
      <c r="M63" s="182">
        <f>-Debt!O120</f>
        <v>-108581.15155365386</v>
      </c>
      <c r="N63" s="182">
        <f>-Debt!P120</f>
        <v>-36925.258319475332</v>
      </c>
      <c r="O63" s="182">
        <f>-Debt!Q120</f>
        <v>0</v>
      </c>
      <c r="P63" s="182">
        <f>-Debt!R120</f>
        <v>0</v>
      </c>
      <c r="Q63" s="182">
        <f>-Debt!S120</f>
        <v>0</v>
      </c>
      <c r="R63" s="182">
        <f>-Debt!T120</f>
        <v>0</v>
      </c>
      <c r="S63" s="182">
        <f>-Debt!U120</f>
        <v>0</v>
      </c>
      <c r="T63" s="182">
        <f>-Debt!V120</f>
        <v>0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2:36" ht="15" customHeight="1" outlineLevel="1" x14ac:dyDescent="0.3">
      <c r="B64" s="150" t="s">
        <v>448</v>
      </c>
      <c r="C64" s="312" t="s">
        <v>659</v>
      </c>
      <c r="D64" s="367"/>
      <c r="E64" s="23">
        <f ca="1">SUM(F64:T64)</f>
        <v>-95030.658635355168</v>
      </c>
      <c r="F64" s="182">
        <f ca="1">-Debt!H122</f>
        <v>0</v>
      </c>
      <c r="G64" s="182">
        <f ca="1">-Debt!I122</f>
        <v>-23931.864049043332</v>
      </c>
      <c r="H64" s="182">
        <f ca="1">-Debt!J122</f>
        <v>-24006.822685937033</v>
      </c>
      <c r="I64" s="182">
        <f ca="1">-Debt!K122</f>
        <v>-24006.822685937033</v>
      </c>
      <c r="J64" s="182">
        <f ca="1">-Debt!L122</f>
        <v>-23085.149214437773</v>
      </c>
      <c r="K64" s="182">
        <f ca="1">-Debt!M122</f>
        <v>0</v>
      </c>
      <c r="L64" s="182">
        <f ca="1">-Debt!N122</f>
        <v>0</v>
      </c>
      <c r="M64" s="182">
        <f ca="1">-Debt!O122</f>
        <v>0</v>
      </c>
      <c r="N64" s="182">
        <f ca="1">-Debt!P122</f>
        <v>0</v>
      </c>
      <c r="O64" s="182">
        <f ca="1">-Debt!Q122</f>
        <v>0</v>
      </c>
      <c r="P64" s="182">
        <f ca="1">-Debt!R122</f>
        <v>0</v>
      </c>
      <c r="Q64" s="182">
        <f ca="1">-Debt!S122</f>
        <v>0</v>
      </c>
      <c r="R64" s="182">
        <f ca="1">-Debt!T122</f>
        <v>0</v>
      </c>
      <c r="S64" s="182">
        <f ca="1">-Debt!U122</f>
        <v>0</v>
      </c>
      <c r="T64" s="182">
        <f ca="1">-Debt!V122</f>
        <v>0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2:36" ht="15" customHeight="1" outlineLevel="1" x14ac:dyDescent="0.3">
      <c r="B65" s="150" t="s">
        <v>449</v>
      </c>
      <c r="C65" s="312" t="s">
        <v>659</v>
      </c>
      <c r="D65" s="367"/>
      <c r="E65" s="23">
        <f t="shared" ca="1" si="12"/>
        <v>-92798.447886862501</v>
      </c>
      <c r="F65" s="182">
        <f ca="1">-Debt!H121</f>
        <v>0</v>
      </c>
      <c r="G65" s="182">
        <f ca="1">-Debt!I121</f>
        <v>0</v>
      </c>
      <c r="H65" s="182">
        <f ca="1">-Debt!J121</f>
        <v>0</v>
      </c>
      <c r="I65" s="182">
        <f ca="1">-Debt!K121</f>
        <v>0</v>
      </c>
      <c r="J65" s="182">
        <f ca="1">-Debt!L121</f>
        <v>0</v>
      </c>
      <c r="K65" s="182">
        <f ca="1">-Debt!M121</f>
        <v>-21769.205715163305</v>
      </c>
      <c r="L65" s="182">
        <f ca="1">-Debt!N121</f>
        <v>-20329.21181252526</v>
      </c>
      <c r="M65" s="182">
        <f ca="1">-Debt!O121</f>
        <v>-18734.582424022024</v>
      </c>
      <c r="N65" s="182">
        <f ca="1">-Debt!P121</f>
        <v>-16962.722154148283</v>
      </c>
      <c r="O65" s="182">
        <f ca="1">-Debt!Q121</f>
        <v>-15002.725781003741</v>
      </c>
      <c r="P65" s="182">
        <f ca="1">-Debt!R121</f>
        <v>0</v>
      </c>
      <c r="Q65" s="182">
        <f ca="1">-Debt!S121</f>
        <v>0</v>
      </c>
      <c r="R65" s="182">
        <f ca="1">-Debt!T121</f>
        <v>0</v>
      </c>
      <c r="S65" s="182">
        <f ca="1">-Debt!U121</f>
        <v>0</v>
      </c>
      <c r="T65" s="182">
        <f ca="1">-Debt!V121</f>
        <v>0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2:36" ht="15" customHeight="1" outlineLevel="1" x14ac:dyDescent="0.3">
      <c r="B66" s="150" t="s">
        <v>450</v>
      </c>
      <c r="C66" s="312" t="s">
        <v>659</v>
      </c>
      <c r="D66" s="367"/>
      <c r="E66" s="23">
        <f t="shared" ca="1" si="12"/>
        <v>-3810.606775545561</v>
      </c>
      <c r="F66" s="182">
        <f>-Debt!H123</f>
        <v>0</v>
      </c>
      <c r="G66" s="182">
        <f ca="1">-Debt!I123</f>
        <v>-3810.606775545561</v>
      </c>
      <c r="H66" s="182">
        <f>-Debt!J123</f>
        <v>0</v>
      </c>
      <c r="I66" s="182">
        <f>-Debt!K123</f>
        <v>0</v>
      </c>
      <c r="J66" s="182">
        <f>-Debt!L123</f>
        <v>0</v>
      </c>
      <c r="K66" s="182">
        <f>-Debt!M123</f>
        <v>0</v>
      </c>
      <c r="L66" s="182">
        <f>-Debt!N123</f>
        <v>0</v>
      </c>
      <c r="M66" s="182">
        <f>-Debt!O123</f>
        <v>0</v>
      </c>
      <c r="N66" s="182">
        <f>-Debt!P123</f>
        <v>0</v>
      </c>
      <c r="O66" s="182">
        <f>-Debt!Q123</f>
        <v>0</v>
      </c>
      <c r="P66" s="182">
        <f>-Debt!R123</f>
        <v>0</v>
      </c>
      <c r="Q66" s="182">
        <f>-Debt!S123</f>
        <v>0</v>
      </c>
      <c r="R66" s="182">
        <f>-Debt!T123</f>
        <v>0</v>
      </c>
      <c r="S66" s="182">
        <f>-Debt!U123</f>
        <v>0</v>
      </c>
      <c r="T66" s="182">
        <f>-Debt!V123</f>
        <v>0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2:36" ht="15" customHeight="1" outlineLevel="1" x14ac:dyDescent="0.3">
      <c r="B67" s="146" t="s">
        <v>39</v>
      </c>
      <c r="C67" s="147"/>
      <c r="D67" s="147"/>
      <c r="E67" s="183">
        <f t="shared" ca="1" si="12"/>
        <v>96162.148508934479</v>
      </c>
      <c r="F67" s="183">
        <f t="shared" ref="F67:T67" ca="1" si="13">SUM(F56:F66)</f>
        <v>3682051.0191153171</v>
      </c>
      <c r="G67" s="183">
        <f t="shared" ca="1" si="13"/>
        <v>200928.38709673384</v>
      </c>
      <c r="H67" s="183">
        <f t="shared" ca="1" si="13"/>
        <v>-174017.00305270369</v>
      </c>
      <c r="I67" s="183">
        <f t="shared" ca="1" si="13"/>
        <v>-333802.254755061</v>
      </c>
      <c r="J67" s="183">
        <f t="shared" ca="1" si="13"/>
        <v>-345528.92706211208</v>
      </c>
      <c r="K67" s="183">
        <f t="shared" ca="1" si="13"/>
        <v>-353857.16417503828</v>
      </c>
      <c r="L67" s="183">
        <f t="shared" ca="1" si="13"/>
        <v>-362520.80211358273</v>
      </c>
      <c r="M67" s="183">
        <f t="shared" ca="1" si="13"/>
        <v>-1292835.6308673946</v>
      </c>
      <c r="N67" s="183">
        <f t="shared" ca="1" si="13"/>
        <v>-671114.24543584266</v>
      </c>
      <c r="O67" s="183">
        <f t="shared" ca="1" si="13"/>
        <v>-253141.23024138168</v>
      </c>
      <c r="P67" s="183">
        <f t="shared" ca="1" si="13"/>
        <v>0</v>
      </c>
      <c r="Q67" s="183">
        <f t="shared" ca="1" si="13"/>
        <v>0</v>
      </c>
      <c r="R67" s="183">
        <f t="shared" ca="1" si="13"/>
        <v>0</v>
      </c>
      <c r="S67" s="183">
        <f t="shared" ca="1" si="13"/>
        <v>0</v>
      </c>
      <c r="T67" s="183">
        <f t="shared" ca="1" si="13"/>
        <v>0</v>
      </c>
    </row>
    <row r="68" spans="2:36" ht="15" customHeight="1" outlineLevel="1" x14ac:dyDescent="0.3"/>
    <row r="69" spans="2:36" ht="15" customHeight="1" outlineLevel="1" x14ac:dyDescent="0.3">
      <c r="B69" s="146" t="s">
        <v>40</v>
      </c>
      <c r="C69" s="147"/>
      <c r="D69" s="147"/>
      <c r="E69" s="183">
        <f t="shared" ref="E69:T69" ca="1" si="14">SUM(E40,E54,E67)</f>
        <v>8672431.1535657812</v>
      </c>
      <c r="F69" s="183">
        <f t="shared" ca="1" si="14"/>
        <v>0</v>
      </c>
      <c r="G69" s="183">
        <f t="shared" ca="1" si="14"/>
        <v>50000</v>
      </c>
      <c r="H69" s="183">
        <f t="shared" ca="1" si="14"/>
        <v>0</v>
      </c>
      <c r="I69" s="183">
        <f t="shared" ca="1" si="14"/>
        <v>476101.76506496151</v>
      </c>
      <c r="J69" s="183">
        <f t="shared" ca="1" si="14"/>
        <v>905555.40387833701</v>
      </c>
      <c r="K69" s="183">
        <f t="shared" ca="1" si="14"/>
        <v>1060003.418961124</v>
      </c>
      <c r="L69" s="183">
        <f t="shared" ca="1" si="14"/>
        <v>170075.98778899841</v>
      </c>
      <c r="M69" s="183">
        <f t="shared" ca="1" si="14"/>
        <v>-1015391.1679688935</v>
      </c>
      <c r="N69" s="183">
        <f t="shared" ca="1" si="14"/>
        <v>-388644.94748198357</v>
      </c>
      <c r="O69" s="183">
        <f t="shared" ca="1" si="14"/>
        <v>36657.112503716198</v>
      </c>
      <c r="P69" s="183">
        <f t="shared" ca="1" si="14"/>
        <v>297942.39253007522</v>
      </c>
      <c r="Q69" s="183">
        <f t="shared" ca="1" si="14"/>
        <v>306917.66208615026</v>
      </c>
      <c r="R69" s="183">
        <f t="shared" ca="1" si="14"/>
        <v>315713.96538470907</v>
      </c>
      <c r="S69" s="183">
        <f t="shared" ca="1" si="14"/>
        <v>324688.95081090386</v>
      </c>
      <c r="T69" s="183">
        <f t="shared" ca="1" si="14"/>
        <v>5330644.5639063939</v>
      </c>
    </row>
    <row r="70" spans="2:36" ht="15" customHeight="1" outlineLevel="1" x14ac:dyDescent="0.3">
      <c r="B70" s="8" t="s">
        <v>41</v>
      </c>
      <c r="F70" s="23">
        <f t="shared" ref="F70:T70" si="15">E71</f>
        <v>0</v>
      </c>
      <c r="G70" s="23">
        <f t="shared" ca="1" si="15"/>
        <v>0</v>
      </c>
      <c r="H70" s="23">
        <f t="shared" ca="1" si="15"/>
        <v>50000</v>
      </c>
      <c r="I70" s="23">
        <f t="shared" ca="1" si="15"/>
        <v>50000</v>
      </c>
      <c r="J70" s="23">
        <f t="shared" ca="1" si="15"/>
        <v>526101.76506496151</v>
      </c>
      <c r="K70" s="23">
        <f t="shared" ca="1" si="15"/>
        <v>1431657.1689432985</v>
      </c>
      <c r="L70" s="23">
        <f t="shared" ca="1" si="15"/>
        <v>2491660.5879044225</v>
      </c>
      <c r="M70" s="23">
        <f t="shared" ca="1" si="15"/>
        <v>2661736.5756934211</v>
      </c>
      <c r="N70" s="23">
        <f t="shared" ca="1" si="15"/>
        <v>1646345.4077245276</v>
      </c>
      <c r="O70" s="23">
        <f t="shared" ca="1" si="15"/>
        <v>1257700.4602425434</v>
      </c>
      <c r="P70" s="23">
        <f t="shared" ca="1" si="15"/>
        <v>1294357.5727462596</v>
      </c>
      <c r="Q70" s="23">
        <f t="shared" ca="1" si="15"/>
        <v>1592299.9652763363</v>
      </c>
      <c r="R70" s="23">
        <f t="shared" ca="1" si="15"/>
        <v>1899217.6273624697</v>
      </c>
      <c r="S70" s="23">
        <f t="shared" ca="1" si="15"/>
        <v>2214931.5927472315</v>
      </c>
      <c r="T70" s="23">
        <f t="shared" ca="1" si="15"/>
        <v>2539620.5435581962</v>
      </c>
    </row>
    <row r="71" spans="2:36" ht="15" customHeight="1" x14ac:dyDescent="0.3">
      <c r="B71" s="146" t="s">
        <v>42</v>
      </c>
      <c r="C71" s="147"/>
      <c r="D71" s="147"/>
      <c r="E71" s="2"/>
      <c r="F71" s="183">
        <f t="shared" ref="F71:T71" ca="1" si="16">SUM(F69,F70)</f>
        <v>0</v>
      </c>
      <c r="G71" s="183">
        <f t="shared" ca="1" si="16"/>
        <v>50000</v>
      </c>
      <c r="H71" s="183">
        <f t="shared" ca="1" si="16"/>
        <v>50000</v>
      </c>
      <c r="I71" s="183">
        <f t="shared" ca="1" si="16"/>
        <v>526101.76506496151</v>
      </c>
      <c r="J71" s="183">
        <f t="shared" ca="1" si="16"/>
        <v>1431657.1689432985</v>
      </c>
      <c r="K71" s="183">
        <f t="shared" ca="1" si="16"/>
        <v>2491660.5879044225</v>
      </c>
      <c r="L71" s="183">
        <f t="shared" ca="1" si="16"/>
        <v>2661736.5756934211</v>
      </c>
      <c r="M71" s="183">
        <f t="shared" ca="1" si="16"/>
        <v>1646345.4077245276</v>
      </c>
      <c r="N71" s="183">
        <f t="shared" ca="1" si="16"/>
        <v>1257700.4602425441</v>
      </c>
      <c r="O71" s="183">
        <f t="shared" ca="1" si="16"/>
        <v>1294357.5727462596</v>
      </c>
      <c r="P71" s="183">
        <f t="shared" ca="1" si="16"/>
        <v>1592299.9652763349</v>
      </c>
      <c r="Q71" s="183">
        <f t="shared" ca="1" si="16"/>
        <v>1899217.6273624864</v>
      </c>
      <c r="R71" s="183">
        <f t="shared" ca="1" si="16"/>
        <v>2214931.5927471789</v>
      </c>
      <c r="S71" s="183">
        <f t="shared" ca="1" si="16"/>
        <v>2539620.5435581352</v>
      </c>
      <c r="T71" s="183">
        <f t="shared" ca="1" si="16"/>
        <v>7870265.1074645901</v>
      </c>
    </row>
    <row r="72" spans="2:36" ht="15" customHeight="1" x14ac:dyDescent="0.3"/>
    <row r="73" spans="2:36" ht="15" customHeight="1" x14ac:dyDescent="0.3">
      <c r="B73" s="74" t="s">
        <v>764</v>
      </c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</row>
    <row r="74" spans="2:36" ht="15" customHeight="1" outlineLevel="1" x14ac:dyDescent="0.3"/>
    <row r="75" spans="2:36" outlineLevel="1" x14ac:dyDescent="0.3">
      <c r="B75" s="143" t="s">
        <v>770</v>
      </c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</row>
    <row r="76" spans="2:36" outlineLevel="1" x14ac:dyDescent="0.3">
      <c r="B76" s="8" t="str">
        <f>B15</f>
        <v xml:space="preserve">VOCO Hotel </v>
      </c>
      <c r="C76" s="8"/>
      <c r="D76" s="8"/>
      <c r="E76" s="166">
        <f>SUM(F76:T76)</f>
        <v>2768018.829402226</v>
      </c>
      <c r="F76" s="167">
        <f t="shared" ref="F76:T76" si="17">SUM(F15,F29)</f>
        <v>0</v>
      </c>
      <c r="G76" s="167">
        <f t="shared" si="17"/>
        <v>169879.47109589039</v>
      </c>
      <c r="H76" s="167">
        <f t="shared" si="17"/>
        <v>162569.46561643839</v>
      </c>
      <c r="I76" s="167">
        <f t="shared" si="17"/>
        <v>173283.95794520556</v>
      </c>
      <c r="J76" s="167">
        <f t="shared" si="17"/>
        <v>175815.56082198425</v>
      </c>
      <c r="K76" s="167">
        <f t="shared" si="17"/>
        <v>177986.15167066825</v>
      </c>
      <c r="L76" s="167">
        <f t="shared" si="17"/>
        <v>188303.04818822371</v>
      </c>
      <c r="M76" s="167">
        <f t="shared" si="17"/>
        <v>193445.36296381726</v>
      </c>
      <c r="N76" s="167">
        <f t="shared" si="17"/>
        <v>199248.72385273175</v>
      </c>
      <c r="O76" s="167">
        <f t="shared" si="17"/>
        <v>205226.18556831367</v>
      </c>
      <c r="P76" s="167">
        <f t="shared" si="17"/>
        <v>211382.97113536304</v>
      </c>
      <c r="Q76" s="167">
        <f t="shared" si="17"/>
        <v>217724.46026942416</v>
      </c>
      <c r="R76" s="167">
        <f t="shared" si="17"/>
        <v>224256.19407750678</v>
      </c>
      <c r="S76" s="167">
        <f t="shared" si="17"/>
        <v>230983.87989983178</v>
      </c>
      <c r="T76" s="167">
        <f t="shared" si="17"/>
        <v>237913.39629682712</v>
      </c>
    </row>
    <row r="77" spans="2:36" outlineLevel="1" x14ac:dyDescent="0.3">
      <c r="B77" s="8" t="str">
        <f>B16</f>
        <v xml:space="preserve">Residential Tower 01 </v>
      </c>
      <c r="C77" s="8"/>
      <c r="D77" s="8"/>
      <c r="E77" s="166">
        <f t="shared" ref="E77:E81" si="18">SUM(F77:T77)</f>
        <v>262367.93322267185</v>
      </c>
      <c r="F77" s="167">
        <f t="shared" ref="F77:T77" si="19">SUM(F16,F30)</f>
        <v>0</v>
      </c>
      <c r="G77" s="167">
        <f t="shared" si="19"/>
        <v>0</v>
      </c>
      <c r="H77" s="167">
        <f t="shared" si="19"/>
        <v>0</v>
      </c>
      <c r="I77" s="167">
        <f t="shared" si="19"/>
        <v>0</v>
      </c>
      <c r="J77" s="167">
        <f t="shared" si="19"/>
        <v>15881.292479278731</v>
      </c>
      <c r="K77" s="167">
        <f t="shared" si="19"/>
        <v>15802.044095495112</v>
      </c>
      <c r="L77" s="167">
        <f t="shared" si="19"/>
        <v>21203.682302421708</v>
      </c>
      <c r="M77" s="167">
        <f t="shared" si="19"/>
        <v>24168.689909520093</v>
      </c>
      <c r="N77" s="167">
        <f t="shared" si="19"/>
        <v>24161.772302433266</v>
      </c>
      <c r="O77" s="167">
        <f t="shared" si="19"/>
        <v>24902.344589526634</v>
      </c>
      <c r="P77" s="167">
        <f t="shared" si="19"/>
        <v>25649.414927212434</v>
      </c>
      <c r="Q77" s="167">
        <f t="shared" si="19"/>
        <v>26507.954328090113</v>
      </c>
      <c r="R77" s="167">
        <f t="shared" si="19"/>
        <v>27194.287591602624</v>
      </c>
      <c r="S77" s="167">
        <f t="shared" si="19"/>
        <v>28027.808225168061</v>
      </c>
      <c r="T77" s="167">
        <f t="shared" si="19"/>
        <v>28868.6424719231</v>
      </c>
    </row>
    <row r="78" spans="2:36" outlineLevel="1" x14ac:dyDescent="0.3">
      <c r="B78" s="8" t="str">
        <f>B17</f>
        <v xml:space="preserve">Hotel 01 - 336 Keys </v>
      </c>
      <c r="C78" s="8"/>
      <c r="D78" s="8"/>
      <c r="E78" s="166">
        <f t="shared" si="18"/>
        <v>395525.85848329664</v>
      </c>
      <c r="F78" s="167">
        <f t="shared" ref="F78:T78" si="20">SUM(F17,F31)</f>
        <v>0</v>
      </c>
      <c r="G78" s="167">
        <f t="shared" si="20"/>
        <v>0</v>
      </c>
      <c r="H78" s="167">
        <f t="shared" si="20"/>
        <v>0</v>
      </c>
      <c r="I78" s="167">
        <f t="shared" si="20"/>
        <v>0</v>
      </c>
      <c r="J78" s="167">
        <f t="shared" si="20"/>
        <v>27339.562300862068</v>
      </c>
      <c r="K78" s="167">
        <f t="shared" si="20"/>
        <v>27866.511828261842</v>
      </c>
      <c r="L78" s="167">
        <f t="shared" si="20"/>
        <v>31518.291715415471</v>
      </c>
      <c r="M78" s="167">
        <f t="shared" si="20"/>
        <v>35077.080658288971</v>
      </c>
      <c r="N78" s="167">
        <f t="shared" si="20"/>
        <v>35698.822795576962</v>
      </c>
      <c r="O78" s="167">
        <f t="shared" si="20"/>
        <v>36781.691878401463</v>
      </c>
      <c r="P78" s="167">
        <f t="shared" si="20"/>
        <v>37885.142634753487</v>
      </c>
      <c r="Q78" s="167">
        <f t="shared" si="20"/>
        <v>39141.235049317707</v>
      </c>
      <c r="R78" s="167">
        <f t="shared" si="20"/>
        <v>40179.339563050693</v>
      </c>
      <c r="S78" s="167">
        <f t="shared" si="20"/>
        <v>41398.118255846275</v>
      </c>
      <c r="T78" s="167">
        <f t="shared" si="20"/>
        <v>42640.061803521661</v>
      </c>
    </row>
    <row r="79" spans="2:36" outlineLevel="1" x14ac:dyDescent="0.3">
      <c r="B79" s="8" t="str">
        <f>B33</f>
        <v>Support Retail (Phase 2)</v>
      </c>
      <c r="C79" s="8"/>
      <c r="D79" s="8"/>
      <c r="E79" s="166">
        <f t="shared" si="18"/>
        <v>193949.09796575044</v>
      </c>
      <c r="F79" s="167">
        <f t="shared" ref="F79:T79" si="21">SUM(F19,F33)</f>
        <v>0</v>
      </c>
      <c r="G79" s="167">
        <f t="shared" si="21"/>
        <v>0</v>
      </c>
      <c r="H79" s="167">
        <f t="shared" si="21"/>
        <v>0</v>
      </c>
      <c r="I79" s="167">
        <f t="shared" si="21"/>
        <v>0</v>
      </c>
      <c r="J79" s="167">
        <f t="shared" si="21"/>
        <v>8541.161287050898</v>
      </c>
      <c r="K79" s="167">
        <f t="shared" si="21"/>
        <v>11578.252381814233</v>
      </c>
      <c r="L79" s="167">
        <f t="shared" si="21"/>
        <v>14826.549635456355</v>
      </c>
      <c r="M79" s="167">
        <f t="shared" si="21"/>
        <v>18230.025344041955</v>
      </c>
      <c r="N79" s="167">
        <f t="shared" si="21"/>
        <v>18651.793601350004</v>
      </c>
      <c r="O79" s="167">
        <f t="shared" si="21"/>
        <v>19118.088441383752</v>
      </c>
      <c r="P79" s="167">
        <f t="shared" si="21"/>
        <v>19596.040652418345</v>
      </c>
      <c r="Q79" s="167">
        <f t="shared" si="21"/>
        <v>20085.941668728803</v>
      </c>
      <c r="R79" s="167">
        <f t="shared" si="21"/>
        <v>20588.090210447022</v>
      </c>
      <c r="S79" s="167">
        <f t="shared" si="21"/>
        <v>21102.792465708193</v>
      </c>
      <c r="T79" s="167">
        <f t="shared" si="21"/>
        <v>21630.362277350898</v>
      </c>
    </row>
    <row r="80" spans="2:36" outlineLevel="1" x14ac:dyDescent="0.3">
      <c r="B80" s="8" t="str">
        <f>B34</f>
        <v>Support Retail (Phase 3)</v>
      </c>
      <c r="C80" s="8"/>
      <c r="D80" s="8"/>
      <c r="E80" s="422">
        <f t="shared" si="18"/>
        <v>102110.10751060808</v>
      </c>
      <c r="F80" s="423">
        <f t="shared" ref="F80:T80" si="22">SUM(F20,F34)</f>
        <v>0</v>
      </c>
      <c r="G80" s="423">
        <f t="shared" si="22"/>
        <v>0</v>
      </c>
      <c r="H80" s="423">
        <f t="shared" si="22"/>
        <v>0</v>
      </c>
      <c r="I80" s="423">
        <f t="shared" si="22"/>
        <v>0</v>
      </c>
      <c r="J80" s="423">
        <f t="shared" si="22"/>
        <v>4496.7411884546227</v>
      </c>
      <c r="K80" s="423">
        <f t="shared" si="22"/>
        <v>6095.7055634297421</v>
      </c>
      <c r="L80" s="423">
        <f t="shared" si="22"/>
        <v>7805.865524340632</v>
      </c>
      <c r="M80" s="423">
        <f t="shared" si="22"/>
        <v>9597.7236673199277</v>
      </c>
      <c r="N80" s="423">
        <f t="shared" si="22"/>
        <v>9819.7757549552698</v>
      </c>
      <c r="O80" s="423">
        <f t="shared" si="22"/>
        <v>10065.27014882915</v>
      </c>
      <c r="P80" s="423">
        <f t="shared" si="22"/>
        <v>10316.90190254988</v>
      </c>
      <c r="Q80" s="423">
        <f t="shared" si="22"/>
        <v>10574.824450113625</v>
      </c>
      <c r="R80" s="423">
        <f t="shared" si="22"/>
        <v>10839.195061366465</v>
      </c>
      <c r="S80" s="423">
        <f t="shared" si="22"/>
        <v>11110.174937900625</v>
      </c>
      <c r="T80" s="423">
        <f t="shared" si="22"/>
        <v>11387.92931134814</v>
      </c>
    </row>
    <row r="81" spans="2:20" outlineLevel="1" x14ac:dyDescent="0.3">
      <c r="B81" s="163" t="s">
        <v>771</v>
      </c>
      <c r="C81" s="163"/>
      <c r="D81" s="163"/>
      <c r="E81" s="421">
        <f t="shared" si="18"/>
        <v>3721971.8265845524</v>
      </c>
      <c r="F81" s="421">
        <f>SUM(F76:F80)</f>
        <v>0</v>
      </c>
      <c r="G81" s="421">
        <f t="shared" ref="G81:T81" si="23">SUM(G76:G80)</f>
        <v>169879.47109589039</v>
      </c>
      <c r="H81" s="421">
        <f t="shared" si="23"/>
        <v>162569.46561643839</v>
      </c>
      <c r="I81" s="421">
        <f t="shared" si="23"/>
        <v>173283.95794520556</v>
      </c>
      <c r="J81" s="421">
        <f t="shared" si="23"/>
        <v>232074.31807763057</v>
      </c>
      <c r="K81" s="421">
        <f t="shared" si="23"/>
        <v>239328.66553966916</v>
      </c>
      <c r="L81" s="421">
        <f t="shared" si="23"/>
        <v>263657.43736585788</v>
      </c>
      <c r="M81" s="421">
        <f t="shared" si="23"/>
        <v>280518.88254298817</v>
      </c>
      <c r="N81" s="421">
        <f t="shared" si="23"/>
        <v>287580.88830704725</v>
      </c>
      <c r="O81" s="421">
        <f t="shared" si="23"/>
        <v>296093.58062645461</v>
      </c>
      <c r="P81" s="421">
        <f t="shared" si="23"/>
        <v>304830.47125229723</v>
      </c>
      <c r="Q81" s="421">
        <f t="shared" si="23"/>
        <v>314034.41576567438</v>
      </c>
      <c r="R81" s="421">
        <f t="shared" si="23"/>
        <v>323057.1065039736</v>
      </c>
      <c r="S81" s="421">
        <f t="shared" si="23"/>
        <v>332622.77378445497</v>
      </c>
      <c r="T81" s="421">
        <f t="shared" si="23"/>
        <v>342440.39216097089</v>
      </c>
    </row>
    <row r="82" spans="2:20" outlineLevel="1" x14ac:dyDescent="0.3">
      <c r="C82" s="8"/>
      <c r="D82" s="8"/>
    </row>
    <row r="83" spans="2:20" outlineLevel="1" x14ac:dyDescent="0.3">
      <c r="B83" s="163" t="s">
        <v>772</v>
      </c>
      <c r="C83" s="163"/>
      <c r="D83" s="163"/>
      <c r="E83" s="424">
        <f ca="1">SUM(F83:T83)</f>
        <v>-1185888.8706063828</v>
      </c>
      <c r="F83" s="424">
        <f ca="1">-SUM(F63:F66)</f>
        <v>0</v>
      </c>
      <c r="G83" s="424">
        <f t="shared" ref="G83:T83" ca="1" si="24">SUM(G63:G66)</f>
        <v>-178942.47082458891</v>
      </c>
      <c r="H83" s="424">
        <f t="shared" ca="1" si="24"/>
        <v>-175206.82268593705</v>
      </c>
      <c r="I83" s="424">
        <f t="shared" ca="1" si="24"/>
        <v>-175206.82268593705</v>
      </c>
      <c r="J83" s="424">
        <f t="shared" ca="1" si="24"/>
        <v>-165215.31046558224</v>
      </c>
      <c r="K83" s="424">
        <f t="shared" ca="1" si="24"/>
        <v>-153855.55262000085</v>
      </c>
      <c r="L83" s="424">
        <f t="shared" ca="1" si="24"/>
        <v>-141255.45109203347</v>
      </c>
      <c r="M83" s="424">
        <f t="shared" ca="1" si="24"/>
        <v>-127315.73397767589</v>
      </c>
      <c r="N83" s="424">
        <f t="shared" ca="1" si="24"/>
        <v>-53887.980473623611</v>
      </c>
      <c r="O83" s="424">
        <f t="shared" ca="1" si="24"/>
        <v>-15002.725781003741</v>
      </c>
      <c r="P83" s="424">
        <f t="shared" ca="1" si="24"/>
        <v>0</v>
      </c>
      <c r="Q83" s="424">
        <f t="shared" ca="1" si="24"/>
        <v>0</v>
      </c>
      <c r="R83" s="424">
        <f t="shared" ca="1" si="24"/>
        <v>0</v>
      </c>
      <c r="S83" s="424">
        <f t="shared" ca="1" si="24"/>
        <v>0</v>
      </c>
      <c r="T83" s="424">
        <f t="shared" ca="1" si="24"/>
        <v>0</v>
      </c>
    </row>
    <row r="84" spans="2:20" outlineLevel="1" x14ac:dyDescent="0.3">
      <c r="C84" s="8"/>
      <c r="D84" s="8"/>
    </row>
    <row r="85" spans="2:20" outlineLevel="1" x14ac:dyDescent="0.3">
      <c r="B85" s="143" t="s">
        <v>768</v>
      </c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</row>
    <row r="86" spans="2:20" outlineLevel="1" x14ac:dyDescent="0.3">
      <c r="B86" s="417" t="str">
        <f>B92</f>
        <v xml:space="preserve">Branded Apartments T2 &amp; T3 </v>
      </c>
      <c r="E86" s="166">
        <f>SUM(F86:T86)</f>
        <v>2539826.8929531374</v>
      </c>
      <c r="F86" s="167">
        <f t="shared" ref="F86:T86" si="25">F8</f>
        <v>0</v>
      </c>
      <c r="G86" s="167">
        <f t="shared" si="25"/>
        <v>28221.41565220249</v>
      </c>
      <c r="H86" s="167">
        <f t="shared" si="25"/>
        <v>465636.60563715996</v>
      </c>
      <c r="I86" s="167">
        <f t="shared" si="25"/>
        <v>973601.98422778747</v>
      </c>
      <c r="J86" s="167">
        <f t="shared" si="25"/>
        <v>945375.5427883307</v>
      </c>
      <c r="K86" s="167">
        <f t="shared" si="25"/>
        <v>126991.34464765688</v>
      </c>
      <c r="L86" s="167">
        <f t="shared" si="25"/>
        <v>0</v>
      </c>
      <c r="M86" s="167">
        <f t="shared" si="25"/>
        <v>0</v>
      </c>
      <c r="N86" s="167">
        <f t="shared" si="25"/>
        <v>0</v>
      </c>
      <c r="O86" s="167">
        <f t="shared" si="25"/>
        <v>0</v>
      </c>
      <c r="P86" s="167">
        <f t="shared" si="25"/>
        <v>0</v>
      </c>
      <c r="Q86" s="167">
        <f t="shared" si="25"/>
        <v>0</v>
      </c>
      <c r="R86" s="167">
        <f t="shared" si="25"/>
        <v>0</v>
      </c>
      <c r="S86" s="167">
        <f t="shared" si="25"/>
        <v>0</v>
      </c>
      <c r="T86" s="167">
        <f t="shared" si="25"/>
        <v>0</v>
      </c>
    </row>
    <row r="87" spans="2:20" outlineLevel="1" x14ac:dyDescent="0.3">
      <c r="B87" s="417" t="str">
        <f>B93</f>
        <v xml:space="preserve">Branded Apartments T4 &amp; T5 </v>
      </c>
      <c r="E87" s="166">
        <f t="shared" ref="E87:E88" si="26">SUM(F87:T87)</f>
        <v>1594797.0000000002</v>
      </c>
      <c r="F87" s="167">
        <f t="shared" ref="F87:T87" si="27">F9</f>
        <v>0</v>
      </c>
      <c r="G87" s="167">
        <f t="shared" si="27"/>
        <v>0</v>
      </c>
      <c r="H87" s="167">
        <f t="shared" si="27"/>
        <v>106319.8</v>
      </c>
      <c r="I87" s="167">
        <f t="shared" si="27"/>
        <v>425279.19999999995</v>
      </c>
      <c r="J87" s="167">
        <f t="shared" si="27"/>
        <v>744238.6</v>
      </c>
      <c r="K87" s="167">
        <f t="shared" si="27"/>
        <v>239219.55</v>
      </c>
      <c r="L87" s="167">
        <f t="shared" si="27"/>
        <v>79739.850000000006</v>
      </c>
      <c r="M87" s="167">
        <f t="shared" si="27"/>
        <v>0</v>
      </c>
      <c r="N87" s="167">
        <f t="shared" si="27"/>
        <v>0</v>
      </c>
      <c r="O87" s="167">
        <f t="shared" si="27"/>
        <v>0</v>
      </c>
      <c r="P87" s="167">
        <f t="shared" si="27"/>
        <v>0</v>
      </c>
      <c r="Q87" s="167">
        <f t="shared" si="27"/>
        <v>0</v>
      </c>
      <c r="R87" s="167">
        <f t="shared" si="27"/>
        <v>0</v>
      </c>
      <c r="S87" s="167">
        <f t="shared" si="27"/>
        <v>0</v>
      </c>
      <c r="T87" s="167">
        <f t="shared" si="27"/>
        <v>0</v>
      </c>
    </row>
    <row r="88" spans="2:20" outlineLevel="1" x14ac:dyDescent="0.3">
      <c r="B88" s="417" t="str">
        <f>B94</f>
        <v xml:space="preserve">Residential Tower 01 </v>
      </c>
      <c r="E88" s="166">
        <f t="shared" si="26"/>
        <v>838610.8</v>
      </c>
      <c r="F88" s="167">
        <f t="shared" ref="F88:T88" si="28">F10</f>
        <v>0</v>
      </c>
      <c r="G88" s="167">
        <f t="shared" si="28"/>
        <v>9548.1200000000008</v>
      </c>
      <c r="H88" s="167">
        <f t="shared" si="28"/>
        <v>153658.97999999998</v>
      </c>
      <c r="I88" s="167">
        <f t="shared" si="28"/>
        <v>320863.14</v>
      </c>
      <c r="J88" s="167">
        <f t="shared" si="28"/>
        <v>312610.02</v>
      </c>
      <c r="K88" s="167">
        <f t="shared" si="28"/>
        <v>41930.54</v>
      </c>
      <c r="L88" s="167">
        <f t="shared" si="28"/>
        <v>0</v>
      </c>
      <c r="M88" s="167">
        <f t="shared" si="28"/>
        <v>0</v>
      </c>
      <c r="N88" s="167">
        <f t="shared" si="28"/>
        <v>0</v>
      </c>
      <c r="O88" s="167">
        <f t="shared" si="28"/>
        <v>0</v>
      </c>
      <c r="P88" s="167">
        <f t="shared" si="28"/>
        <v>0</v>
      </c>
      <c r="Q88" s="167">
        <f t="shared" si="28"/>
        <v>0</v>
      </c>
      <c r="R88" s="167">
        <f t="shared" si="28"/>
        <v>0</v>
      </c>
      <c r="S88" s="167">
        <f t="shared" si="28"/>
        <v>0</v>
      </c>
      <c r="T88" s="167">
        <f t="shared" si="28"/>
        <v>0</v>
      </c>
    </row>
    <row r="89" spans="2:20" outlineLevel="1" x14ac:dyDescent="0.3">
      <c r="B89" s="92" t="s">
        <v>28</v>
      </c>
      <c r="C89" s="420"/>
      <c r="D89" s="420"/>
      <c r="E89" s="421">
        <f t="shared" ref="E89" si="29">SUM(F89:T89)</f>
        <v>4973234.6929531377</v>
      </c>
      <c r="F89" s="421">
        <f>SUM(F86:F88)</f>
        <v>0</v>
      </c>
      <c r="G89" s="421">
        <f t="shared" ref="G89:T89" si="30">SUM(G86:G88)</f>
        <v>37769.535652202489</v>
      </c>
      <c r="H89" s="421">
        <f t="shared" si="30"/>
        <v>725615.38563715992</v>
      </c>
      <c r="I89" s="421">
        <f t="shared" si="30"/>
        <v>1719744.3242277876</v>
      </c>
      <c r="J89" s="421">
        <f t="shared" si="30"/>
        <v>2002224.1627883306</v>
      </c>
      <c r="K89" s="421">
        <f t="shared" si="30"/>
        <v>408141.43464765686</v>
      </c>
      <c r="L89" s="421">
        <f t="shared" si="30"/>
        <v>79739.850000000006</v>
      </c>
      <c r="M89" s="421">
        <f t="shared" si="30"/>
        <v>0</v>
      </c>
      <c r="N89" s="421">
        <f t="shared" si="30"/>
        <v>0</v>
      </c>
      <c r="O89" s="421">
        <f t="shared" si="30"/>
        <v>0</v>
      </c>
      <c r="P89" s="421">
        <f t="shared" si="30"/>
        <v>0</v>
      </c>
      <c r="Q89" s="421">
        <f t="shared" si="30"/>
        <v>0</v>
      </c>
      <c r="R89" s="421">
        <f t="shared" si="30"/>
        <v>0</v>
      </c>
      <c r="S89" s="421">
        <f t="shared" si="30"/>
        <v>0</v>
      </c>
      <c r="T89" s="421">
        <f t="shared" si="30"/>
        <v>0</v>
      </c>
    </row>
    <row r="90" spans="2:20" outlineLevel="1" x14ac:dyDescent="0.3">
      <c r="C90" s="8"/>
      <c r="D90" s="8"/>
    </row>
    <row r="91" spans="2:20" ht="15" customHeight="1" outlineLevel="1" x14ac:dyDescent="0.3">
      <c r="B91" s="143" t="s">
        <v>767</v>
      </c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</row>
    <row r="92" spans="2:20" ht="15" customHeight="1" outlineLevel="1" x14ac:dyDescent="0.3">
      <c r="B92" s="418" t="s">
        <v>765</v>
      </c>
      <c r="E92" s="419">
        <f>SUM(F92:T92)</f>
        <v>0.89999999999999991</v>
      </c>
      <c r="F92" s="415">
        <f>AVERAGE(Revenue!L28:L29)</f>
        <v>0</v>
      </c>
      <c r="G92" s="415">
        <f>AVERAGE(Revenue!M28:M29)</f>
        <v>0.05</v>
      </c>
      <c r="H92" s="415">
        <f>AVERAGE(Revenue!N28:N29)</f>
        <v>0.3</v>
      </c>
      <c r="I92" s="415">
        <f>AVERAGE(Revenue!O28:O29)</f>
        <v>0.3</v>
      </c>
      <c r="J92" s="415">
        <f>AVERAGE(Revenue!P28:P29)</f>
        <v>0.25</v>
      </c>
      <c r="K92" s="415">
        <f>AVERAGE(Revenue!Q28:Q29)</f>
        <v>0</v>
      </c>
      <c r="L92" s="415">
        <f>AVERAGE(Revenue!R28:R29)</f>
        <v>0</v>
      </c>
      <c r="M92" s="415">
        <f>AVERAGE(Revenue!S28:S29)</f>
        <v>0</v>
      </c>
      <c r="N92" s="415">
        <f>AVERAGE(Revenue!T28:T29)</f>
        <v>0</v>
      </c>
      <c r="O92" s="415">
        <f>AVERAGE(Revenue!U28:U29)</f>
        <v>0</v>
      </c>
      <c r="P92" s="415">
        <f>AVERAGE(Revenue!V28:V29)</f>
        <v>0</v>
      </c>
      <c r="Q92" s="415">
        <f>AVERAGE(Revenue!W28:W29)</f>
        <v>0</v>
      </c>
      <c r="R92" s="415">
        <f>AVERAGE(Revenue!X28:X29)</f>
        <v>0</v>
      </c>
      <c r="S92" s="415">
        <f>AVERAGE(Revenue!Y28:Y29)</f>
        <v>0</v>
      </c>
      <c r="T92" s="415">
        <f>AVERAGE(Revenue!Z28:Z29)</f>
        <v>0</v>
      </c>
    </row>
    <row r="93" spans="2:20" ht="15" customHeight="1" outlineLevel="1" x14ac:dyDescent="0.3">
      <c r="B93" s="418" t="s">
        <v>47</v>
      </c>
      <c r="E93" s="419">
        <f t="shared" ref="E93:E94" si="31">SUM(F93:T93)</f>
        <v>0.60000000000000009</v>
      </c>
      <c r="F93" s="415">
        <f>AVERAGE(Revenue!L57:L58)</f>
        <v>0</v>
      </c>
      <c r="G93" s="415">
        <f>AVERAGE(Revenue!M57:M58)</f>
        <v>0</v>
      </c>
      <c r="H93" s="415">
        <f>AVERAGE(Revenue!N57:N58)</f>
        <v>0.2</v>
      </c>
      <c r="I93" s="415">
        <f>AVERAGE(Revenue!O57:O58)</f>
        <v>0.2</v>
      </c>
      <c r="J93" s="415">
        <f>AVERAGE(Revenue!P57:P58)</f>
        <v>0.2</v>
      </c>
      <c r="K93" s="415">
        <f>AVERAGE(Revenue!Q57:Q58)</f>
        <v>0</v>
      </c>
      <c r="L93" s="415">
        <f>AVERAGE(Revenue!R57:R58)</f>
        <v>0</v>
      </c>
      <c r="M93" s="415">
        <f>AVERAGE(Revenue!S57:S58)</f>
        <v>0</v>
      </c>
      <c r="N93" s="415">
        <f>AVERAGE(Revenue!T57:T58)</f>
        <v>0</v>
      </c>
      <c r="O93" s="415">
        <f>AVERAGE(Revenue!U57:U58)</f>
        <v>0</v>
      </c>
      <c r="P93" s="415">
        <f>AVERAGE(Revenue!V57:V58)</f>
        <v>0</v>
      </c>
      <c r="Q93" s="415">
        <f>AVERAGE(Revenue!W57:W58)</f>
        <v>0</v>
      </c>
      <c r="R93" s="415">
        <f>AVERAGE(Revenue!X57:X58)</f>
        <v>0</v>
      </c>
      <c r="S93" s="415">
        <f>AVERAGE(Revenue!Y57:Y58)</f>
        <v>0</v>
      </c>
      <c r="T93" s="415">
        <f>AVERAGE(Revenue!Z57:Z58)</f>
        <v>0</v>
      </c>
    </row>
    <row r="94" spans="2:20" ht="15" customHeight="1" outlineLevel="1" x14ac:dyDescent="0.3">
      <c r="B94" s="418" t="s">
        <v>46</v>
      </c>
      <c r="E94" s="419">
        <f t="shared" si="31"/>
        <v>0.89999999999999991</v>
      </c>
      <c r="F94" s="415">
        <f>AVERAGE(Revenue!L86:L88)</f>
        <v>0</v>
      </c>
      <c r="G94" s="415">
        <f>AVERAGE(Revenue!M86:M88)</f>
        <v>5.000000000000001E-2</v>
      </c>
      <c r="H94" s="415">
        <f>AVERAGE(Revenue!N86:N88)</f>
        <v>0.3</v>
      </c>
      <c r="I94" s="415">
        <f>AVERAGE(Revenue!O86:O88)</f>
        <v>0.3</v>
      </c>
      <c r="J94" s="415">
        <f>AVERAGE(Revenue!P86:P88)</f>
        <v>0.25</v>
      </c>
      <c r="K94" s="415">
        <f>AVERAGE(Revenue!Q86:Q88)</f>
        <v>0</v>
      </c>
      <c r="L94" s="415">
        <f>AVERAGE(Revenue!R86:R88)</f>
        <v>0</v>
      </c>
      <c r="M94" s="415">
        <f>AVERAGE(Revenue!S86:S88)</f>
        <v>0</v>
      </c>
      <c r="N94" s="415">
        <f>AVERAGE(Revenue!T86:T88)</f>
        <v>0</v>
      </c>
      <c r="O94" s="415">
        <f>AVERAGE(Revenue!U86:U88)</f>
        <v>0</v>
      </c>
      <c r="P94" s="415">
        <f>AVERAGE(Revenue!V86:V88)</f>
        <v>0</v>
      </c>
      <c r="Q94" s="415">
        <f>AVERAGE(Revenue!W86:W88)</f>
        <v>0</v>
      </c>
      <c r="R94" s="415">
        <f>AVERAGE(Revenue!X86:X88)</f>
        <v>0</v>
      </c>
      <c r="S94" s="415">
        <f>AVERAGE(Revenue!Y86:Y88)</f>
        <v>0</v>
      </c>
      <c r="T94" s="415">
        <f>AVERAGE(Revenue!Z86:Z88)</f>
        <v>0</v>
      </c>
    </row>
    <row r="95" spans="2:20" ht="15" customHeight="1" outlineLevel="1" x14ac:dyDescent="0.3"/>
    <row r="96" spans="2:20" ht="15" customHeight="1" outlineLevel="1" x14ac:dyDescent="0.3">
      <c r="B96" s="143" t="s">
        <v>766</v>
      </c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</row>
    <row r="97" spans="2:20" ht="15" customHeight="1" outlineLevel="1" x14ac:dyDescent="0.3">
      <c r="B97" s="418" t="str">
        <f>B92</f>
        <v xml:space="preserve">Branded Apartments T2 &amp; T3 </v>
      </c>
      <c r="E97" s="419">
        <f>SUM(F97:T97)</f>
        <v>0.1</v>
      </c>
      <c r="F97" s="415">
        <f>AVERAGE(Revenue!L118:L119)</f>
        <v>0</v>
      </c>
      <c r="G97" s="415">
        <f>AVERAGE(Revenue!M118:M119)</f>
        <v>0</v>
      </c>
      <c r="H97" s="415">
        <f>AVERAGE(Revenue!N118:N119)</f>
        <v>0</v>
      </c>
      <c r="I97" s="415">
        <f>AVERAGE(Revenue!O118:O119)</f>
        <v>0</v>
      </c>
      <c r="J97" s="415">
        <f>AVERAGE(Revenue!P118:P119)</f>
        <v>0</v>
      </c>
      <c r="K97" s="415">
        <f>AVERAGE(Revenue!Q118:Q119)</f>
        <v>0.1</v>
      </c>
      <c r="L97" s="415">
        <f>AVERAGE(Revenue!R118:R119)</f>
        <v>0</v>
      </c>
      <c r="M97" s="415">
        <f>AVERAGE(Revenue!S118:S119)</f>
        <v>0</v>
      </c>
      <c r="N97" s="415">
        <f>AVERAGE(Revenue!T118:T119)</f>
        <v>0</v>
      </c>
      <c r="O97" s="415">
        <f>AVERAGE(Revenue!U118:U119)</f>
        <v>0</v>
      </c>
      <c r="P97" s="415">
        <f>AVERAGE(Revenue!V118:V119)</f>
        <v>0</v>
      </c>
      <c r="Q97" s="415">
        <f>AVERAGE(Revenue!W118:W119)</f>
        <v>0</v>
      </c>
      <c r="R97" s="415">
        <f>AVERAGE(Revenue!X118:X119)</f>
        <v>0</v>
      </c>
      <c r="S97" s="415">
        <f>AVERAGE(Revenue!Y118:Y119)</f>
        <v>0</v>
      </c>
      <c r="T97" s="415">
        <f>AVERAGE(Revenue!Z118:Z119)</f>
        <v>0</v>
      </c>
    </row>
    <row r="98" spans="2:20" ht="15" customHeight="1" outlineLevel="1" x14ac:dyDescent="0.3">
      <c r="B98" s="418" t="str">
        <f t="shared" ref="B98:B99" si="32">B93</f>
        <v xml:space="preserve">Branded Apartments T4 &amp; T5 </v>
      </c>
      <c r="E98" s="419">
        <f t="shared" ref="E98:E99" si="33">SUM(F98:T98)</f>
        <v>0.4</v>
      </c>
      <c r="F98" s="415">
        <f>AVERAGE(Revenue!L133:L134)</f>
        <v>0</v>
      </c>
      <c r="G98" s="415">
        <f>AVERAGE(Revenue!M133:M134)</f>
        <v>0</v>
      </c>
      <c r="H98" s="415">
        <f>AVERAGE(Revenue!N133:N134)</f>
        <v>0</v>
      </c>
      <c r="I98" s="415">
        <f>AVERAGE(Revenue!O133:O134)</f>
        <v>0</v>
      </c>
      <c r="J98" s="415">
        <f>AVERAGE(Revenue!P133:P134)</f>
        <v>0</v>
      </c>
      <c r="K98" s="415">
        <f>AVERAGE(Revenue!Q133:Q134)</f>
        <v>0.3</v>
      </c>
      <c r="L98" s="415">
        <f>AVERAGE(Revenue!R133:R134)</f>
        <v>0.1</v>
      </c>
      <c r="M98" s="415">
        <f>AVERAGE(Revenue!S133:S134)</f>
        <v>0</v>
      </c>
      <c r="N98" s="415">
        <f>AVERAGE(Revenue!T133:T134)</f>
        <v>0</v>
      </c>
      <c r="O98" s="415">
        <f>AVERAGE(Revenue!U133:U134)</f>
        <v>0</v>
      </c>
      <c r="P98" s="415">
        <f>AVERAGE(Revenue!V133:V134)</f>
        <v>0</v>
      </c>
      <c r="Q98" s="415">
        <f>AVERAGE(Revenue!W133:W134)</f>
        <v>0</v>
      </c>
      <c r="R98" s="415">
        <f>AVERAGE(Revenue!X133:X134)</f>
        <v>0</v>
      </c>
      <c r="S98" s="415">
        <f>AVERAGE(Revenue!Y133:Y134)</f>
        <v>0</v>
      </c>
      <c r="T98" s="415">
        <f>AVERAGE(Revenue!Z133:Z134)</f>
        <v>0</v>
      </c>
    </row>
    <row r="99" spans="2:20" ht="15" customHeight="1" outlineLevel="1" x14ac:dyDescent="0.3">
      <c r="B99" s="418" t="str">
        <f t="shared" si="32"/>
        <v xml:space="preserve">Residential Tower 01 </v>
      </c>
      <c r="E99" s="419">
        <f t="shared" si="33"/>
        <v>9.6774193548387122E-2</v>
      </c>
      <c r="F99" s="415">
        <f>IF(F$5=Revenue!$D$237,Revenue!$G$237,0)</f>
        <v>0</v>
      </c>
      <c r="G99" s="415">
        <f>IF(G$5=Revenue!$D$237,Revenue!$G$237,0)</f>
        <v>0</v>
      </c>
      <c r="H99" s="415">
        <f>IF(H$5=Revenue!$D$237,Revenue!$G$237,0)</f>
        <v>0</v>
      </c>
      <c r="I99" s="415">
        <f>IF(I$5=Revenue!$D$237,Revenue!$G$237,0)</f>
        <v>0</v>
      </c>
      <c r="J99" s="415">
        <f>IF(J$5=Revenue!$D$237,Revenue!$G$237,0)</f>
        <v>0</v>
      </c>
      <c r="K99" s="415">
        <f>IF(K$5=Revenue!$D$237,Revenue!$G$237,0)</f>
        <v>9.6774193548387122E-2</v>
      </c>
      <c r="L99" s="415">
        <f>IF(L$5=Revenue!$D$237,Revenue!$G$237,0)</f>
        <v>0</v>
      </c>
      <c r="M99" s="415">
        <f>IF(M$5=Revenue!$D$237,Revenue!$G$237,0)</f>
        <v>0</v>
      </c>
      <c r="N99" s="415">
        <f>IF(N$5=Revenue!$D$237,Revenue!$G$237,0)</f>
        <v>0</v>
      </c>
      <c r="O99" s="415">
        <f>IF(O$5=Revenue!$D$237,Revenue!$G$237,0)</f>
        <v>0</v>
      </c>
      <c r="P99" s="415">
        <f>IF(P$5=Revenue!$D$237,Revenue!$G$237,0)</f>
        <v>0</v>
      </c>
      <c r="Q99" s="415">
        <f>IF(Q$5=Revenue!$D$237,Revenue!$G$237,0)</f>
        <v>0</v>
      </c>
      <c r="R99" s="415">
        <f>IF(R$5=Revenue!$D$237,Revenue!$G$237,0)</f>
        <v>0</v>
      </c>
      <c r="S99" s="415">
        <f>IF(S$5=Revenue!$D$237,Revenue!$G$237,0)</f>
        <v>0</v>
      </c>
      <c r="T99" s="415">
        <f>IF(T$5=Revenue!$D$237,Revenue!$G$237,0)</f>
        <v>0</v>
      </c>
    </row>
    <row r="100" spans="2:20" ht="15" customHeight="1" outlineLevel="1" x14ac:dyDescent="0.3"/>
    <row r="101" spans="2:20" outlineLevel="1" x14ac:dyDescent="0.3">
      <c r="B101" s="143" t="s">
        <v>769</v>
      </c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</row>
    <row r="102" spans="2:20" outlineLevel="1" x14ac:dyDescent="0.3">
      <c r="B102" s="418" t="str">
        <f>B86</f>
        <v xml:space="preserve">Branded Apartments T2 &amp; T3 </v>
      </c>
      <c r="E102" s="419">
        <f>SUM(F102:T102)</f>
        <v>1</v>
      </c>
      <c r="F102" s="415">
        <f>Revenue!L42</f>
        <v>0</v>
      </c>
      <c r="G102" s="415">
        <f>Revenue!M42</f>
        <v>0.2</v>
      </c>
      <c r="H102" s="415">
        <f>Revenue!N42</f>
        <v>0.3</v>
      </c>
      <c r="I102" s="415">
        <f>Revenue!O42</f>
        <v>0.3</v>
      </c>
      <c r="J102" s="415">
        <f>Revenue!P42</f>
        <v>0.15</v>
      </c>
      <c r="K102" s="415">
        <f>Revenue!Q42</f>
        <v>0.05</v>
      </c>
      <c r="L102" s="415">
        <f>Revenue!R42</f>
        <v>0</v>
      </c>
      <c r="M102" s="415">
        <f>Revenue!S42</f>
        <v>0</v>
      </c>
      <c r="N102" s="415">
        <f>Revenue!T42</f>
        <v>0</v>
      </c>
      <c r="O102" s="415">
        <f>Revenue!U42</f>
        <v>0</v>
      </c>
      <c r="P102" s="415">
        <f>Revenue!V42</f>
        <v>0</v>
      </c>
      <c r="Q102" s="415">
        <f>Revenue!W42</f>
        <v>0</v>
      </c>
      <c r="R102" s="415">
        <f>Revenue!X42</f>
        <v>0</v>
      </c>
      <c r="S102" s="415">
        <f>Revenue!Y42</f>
        <v>0</v>
      </c>
      <c r="T102" s="415">
        <f>Revenue!Z42</f>
        <v>0</v>
      </c>
    </row>
    <row r="103" spans="2:20" outlineLevel="1" x14ac:dyDescent="0.3">
      <c r="B103" s="418" t="str">
        <f>B87</f>
        <v xml:space="preserve">Branded Apartments T4 &amp; T5 </v>
      </c>
      <c r="E103" s="419">
        <f t="shared" ref="E103:E104" si="34">SUM(F103:T103)</f>
        <v>1</v>
      </c>
      <c r="F103" s="415">
        <f>Revenue!L71</f>
        <v>0</v>
      </c>
      <c r="G103" s="415">
        <f>Revenue!M71</f>
        <v>0</v>
      </c>
      <c r="H103" s="415">
        <f>Revenue!N71</f>
        <v>0.2</v>
      </c>
      <c r="I103" s="415">
        <f>Revenue!O71</f>
        <v>0.3</v>
      </c>
      <c r="J103" s="415">
        <f>Revenue!P71</f>
        <v>0.3</v>
      </c>
      <c r="K103" s="415">
        <f>Revenue!Q71</f>
        <v>0.15</v>
      </c>
      <c r="L103" s="415">
        <f>Revenue!R71</f>
        <v>0.05</v>
      </c>
      <c r="M103" s="415">
        <f>Revenue!S71</f>
        <v>0</v>
      </c>
      <c r="N103" s="415">
        <f>Revenue!T71</f>
        <v>0</v>
      </c>
      <c r="O103" s="415">
        <f>Revenue!U71</f>
        <v>0</v>
      </c>
      <c r="P103" s="415">
        <f>Revenue!V71</f>
        <v>0</v>
      </c>
      <c r="Q103" s="415">
        <f>Revenue!W71</f>
        <v>0</v>
      </c>
      <c r="R103" s="415">
        <f>Revenue!X71</f>
        <v>0</v>
      </c>
      <c r="S103" s="415">
        <f>Revenue!Y71</f>
        <v>0</v>
      </c>
      <c r="T103" s="415">
        <f>Revenue!Z71</f>
        <v>0</v>
      </c>
    </row>
    <row r="104" spans="2:20" outlineLevel="1" x14ac:dyDescent="0.3">
      <c r="B104" s="418" t="str">
        <f>B88</f>
        <v xml:space="preserve">Residential Tower 01 </v>
      </c>
      <c r="E104" s="419">
        <f t="shared" si="34"/>
        <v>1</v>
      </c>
      <c r="F104" s="415">
        <f>Revenue!L103</f>
        <v>0</v>
      </c>
      <c r="G104" s="415">
        <f>Revenue!M103</f>
        <v>0.2</v>
      </c>
      <c r="H104" s="415">
        <f>Revenue!N103</f>
        <v>0.3</v>
      </c>
      <c r="I104" s="415">
        <f>Revenue!O103</f>
        <v>0.3</v>
      </c>
      <c r="J104" s="415">
        <f>Revenue!P103</f>
        <v>0.15</v>
      </c>
      <c r="K104" s="415">
        <f>Revenue!Q103</f>
        <v>0.05</v>
      </c>
      <c r="L104" s="415">
        <f>Revenue!R103</f>
        <v>0</v>
      </c>
      <c r="M104" s="415">
        <f>Revenue!S103</f>
        <v>0</v>
      </c>
      <c r="N104" s="415">
        <f>Revenue!T103</f>
        <v>0</v>
      </c>
      <c r="O104" s="415">
        <f>Revenue!U103</f>
        <v>0</v>
      </c>
      <c r="P104" s="415">
        <f>Revenue!V103</f>
        <v>0</v>
      </c>
      <c r="Q104" s="415">
        <f>Revenue!W103</f>
        <v>0</v>
      </c>
      <c r="R104" s="415">
        <f>Revenue!X103</f>
        <v>0</v>
      </c>
      <c r="S104" s="415">
        <f>Revenue!Y103</f>
        <v>0</v>
      </c>
      <c r="T104" s="415">
        <f>Revenue!Z103</f>
        <v>0</v>
      </c>
    </row>
    <row r="105" spans="2:20" outlineLevel="1" x14ac:dyDescent="0.3">
      <c r="C105" s="8"/>
      <c r="D105" s="8"/>
    </row>
    <row r="106" spans="2:20" x14ac:dyDescent="0.3">
      <c r="B106" s="21" t="s">
        <v>193</v>
      </c>
      <c r="C106" s="311"/>
      <c r="D106" s="31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</row>
  </sheetData>
  <pageMargins left="0.75" right="0.75" top="1" bottom="1" header="0.511811023622047" footer="0.511811023622047"/>
  <pageSetup paperSize="9" scale="38" fitToHeight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7620C5-B8B0-4AA3-B93A-0C3EC73DB9C2}">
          <x14:formula1>
            <xm:f>'Capex Allocation'!$V$1:$V$2</xm:f>
          </x14:formula1>
          <xm:sqref>F1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B8983-B0E2-477F-800E-CE5170705F54}">
  <dimension ref="B1:G37"/>
  <sheetViews>
    <sheetView showGridLines="0" zoomScale="80" zoomScaleNormal="80" workbookViewId="0">
      <selection activeCell="G18" sqref="G18"/>
    </sheetView>
  </sheetViews>
  <sheetFormatPr defaultRowHeight="12.6" x14ac:dyDescent="0.3"/>
  <cols>
    <col min="1" max="2" width="3.33203125" style="8" customWidth="1"/>
    <col min="3" max="3" width="35.109375" style="8" bestFit="1" customWidth="1"/>
    <col min="4" max="4" width="12.77734375" style="8" customWidth="1"/>
    <col min="5" max="5" width="12.77734375" style="22" customWidth="1"/>
    <col min="6" max="7" width="12.77734375" style="8" customWidth="1"/>
    <col min="8" max="8" width="9.77734375" style="8" bestFit="1" customWidth="1"/>
    <col min="9" max="16384" width="8.88671875" style="8"/>
  </cols>
  <sheetData>
    <row r="1" spans="2:7" x14ac:dyDescent="0.3">
      <c r="B1" s="15" t="s">
        <v>647</v>
      </c>
    </row>
    <row r="2" spans="2:7" x14ac:dyDescent="0.3">
      <c r="B2" s="141" t="s">
        <v>564</v>
      </c>
    </row>
    <row r="4" spans="2:7" x14ac:dyDescent="0.3">
      <c r="B4" s="74"/>
      <c r="C4" s="74"/>
      <c r="D4" s="74" t="s">
        <v>43</v>
      </c>
      <c r="E4" s="74"/>
      <c r="F4" s="74"/>
      <c r="G4" s="74"/>
    </row>
    <row r="5" spans="2:7" x14ac:dyDescent="0.3">
      <c r="C5" s="8" t="s">
        <v>642</v>
      </c>
      <c r="D5" s="312">
        <v>1</v>
      </c>
      <c r="E5" s="22" t="s">
        <v>272</v>
      </c>
      <c r="G5" s="333">
        <f>Debt!F36</f>
        <v>2400000</v>
      </c>
    </row>
    <row r="6" spans="2:7" x14ac:dyDescent="0.3">
      <c r="C6" s="8" t="s">
        <v>644</v>
      </c>
      <c r="D6" s="312" t="s">
        <v>662</v>
      </c>
      <c r="E6" s="22" t="s">
        <v>272</v>
      </c>
      <c r="G6" s="333">
        <f ca="1">Debt!F75</f>
        <v>352128.38709673384</v>
      </c>
    </row>
    <row r="7" spans="2:7" x14ac:dyDescent="0.3">
      <c r="C7" s="8" t="s">
        <v>643</v>
      </c>
      <c r="D7" s="312" t="s">
        <v>662</v>
      </c>
      <c r="E7" s="22" t="s">
        <v>272</v>
      </c>
      <c r="G7" s="333">
        <f ca="1">Debt!F78</f>
        <v>28932.290457822241</v>
      </c>
    </row>
    <row r="8" spans="2:7" x14ac:dyDescent="0.3">
      <c r="C8" s="331" t="s">
        <v>645</v>
      </c>
      <c r="D8" s="331"/>
      <c r="E8" s="127" t="s">
        <v>272</v>
      </c>
      <c r="F8" s="331"/>
      <c r="G8" s="332">
        <f ca="1">SUM(G5:G7)</f>
        <v>2781060.6775545562</v>
      </c>
    </row>
    <row r="9" spans="2:7" x14ac:dyDescent="0.3">
      <c r="C9" s="8" t="s">
        <v>660</v>
      </c>
      <c r="D9" s="312">
        <v>1</v>
      </c>
      <c r="E9" s="22" t="s">
        <v>272</v>
      </c>
      <c r="G9" s="333">
        <f>Debt!F141</f>
        <v>1282051.0191153171</v>
      </c>
    </row>
    <row r="10" spans="2:7" x14ac:dyDescent="0.3">
      <c r="C10" s="8" t="s">
        <v>661</v>
      </c>
      <c r="D10" s="312" t="s">
        <v>662</v>
      </c>
      <c r="E10" s="22" t="s">
        <v>272</v>
      </c>
      <c r="G10" s="333">
        <f ca="1">Debt!F142</f>
        <v>0</v>
      </c>
    </row>
    <row r="11" spans="2:7" x14ac:dyDescent="0.3">
      <c r="C11" s="331" t="s">
        <v>663</v>
      </c>
      <c r="D11" s="331"/>
      <c r="E11" s="127" t="s">
        <v>272</v>
      </c>
      <c r="F11" s="331"/>
      <c r="G11" s="332">
        <f ca="1">SUM(G9:G10)</f>
        <v>1282051.0191153171</v>
      </c>
    </row>
    <row r="12" spans="2:7" x14ac:dyDescent="0.3">
      <c r="C12" s="8" t="s">
        <v>640</v>
      </c>
      <c r="D12" s="312" t="s">
        <v>662</v>
      </c>
      <c r="E12" s="22" t="s">
        <v>272</v>
      </c>
      <c r="G12" s="19">
        <f>Debt!F57</f>
        <v>3241576.8019630057</v>
      </c>
    </row>
    <row r="13" spans="2:7" x14ac:dyDescent="0.3">
      <c r="C13" s="331" t="s">
        <v>641</v>
      </c>
      <c r="D13" s="331"/>
      <c r="E13" s="127" t="s">
        <v>272</v>
      </c>
      <c r="F13" s="331"/>
      <c r="G13" s="332">
        <f ca="1">SUM(G8,G11,G12)</f>
        <v>7304688.498632879</v>
      </c>
    </row>
    <row r="16" spans="2:7" x14ac:dyDescent="0.3">
      <c r="C16" s="8" t="s">
        <v>624</v>
      </c>
      <c r="E16" s="22" t="s">
        <v>68</v>
      </c>
      <c r="G16" s="334">
        <f ca="1">G11/$G$13</f>
        <v>0.17551070375626032</v>
      </c>
    </row>
    <row r="17" spans="3:7" x14ac:dyDescent="0.3">
      <c r="C17" s="8" t="s">
        <v>623</v>
      </c>
      <c r="E17" s="22" t="s">
        <v>68</v>
      </c>
      <c r="G17" s="334">
        <f ca="1">G8/$G$13</f>
        <v>0.38072269311347778</v>
      </c>
    </row>
    <row r="18" spans="3:7" x14ac:dyDescent="0.3">
      <c r="G18" s="335"/>
    </row>
    <row r="19" spans="3:7" x14ac:dyDescent="0.3">
      <c r="C19" s="8" t="s">
        <v>625</v>
      </c>
      <c r="E19" s="22" t="s">
        <v>68</v>
      </c>
      <c r="G19" s="336">
        <v>4.8000000000000001E-2</v>
      </c>
    </row>
    <row r="20" spans="3:7" x14ac:dyDescent="0.3">
      <c r="C20" s="8" t="s">
        <v>626</v>
      </c>
      <c r="E20" s="22" t="s">
        <v>68</v>
      </c>
      <c r="G20" s="336">
        <v>5.1299999999999998E-2</v>
      </c>
    </row>
    <row r="21" spans="3:7" x14ac:dyDescent="0.3">
      <c r="C21" s="8" t="s">
        <v>627</v>
      </c>
      <c r="E21" s="22" t="s">
        <v>68</v>
      </c>
      <c r="G21" s="334">
        <f ca="1">IFERROR(G17/G16,0)</f>
        <v>2.1692277733795922</v>
      </c>
    </row>
    <row r="22" spans="3:7" x14ac:dyDescent="0.3">
      <c r="C22" s="8" t="s">
        <v>459</v>
      </c>
      <c r="E22" s="22" t="s">
        <v>68</v>
      </c>
      <c r="G22" s="336">
        <v>2.5000000000000001E-2</v>
      </c>
    </row>
    <row r="23" spans="3:7" x14ac:dyDescent="0.3">
      <c r="C23" s="8" t="s">
        <v>628</v>
      </c>
      <c r="E23" s="22" t="s">
        <v>629</v>
      </c>
      <c r="G23" s="337">
        <v>0.51</v>
      </c>
    </row>
    <row r="24" spans="3:7" x14ac:dyDescent="0.3">
      <c r="C24" s="8" t="s">
        <v>630</v>
      </c>
      <c r="E24" s="22" t="s">
        <v>629</v>
      </c>
      <c r="G24" s="338">
        <f ca="1">G23*(1+(1-G22)*G21)</f>
        <v>1.5886485103130021</v>
      </c>
    </row>
    <row r="25" spans="3:7" x14ac:dyDescent="0.3">
      <c r="C25" s="8" t="s">
        <v>631</v>
      </c>
      <c r="E25" s="22" t="s">
        <v>68</v>
      </c>
      <c r="G25" s="336">
        <v>0.02</v>
      </c>
    </row>
    <row r="27" spans="3:7" x14ac:dyDescent="0.3">
      <c r="C27" s="8" t="s">
        <v>632</v>
      </c>
      <c r="E27" s="22" t="s">
        <v>68</v>
      </c>
      <c r="G27" s="334">
        <f ca="1">G19+(G20*G24)+G25</f>
        <v>0.149497668579057</v>
      </c>
    </row>
    <row r="28" spans="3:7" x14ac:dyDescent="0.3">
      <c r="C28" s="8" t="s">
        <v>633</v>
      </c>
      <c r="E28" s="22" t="s">
        <v>68</v>
      </c>
      <c r="G28" s="334">
        <f>Debt!F26*(1-WACC!$G$22)</f>
        <v>6.1425E-2</v>
      </c>
    </row>
    <row r="30" spans="3:7" x14ac:dyDescent="0.3">
      <c r="C30" s="8" t="s">
        <v>634</v>
      </c>
      <c r="E30" s="22" t="s">
        <v>68</v>
      </c>
      <c r="G30" s="334">
        <f ca="1">SUMPRODUCT(G16:G17,G27:G28)</f>
        <v>4.962433244672583E-2</v>
      </c>
    </row>
    <row r="31" spans="3:7" x14ac:dyDescent="0.3">
      <c r="C31" s="8" t="s">
        <v>635</v>
      </c>
      <c r="E31" s="22" t="s">
        <v>68</v>
      </c>
      <c r="G31" s="336">
        <v>8.8238787357940718E-2</v>
      </c>
    </row>
    <row r="32" spans="3:7" x14ac:dyDescent="0.3">
      <c r="C32" s="8" t="s">
        <v>636</v>
      </c>
      <c r="E32" s="22" t="s">
        <v>639</v>
      </c>
      <c r="G32" s="133" t="s">
        <v>648</v>
      </c>
    </row>
    <row r="33" spans="3:7" x14ac:dyDescent="0.3">
      <c r="C33" s="8" t="s">
        <v>637</v>
      </c>
      <c r="E33" s="22" t="s">
        <v>68</v>
      </c>
      <c r="G33" s="334">
        <f>IF(G32="input",G31,G30)</f>
        <v>8.8238787357940718E-2</v>
      </c>
    </row>
    <row r="35" spans="3:7" x14ac:dyDescent="0.3">
      <c r="C35" s="8" t="s">
        <v>638</v>
      </c>
      <c r="E35" s="22" t="s">
        <v>68</v>
      </c>
      <c r="G35" s="334">
        <v>0.02</v>
      </c>
    </row>
    <row r="37" spans="3:7" x14ac:dyDescent="0.3">
      <c r="C37" s="8" t="s">
        <v>646</v>
      </c>
      <c r="E37" s="22" t="s">
        <v>68</v>
      </c>
      <c r="G37" s="334">
        <f>G33-G35</f>
        <v>6.8238787357940714E-2</v>
      </c>
    </row>
  </sheetData>
  <dataValidations count="1">
    <dataValidation type="list" allowBlank="1" showInputMessage="1" showErrorMessage="1" sqref="G32" xr:uid="{0C629E79-1A62-4ADD-86E5-D06856F6C72A}">
      <formula1>"Calculated,Input"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C84BF-B051-4B86-9908-EFAA592DF1A7}">
  <dimension ref="C1:U42"/>
  <sheetViews>
    <sheetView showGridLines="0" zoomScale="80" zoomScaleNormal="80" workbookViewId="0">
      <selection activeCell="I28" sqref="I28"/>
    </sheetView>
  </sheetViews>
  <sheetFormatPr defaultRowHeight="14.4" x14ac:dyDescent="0.3"/>
  <cols>
    <col min="1" max="2" width="3.33203125" style="12" customWidth="1"/>
    <col min="3" max="3" width="51.88671875" style="12" customWidth="1"/>
    <col min="4" max="4" width="12.77734375" style="12" customWidth="1"/>
    <col min="5" max="5" width="11.109375" style="12" customWidth="1"/>
    <col min="6" max="6" width="14.77734375" style="12" customWidth="1"/>
    <col min="7" max="7" width="13" style="12" customWidth="1"/>
    <col min="8" max="8" width="15.109375" style="12" bestFit="1" customWidth="1"/>
    <col min="9" max="21" width="13" style="12" customWidth="1"/>
    <col min="22" max="16384" width="8.88671875" style="12"/>
  </cols>
  <sheetData>
    <row r="1" spans="3:21" ht="15" customHeight="1" x14ac:dyDescent="0.3">
      <c r="C1" s="313" t="s">
        <v>534</v>
      </c>
      <c r="D1" s="313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</row>
    <row r="2" spans="3:21" ht="15" customHeight="1" x14ac:dyDescent="0.3">
      <c r="C2" s="251" t="s">
        <v>564</v>
      </c>
      <c r="D2" s="251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</row>
    <row r="3" spans="3:21" ht="15" customHeight="1" x14ac:dyDescent="0.3">
      <c r="C3" s="251" t="s">
        <v>571</v>
      </c>
      <c r="D3" s="251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</row>
    <row r="4" spans="3:21" ht="15" customHeight="1" x14ac:dyDescent="0.3">
      <c r="C4" s="314" t="s">
        <v>0</v>
      </c>
      <c r="D4" s="314" t="s">
        <v>535</v>
      </c>
      <c r="E4" s="315" t="s">
        <v>157</v>
      </c>
      <c r="F4" s="315" t="s">
        <v>23</v>
      </c>
      <c r="G4" s="217">
        <f>CF!F5</f>
        <v>2025</v>
      </c>
      <c r="H4" s="217">
        <f t="shared" ref="H4:U4" si="0">G4+1</f>
        <v>2026</v>
      </c>
      <c r="I4" s="217">
        <f t="shared" si="0"/>
        <v>2027</v>
      </c>
      <c r="J4" s="217">
        <f t="shared" si="0"/>
        <v>2028</v>
      </c>
      <c r="K4" s="217">
        <f t="shared" si="0"/>
        <v>2029</v>
      </c>
      <c r="L4" s="217">
        <f t="shared" si="0"/>
        <v>2030</v>
      </c>
      <c r="M4" s="217">
        <f t="shared" si="0"/>
        <v>2031</v>
      </c>
      <c r="N4" s="217">
        <f t="shared" si="0"/>
        <v>2032</v>
      </c>
      <c r="O4" s="217">
        <f t="shared" si="0"/>
        <v>2033</v>
      </c>
      <c r="P4" s="217">
        <f t="shared" si="0"/>
        <v>2034</v>
      </c>
      <c r="Q4" s="217">
        <f t="shared" si="0"/>
        <v>2035</v>
      </c>
      <c r="R4" s="217">
        <f t="shared" si="0"/>
        <v>2036</v>
      </c>
      <c r="S4" s="217">
        <f t="shared" si="0"/>
        <v>2037</v>
      </c>
      <c r="T4" s="217">
        <f t="shared" si="0"/>
        <v>2038</v>
      </c>
      <c r="U4" s="217">
        <f t="shared" si="0"/>
        <v>2039</v>
      </c>
    </row>
    <row r="5" spans="3:21" ht="15" customHeight="1" x14ac:dyDescent="0.3"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</row>
    <row r="6" spans="3:21" ht="15" customHeight="1" x14ac:dyDescent="0.3">
      <c r="C6" s="316" t="s">
        <v>517</v>
      </c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  <c r="T6" s="316"/>
      <c r="U6" s="316"/>
    </row>
    <row r="7" spans="3:21" ht="15" customHeight="1" x14ac:dyDescent="0.3">
      <c r="C7" s="202" t="s">
        <v>510</v>
      </c>
      <c r="D7" s="202"/>
      <c r="E7" s="318" t="s">
        <v>68</v>
      </c>
      <c r="F7" s="386">
        <v>0.04</v>
      </c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</row>
    <row r="8" spans="3:21" ht="15" customHeight="1" x14ac:dyDescent="0.3">
      <c r="C8" s="202" t="s">
        <v>532</v>
      </c>
      <c r="D8" s="202"/>
      <c r="E8" s="318" t="s">
        <v>533</v>
      </c>
      <c r="F8" s="387">
        <v>1</v>
      </c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</row>
    <row r="9" spans="3:21" ht="15" customHeight="1" x14ac:dyDescent="0.3"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</row>
    <row r="10" spans="3:21" ht="15" customHeight="1" x14ac:dyDescent="0.3">
      <c r="C10" s="316" t="s">
        <v>518</v>
      </c>
      <c r="D10" s="316"/>
      <c r="E10" s="316"/>
      <c r="F10" s="316"/>
      <c r="G10" s="316"/>
      <c r="H10" s="316"/>
      <c r="I10" s="316"/>
      <c r="J10" s="316"/>
      <c r="K10" s="316"/>
      <c r="L10" s="316"/>
      <c r="M10" s="316"/>
      <c r="N10" s="316"/>
      <c r="O10" s="316"/>
      <c r="P10" s="316"/>
      <c r="Q10" s="316"/>
      <c r="R10" s="316"/>
      <c r="S10" s="316"/>
      <c r="T10" s="316"/>
      <c r="U10" s="316"/>
    </row>
    <row r="11" spans="3:21" ht="15" customHeight="1" x14ac:dyDescent="0.3">
      <c r="C11" s="317" t="s">
        <v>519</v>
      </c>
      <c r="D11" s="388">
        <v>2030</v>
      </c>
      <c r="E11" s="318" t="s">
        <v>70</v>
      </c>
      <c r="F11" s="321">
        <f>SUM(G11:U11)</f>
        <v>2539826.8929531374</v>
      </c>
      <c r="G11" s="319">
        <f>CF!F8</f>
        <v>0</v>
      </c>
      <c r="H11" s="319">
        <f>CF!G8</f>
        <v>28221.41565220249</v>
      </c>
      <c r="I11" s="319">
        <f>CF!H8</f>
        <v>465636.60563715996</v>
      </c>
      <c r="J11" s="319">
        <f>CF!I8</f>
        <v>973601.98422778747</v>
      </c>
      <c r="K11" s="319">
        <f>CF!J8</f>
        <v>945375.5427883307</v>
      </c>
      <c r="L11" s="319">
        <f>CF!K8</f>
        <v>126991.34464765688</v>
      </c>
      <c r="M11" s="319">
        <f>CF!L8</f>
        <v>0</v>
      </c>
      <c r="N11" s="319">
        <f>CF!M8</f>
        <v>0</v>
      </c>
      <c r="O11" s="319">
        <f>CF!N8</f>
        <v>0</v>
      </c>
      <c r="P11" s="319">
        <f>CF!O8</f>
        <v>0</v>
      </c>
      <c r="Q11" s="319">
        <f>CF!P8</f>
        <v>0</v>
      </c>
      <c r="R11" s="319">
        <f>CF!Q8</f>
        <v>0</v>
      </c>
      <c r="S11" s="319">
        <f>CF!R8</f>
        <v>0</v>
      </c>
      <c r="T11" s="319">
        <f>CF!S8</f>
        <v>0</v>
      </c>
      <c r="U11" s="319">
        <f>CF!T8</f>
        <v>0</v>
      </c>
    </row>
    <row r="12" spans="3:21" ht="15" customHeight="1" x14ac:dyDescent="0.3">
      <c r="C12" s="317" t="s">
        <v>520</v>
      </c>
      <c r="D12" s="443">
        <f>D11</f>
        <v>2030</v>
      </c>
      <c r="E12" s="318" t="s">
        <v>70</v>
      </c>
      <c r="F12" s="321">
        <f>SUM(G12:U12)</f>
        <v>1594797.0000000002</v>
      </c>
      <c r="G12" s="319">
        <f>CF!F9</f>
        <v>0</v>
      </c>
      <c r="H12" s="319">
        <f>CF!G9</f>
        <v>0</v>
      </c>
      <c r="I12" s="319">
        <f>CF!H9</f>
        <v>106319.8</v>
      </c>
      <c r="J12" s="319">
        <f>CF!I9</f>
        <v>425279.19999999995</v>
      </c>
      <c r="K12" s="319">
        <f>CF!J9</f>
        <v>744238.6</v>
      </c>
      <c r="L12" s="319">
        <f>CF!K9</f>
        <v>239219.55</v>
      </c>
      <c r="M12" s="319">
        <f>CF!L9</f>
        <v>79739.850000000006</v>
      </c>
      <c r="N12" s="319">
        <f>CF!M9</f>
        <v>0</v>
      </c>
      <c r="O12" s="319">
        <f>CF!N9</f>
        <v>0</v>
      </c>
      <c r="P12" s="319">
        <f>CF!O9</f>
        <v>0</v>
      </c>
      <c r="Q12" s="319">
        <f>CF!P9</f>
        <v>0</v>
      </c>
      <c r="R12" s="319">
        <f>CF!Q9</f>
        <v>0</v>
      </c>
      <c r="S12" s="319">
        <f>CF!R9</f>
        <v>0</v>
      </c>
      <c r="T12" s="319">
        <f>CF!S9</f>
        <v>0</v>
      </c>
      <c r="U12" s="319">
        <f>CF!T9</f>
        <v>0</v>
      </c>
    </row>
    <row r="13" spans="3:21" ht="15" customHeight="1" x14ac:dyDescent="0.3">
      <c r="C13" s="317" t="s">
        <v>521</v>
      </c>
      <c r="D13" s="443">
        <f>D12</f>
        <v>2030</v>
      </c>
      <c r="E13" s="318" t="s">
        <v>70</v>
      </c>
      <c r="F13" s="321">
        <f>SUM(G13:U13)</f>
        <v>838610.8</v>
      </c>
      <c r="G13" s="319">
        <f>CF!F10</f>
        <v>0</v>
      </c>
      <c r="H13" s="319">
        <f>CF!G10</f>
        <v>9548.1200000000008</v>
      </c>
      <c r="I13" s="319">
        <f>CF!H10</f>
        <v>153658.97999999998</v>
      </c>
      <c r="J13" s="319">
        <f>CF!I10</f>
        <v>320863.14</v>
      </c>
      <c r="K13" s="319">
        <f>CF!J10</f>
        <v>312610.02</v>
      </c>
      <c r="L13" s="319">
        <f>CF!K10</f>
        <v>41930.54</v>
      </c>
      <c r="M13" s="319">
        <f>CF!L10</f>
        <v>0</v>
      </c>
      <c r="N13" s="319">
        <f>CF!M10</f>
        <v>0</v>
      </c>
      <c r="O13" s="319">
        <f>CF!N10</f>
        <v>0</v>
      </c>
      <c r="P13" s="319">
        <f>CF!O10</f>
        <v>0</v>
      </c>
      <c r="Q13" s="319">
        <f>CF!P10</f>
        <v>0</v>
      </c>
      <c r="R13" s="319">
        <f>CF!Q10</f>
        <v>0</v>
      </c>
      <c r="S13" s="319">
        <f>CF!R10</f>
        <v>0</v>
      </c>
      <c r="T13" s="319">
        <f>CF!S10</f>
        <v>0</v>
      </c>
      <c r="U13" s="319">
        <f>CF!T10</f>
        <v>0</v>
      </c>
    </row>
    <row r="14" spans="3:21" ht="15" customHeight="1" x14ac:dyDescent="0.3">
      <c r="C14" s="72" t="s">
        <v>522</v>
      </c>
      <c r="D14" s="72"/>
      <c r="E14" s="217" t="s">
        <v>70</v>
      </c>
      <c r="F14" s="320">
        <f>SUM(G14:U14)</f>
        <v>4973234.6929531377</v>
      </c>
      <c r="G14" s="320">
        <f t="shared" ref="G14:U14" si="1">SUM(G11:G13)</f>
        <v>0</v>
      </c>
      <c r="H14" s="320">
        <f t="shared" si="1"/>
        <v>37769.535652202489</v>
      </c>
      <c r="I14" s="320">
        <f t="shared" si="1"/>
        <v>725615.38563715992</v>
      </c>
      <c r="J14" s="320">
        <f t="shared" si="1"/>
        <v>1719744.3242277876</v>
      </c>
      <c r="K14" s="320">
        <f t="shared" si="1"/>
        <v>2002224.1627883306</v>
      </c>
      <c r="L14" s="320">
        <f t="shared" si="1"/>
        <v>408141.43464765686</v>
      </c>
      <c r="M14" s="320">
        <f t="shared" si="1"/>
        <v>79739.850000000006</v>
      </c>
      <c r="N14" s="320">
        <f t="shared" si="1"/>
        <v>0</v>
      </c>
      <c r="O14" s="320">
        <f t="shared" si="1"/>
        <v>0</v>
      </c>
      <c r="P14" s="320">
        <f t="shared" si="1"/>
        <v>0</v>
      </c>
      <c r="Q14" s="320">
        <f t="shared" si="1"/>
        <v>0</v>
      </c>
      <c r="R14" s="320">
        <f t="shared" si="1"/>
        <v>0</v>
      </c>
      <c r="S14" s="320">
        <f t="shared" si="1"/>
        <v>0</v>
      </c>
      <c r="T14" s="320">
        <f t="shared" si="1"/>
        <v>0</v>
      </c>
      <c r="U14" s="320">
        <f t="shared" si="1"/>
        <v>0</v>
      </c>
    </row>
    <row r="15" spans="3:21" ht="15" customHeight="1" x14ac:dyDescent="0.3"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</row>
    <row r="16" spans="3:21" ht="15" customHeight="1" x14ac:dyDescent="0.3">
      <c r="C16" s="316" t="s">
        <v>774</v>
      </c>
      <c r="D16" s="316"/>
      <c r="E16" s="316"/>
      <c r="F16" s="316"/>
      <c r="G16" s="316"/>
      <c r="H16" s="316"/>
      <c r="I16" s="316"/>
      <c r="J16" s="316"/>
      <c r="K16" s="316"/>
      <c r="L16" s="316"/>
      <c r="M16" s="316"/>
      <c r="N16" s="316"/>
      <c r="O16" s="316"/>
      <c r="P16" s="316"/>
      <c r="Q16" s="316"/>
      <c r="R16" s="316"/>
      <c r="S16" s="316"/>
      <c r="T16" s="316"/>
      <c r="U16" s="316"/>
    </row>
    <row r="17" spans="3:21" ht="15" customHeight="1" x14ac:dyDescent="0.3">
      <c r="C17" s="324" t="s">
        <v>523</v>
      </c>
      <c r="D17" s="324"/>
      <c r="E17" s="324"/>
      <c r="F17" s="324"/>
      <c r="G17" s="324"/>
      <c r="H17" s="324"/>
      <c r="I17" s="324"/>
      <c r="J17" s="324"/>
      <c r="K17" s="324"/>
      <c r="L17" s="324"/>
      <c r="M17" s="324"/>
      <c r="N17" s="324"/>
      <c r="O17" s="324"/>
      <c r="P17" s="324"/>
      <c r="Q17" s="324"/>
      <c r="R17" s="324"/>
      <c r="S17" s="324"/>
      <c r="T17" s="324"/>
      <c r="U17" s="324"/>
    </row>
    <row r="18" spans="3:21" ht="15" customHeight="1" x14ac:dyDescent="0.3">
      <c r="C18" s="383" t="s">
        <v>524</v>
      </c>
      <c r="D18" s="383"/>
      <c r="E18" s="389" t="s">
        <v>70</v>
      </c>
      <c r="F18" s="325">
        <f>SUM(G18:U18)</f>
        <v>101593.07571812552</v>
      </c>
      <c r="G18" s="323">
        <f t="shared" ref="G18:U18" si="2">IF(G$4&lt;=$D11,G11*$F$7,0)</f>
        <v>0</v>
      </c>
      <c r="H18" s="323">
        <f t="shared" si="2"/>
        <v>1128.8566260880996</v>
      </c>
      <c r="I18" s="323">
        <f t="shared" si="2"/>
        <v>18625.464225486397</v>
      </c>
      <c r="J18" s="323">
        <f t="shared" si="2"/>
        <v>38944.079369111503</v>
      </c>
      <c r="K18" s="323">
        <f t="shared" si="2"/>
        <v>37815.021711533227</v>
      </c>
      <c r="L18" s="323">
        <f t="shared" si="2"/>
        <v>5079.6537859062755</v>
      </c>
      <c r="M18" s="323">
        <f t="shared" si="2"/>
        <v>0</v>
      </c>
      <c r="N18" s="323">
        <f t="shared" si="2"/>
        <v>0</v>
      </c>
      <c r="O18" s="323">
        <f t="shared" si="2"/>
        <v>0</v>
      </c>
      <c r="P18" s="323">
        <f t="shared" si="2"/>
        <v>0</v>
      </c>
      <c r="Q18" s="323">
        <f t="shared" si="2"/>
        <v>0</v>
      </c>
      <c r="R18" s="323">
        <f t="shared" si="2"/>
        <v>0</v>
      </c>
      <c r="S18" s="323">
        <f t="shared" si="2"/>
        <v>0</v>
      </c>
      <c r="T18" s="323">
        <f t="shared" si="2"/>
        <v>0</v>
      </c>
      <c r="U18" s="323">
        <f t="shared" si="2"/>
        <v>0</v>
      </c>
    </row>
    <row r="19" spans="3:21" ht="15" customHeight="1" x14ac:dyDescent="0.3">
      <c r="C19" s="383" t="s">
        <v>525</v>
      </c>
      <c r="D19" s="383"/>
      <c r="E19" s="389" t="s">
        <v>70</v>
      </c>
      <c r="F19" s="325">
        <f>SUM(G19:U19)</f>
        <v>60602.286</v>
      </c>
      <c r="G19" s="323">
        <f t="shared" ref="G19:U19" si="3">IF(G$4&lt;=$D12,G12*$F$7,0)</f>
        <v>0</v>
      </c>
      <c r="H19" s="323">
        <f t="shared" si="3"/>
        <v>0</v>
      </c>
      <c r="I19" s="323">
        <f t="shared" si="3"/>
        <v>4252.7920000000004</v>
      </c>
      <c r="J19" s="323">
        <f t="shared" si="3"/>
        <v>17011.167999999998</v>
      </c>
      <c r="K19" s="323">
        <f t="shared" si="3"/>
        <v>29769.543999999998</v>
      </c>
      <c r="L19" s="323">
        <f t="shared" si="3"/>
        <v>9568.7819999999992</v>
      </c>
      <c r="M19" s="323">
        <f t="shared" si="3"/>
        <v>0</v>
      </c>
      <c r="N19" s="323">
        <f t="shared" si="3"/>
        <v>0</v>
      </c>
      <c r="O19" s="323">
        <f t="shared" si="3"/>
        <v>0</v>
      </c>
      <c r="P19" s="323">
        <f t="shared" si="3"/>
        <v>0</v>
      </c>
      <c r="Q19" s="323">
        <f t="shared" si="3"/>
        <v>0</v>
      </c>
      <c r="R19" s="323">
        <f t="shared" si="3"/>
        <v>0</v>
      </c>
      <c r="S19" s="323">
        <f t="shared" si="3"/>
        <v>0</v>
      </c>
      <c r="T19" s="323">
        <f t="shared" si="3"/>
        <v>0</v>
      </c>
      <c r="U19" s="323">
        <f t="shared" si="3"/>
        <v>0</v>
      </c>
    </row>
    <row r="20" spans="3:21" ht="15" customHeight="1" x14ac:dyDescent="0.3">
      <c r="C20" s="383" t="s">
        <v>526</v>
      </c>
      <c r="D20" s="383"/>
      <c r="E20" s="389" t="s">
        <v>70</v>
      </c>
      <c r="F20" s="325">
        <f>SUM(G20:U20)</f>
        <v>33544.432000000001</v>
      </c>
      <c r="G20" s="323">
        <f t="shared" ref="G20:U20" si="4">IF(G$4&lt;=$D13,G13*$F$7,0)</f>
        <v>0</v>
      </c>
      <c r="H20" s="323">
        <f t="shared" si="4"/>
        <v>381.92480000000006</v>
      </c>
      <c r="I20" s="323">
        <f t="shared" si="4"/>
        <v>6146.359199999999</v>
      </c>
      <c r="J20" s="323">
        <f t="shared" si="4"/>
        <v>12834.525600000001</v>
      </c>
      <c r="K20" s="323">
        <f t="shared" si="4"/>
        <v>12504.400800000001</v>
      </c>
      <c r="L20" s="323">
        <f t="shared" si="4"/>
        <v>1677.2216000000001</v>
      </c>
      <c r="M20" s="323">
        <f t="shared" si="4"/>
        <v>0</v>
      </c>
      <c r="N20" s="323">
        <f t="shared" si="4"/>
        <v>0</v>
      </c>
      <c r="O20" s="323">
        <f t="shared" si="4"/>
        <v>0</v>
      </c>
      <c r="P20" s="323">
        <f t="shared" si="4"/>
        <v>0</v>
      </c>
      <c r="Q20" s="323">
        <f t="shared" si="4"/>
        <v>0</v>
      </c>
      <c r="R20" s="323">
        <f t="shared" si="4"/>
        <v>0</v>
      </c>
      <c r="S20" s="323">
        <f t="shared" si="4"/>
        <v>0</v>
      </c>
      <c r="T20" s="323">
        <f t="shared" si="4"/>
        <v>0</v>
      </c>
      <c r="U20" s="323">
        <f t="shared" si="4"/>
        <v>0</v>
      </c>
    </row>
    <row r="21" spans="3:21" ht="15" customHeight="1" x14ac:dyDescent="0.3">
      <c r="C21" s="72" t="s">
        <v>527</v>
      </c>
      <c r="D21" s="72"/>
      <c r="E21" s="217" t="s">
        <v>70</v>
      </c>
      <c r="F21" s="320">
        <f>SUM(G21:U21)</f>
        <v>195739.7937181255</v>
      </c>
      <c r="G21" s="320">
        <f>SUM(G18:G20)</f>
        <v>0</v>
      </c>
      <c r="H21" s="320">
        <f>SUM(H18:H20)</f>
        <v>1510.7814260880996</v>
      </c>
      <c r="I21" s="320">
        <f t="shared" ref="I21:U21" si="5">SUM(I18:I20)</f>
        <v>29024.615425486398</v>
      </c>
      <c r="J21" s="320">
        <f t="shared" si="5"/>
        <v>68789.772969111509</v>
      </c>
      <c r="K21" s="320">
        <f t="shared" si="5"/>
        <v>80088.966511533232</v>
      </c>
      <c r="L21" s="320">
        <f t="shared" si="5"/>
        <v>16325.657385906276</v>
      </c>
      <c r="M21" s="320">
        <f t="shared" si="5"/>
        <v>0</v>
      </c>
      <c r="N21" s="320">
        <f t="shared" si="5"/>
        <v>0</v>
      </c>
      <c r="O21" s="320">
        <f t="shared" si="5"/>
        <v>0</v>
      </c>
      <c r="P21" s="320">
        <f t="shared" si="5"/>
        <v>0</v>
      </c>
      <c r="Q21" s="320">
        <f t="shared" si="5"/>
        <v>0</v>
      </c>
      <c r="R21" s="320">
        <f t="shared" si="5"/>
        <v>0</v>
      </c>
      <c r="S21" s="320">
        <f t="shared" si="5"/>
        <v>0</v>
      </c>
      <c r="T21" s="320">
        <f t="shared" si="5"/>
        <v>0</v>
      </c>
      <c r="U21" s="320">
        <f t="shared" si="5"/>
        <v>0</v>
      </c>
    </row>
    <row r="22" spans="3:21" ht="15" customHeight="1" x14ac:dyDescent="0.3"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</row>
    <row r="23" spans="3:21" ht="15" customHeight="1" x14ac:dyDescent="0.3">
      <c r="C23" s="446" t="s">
        <v>528</v>
      </c>
      <c r="D23" s="326"/>
      <c r="E23" s="326"/>
      <c r="F23" s="326"/>
      <c r="G23" s="326"/>
      <c r="H23" s="326"/>
      <c r="I23" s="326"/>
      <c r="J23" s="326"/>
      <c r="K23" s="326"/>
      <c r="L23" s="326"/>
      <c r="M23" s="326"/>
      <c r="N23" s="326"/>
      <c r="O23" s="326"/>
      <c r="P23" s="326"/>
      <c r="Q23" s="326"/>
      <c r="R23" s="326"/>
      <c r="S23" s="326"/>
      <c r="T23" s="326"/>
      <c r="U23" s="326"/>
    </row>
    <row r="24" spans="3:21" ht="15" customHeight="1" x14ac:dyDescent="0.3">
      <c r="C24" s="447" t="s">
        <v>711</v>
      </c>
      <c r="D24" s="384"/>
      <c r="E24" s="389" t="s">
        <v>70</v>
      </c>
      <c r="F24" s="444">
        <f>SUM(G24:U24)</f>
        <v>101593.07571812552</v>
      </c>
      <c r="G24" s="445">
        <f t="shared" ref="G24:U24" si="6">IF(G$4=$D11,$F18,0)</f>
        <v>0</v>
      </c>
      <c r="H24" s="445">
        <f t="shared" si="6"/>
        <v>0</v>
      </c>
      <c r="I24" s="445">
        <f t="shared" si="6"/>
        <v>0</v>
      </c>
      <c r="J24" s="445">
        <f t="shared" si="6"/>
        <v>0</v>
      </c>
      <c r="K24" s="445">
        <f t="shared" si="6"/>
        <v>0</v>
      </c>
      <c r="L24" s="445">
        <f t="shared" si="6"/>
        <v>101593.07571812552</v>
      </c>
      <c r="M24" s="445">
        <f t="shared" si="6"/>
        <v>0</v>
      </c>
      <c r="N24" s="445">
        <f t="shared" si="6"/>
        <v>0</v>
      </c>
      <c r="O24" s="445">
        <f t="shared" si="6"/>
        <v>0</v>
      </c>
      <c r="P24" s="445">
        <f t="shared" si="6"/>
        <v>0</v>
      </c>
      <c r="Q24" s="445">
        <f t="shared" si="6"/>
        <v>0</v>
      </c>
      <c r="R24" s="445">
        <f t="shared" si="6"/>
        <v>0</v>
      </c>
      <c r="S24" s="445">
        <f t="shared" si="6"/>
        <v>0</v>
      </c>
      <c r="T24" s="445">
        <f t="shared" si="6"/>
        <v>0</v>
      </c>
      <c r="U24" s="445">
        <f t="shared" si="6"/>
        <v>0</v>
      </c>
    </row>
    <row r="25" spans="3:21" ht="15" customHeight="1" x14ac:dyDescent="0.3">
      <c r="C25" s="447" t="s">
        <v>712</v>
      </c>
      <c r="D25" s="384"/>
      <c r="E25" s="389" t="s">
        <v>70</v>
      </c>
      <c r="F25" s="444">
        <f>SUM(G25:U25)</f>
        <v>60602.286</v>
      </c>
      <c r="G25" s="445">
        <f t="shared" ref="G25:U25" si="7">IF(G$4=$D12,$F19,0)</f>
        <v>0</v>
      </c>
      <c r="H25" s="445">
        <f t="shared" si="7"/>
        <v>0</v>
      </c>
      <c r="I25" s="445">
        <f t="shared" si="7"/>
        <v>0</v>
      </c>
      <c r="J25" s="445">
        <f t="shared" si="7"/>
        <v>0</v>
      </c>
      <c r="K25" s="445">
        <f t="shared" si="7"/>
        <v>0</v>
      </c>
      <c r="L25" s="445">
        <f t="shared" si="7"/>
        <v>60602.286</v>
      </c>
      <c r="M25" s="445">
        <f t="shared" si="7"/>
        <v>0</v>
      </c>
      <c r="N25" s="445">
        <f t="shared" si="7"/>
        <v>0</v>
      </c>
      <c r="O25" s="445">
        <f t="shared" si="7"/>
        <v>0</v>
      </c>
      <c r="P25" s="445">
        <f t="shared" si="7"/>
        <v>0</v>
      </c>
      <c r="Q25" s="445">
        <f t="shared" si="7"/>
        <v>0</v>
      </c>
      <c r="R25" s="445">
        <f t="shared" si="7"/>
        <v>0</v>
      </c>
      <c r="S25" s="445">
        <f t="shared" si="7"/>
        <v>0</v>
      </c>
      <c r="T25" s="445">
        <f t="shared" si="7"/>
        <v>0</v>
      </c>
      <c r="U25" s="445">
        <f t="shared" si="7"/>
        <v>0</v>
      </c>
    </row>
    <row r="26" spans="3:21" ht="15" customHeight="1" x14ac:dyDescent="0.3">
      <c r="C26" s="447" t="s">
        <v>713</v>
      </c>
      <c r="D26" s="384"/>
      <c r="E26" s="389" t="s">
        <v>70</v>
      </c>
      <c r="F26" s="444">
        <f>SUM(G26:U26)</f>
        <v>33544.432000000001</v>
      </c>
      <c r="G26" s="445">
        <f t="shared" ref="G26:U26" si="8">IF(G$4=$D13,$F20,0)</f>
        <v>0</v>
      </c>
      <c r="H26" s="445">
        <f t="shared" si="8"/>
        <v>0</v>
      </c>
      <c r="I26" s="445">
        <f t="shared" si="8"/>
        <v>0</v>
      </c>
      <c r="J26" s="445">
        <f t="shared" si="8"/>
        <v>0</v>
      </c>
      <c r="K26" s="445">
        <f t="shared" si="8"/>
        <v>0</v>
      </c>
      <c r="L26" s="445">
        <f t="shared" si="8"/>
        <v>33544.432000000001</v>
      </c>
      <c r="M26" s="445">
        <f t="shared" si="8"/>
        <v>0</v>
      </c>
      <c r="N26" s="445">
        <f t="shared" si="8"/>
        <v>0</v>
      </c>
      <c r="O26" s="445">
        <f t="shared" si="8"/>
        <v>0</v>
      </c>
      <c r="P26" s="445">
        <f t="shared" si="8"/>
        <v>0</v>
      </c>
      <c r="Q26" s="445">
        <f t="shared" si="8"/>
        <v>0</v>
      </c>
      <c r="R26" s="445">
        <f t="shared" si="8"/>
        <v>0</v>
      </c>
      <c r="S26" s="445">
        <f t="shared" si="8"/>
        <v>0</v>
      </c>
      <c r="T26" s="445">
        <f t="shared" si="8"/>
        <v>0</v>
      </c>
      <c r="U26" s="445">
        <f t="shared" si="8"/>
        <v>0</v>
      </c>
    </row>
    <row r="27" spans="3:21" ht="15" customHeight="1" x14ac:dyDescent="0.3">
      <c r="C27" s="72" t="s">
        <v>529</v>
      </c>
      <c r="D27" s="72"/>
      <c r="E27" s="217" t="s">
        <v>70</v>
      </c>
      <c r="F27" s="320">
        <f>SUM(G27:U27)</f>
        <v>195739.79371812553</v>
      </c>
      <c r="G27" s="320">
        <f t="shared" ref="G27:U27" si="9">SUM(G24:G26)</f>
        <v>0</v>
      </c>
      <c r="H27" s="320">
        <f t="shared" si="9"/>
        <v>0</v>
      </c>
      <c r="I27" s="320">
        <f t="shared" si="9"/>
        <v>0</v>
      </c>
      <c r="J27" s="320">
        <f t="shared" si="9"/>
        <v>0</v>
      </c>
      <c r="K27" s="320">
        <f t="shared" si="9"/>
        <v>0</v>
      </c>
      <c r="L27" s="320">
        <f t="shared" si="9"/>
        <v>195739.79371812553</v>
      </c>
      <c r="M27" s="320">
        <f t="shared" si="9"/>
        <v>0</v>
      </c>
      <c r="N27" s="320">
        <f t="shared" si="9"/>
        <v>0</v>
      </c>
      <c r="O27" s="320">
        <f t="shared" si="9"/>
        <v>0</v>
      </c>
      <c r="P27" s="320">
        <f t="shared" si="9"/>
        <v>0</v>
      </c>
      <c r="Q27" s="320">
        <f t="shared" si="9"/>
        <v>0</v>
      </c>
      <c r="R27" s="320">
        <f t="shared" si="9"/>
        <v>0</v>
      </c>
      <c r="S27" s="320">
        <f t="shared" si="9"/>
        <v>0</v>
      </c>
      <c r="T27" s="320">
        <f t="shared" si="9"/>
        <v>0</v>
      </c>
      <c r="U27" s="320">
        <f t="shared" si="9"/>
        <v>0</v>
      </c>
    </row>
    <row r="28" spans="3:21" ht="15" customHeight="1" x14ac:dyDescent="0.3">
      <c r="C28" s="202" t="s">
        <v>530</v>
      </c>
      <c r="D28" s="202"/>
      <c r="E28" s="389" t="s">
        <v>70</v>
      </c>
      <c r="F28" s="321">
        <f>SUM(G28:U28)</f>
        <v>-2.9103830456733704E-11</v>
      </c>
      <c r="G28" s="222">
        <f t="shared" ref="G28:U28" si="10">G21-G27</f>
        <v>0</v>
      </c>
      <c r="H28" s="222">
        <f t="shared" si="10"/>
        <v>1510.7814260880996</v>
      </c>
      <c r="I28" s="222">
        <f t="shared" si="10"/>
        <v>29024.615425486398</v>
      </c>
      <c r="J28" s="222">
        <f t="shared" si="10"/>
        <v>68789.772969111509</v>
      </c>
      <c r="K28" s="222">
        <f t="shared" si="10"/>
        <v>80088.966511533232</v>
      </c>
      <c r="L28" s="222">
        <f t="shared" si="10"/>
        <v>-179414.13633221926</v>
      </c>
      <c r="M28" s="222">
        <f t="shared" si="10"/>
        <v>0</v>
      </c>
      <c r="N28" s="222">
        <f t="shared" si="10"/>
        <v>0</v>
      </c>
      <c r="O28" s="222">
        <f t="shared" si="10"/>
        <v>0</v>
      </c>
      <c r="P28" s="222">
        <f t="shared" si="10"/>
        <v>0</v>
      </c>
      <c r="Q28" s="222">
        <f t="shared" si="10"/>
        <v>0</v>
      </c>
      <c r="R28" s="222">
        <f t="shared" si="10"/>
        <v>0</v>
      </c>
      <c r="S28" s="222">
        <f t="shared" si="10"/>
        <v>0</v>
      </c>
      <c r="T28" s="222">
        <f t="shared" si="10"/>
        <v>0</v>
      </c>
      <c r="U28" s="222">
        <f t="shared" si="10"/>
        <v>0</v>
      </c>
    </row>
    <row r="29" spans="3:21" ht="15" customHeight="1" x14ac:dyDescent="0.3">
      <c r="C29" s="385" t="s">
        <v>511</v>
      </c>
      <c r="D29" s="385"/>
      <c r="E29" s="389" t="s">
        <v>70</v>
      </c>
      <c r="F29" s="327"/>
      <c r="G29" s="328">
        <f>G28</f>
        <v>0</v>
      </c>
      <c r="H29" s="328">
        <f t="shared" ref="H29:U29" si="11">G29+H28</f>
        <v>1510.7814260880996</v>
      </c>
      <c r="I29" s="328">
        <f t="shared" si="11"/>
        <v>30535.396851574496</v>
      </c>
      <c r="J29" s="328">
        <f t="shared" si="11"/>
        <v>99325.169820686002</v>
      </c>
      <c r="K29" s="328">
        <f t="shared" si="11"/>
        <v>179414.13633221923</v>
      </c>
      <c r="L29" s="328">
        <f t="shared" si="11"/>
        <v>0</v>
      </c>
      <c r="M29" s="328">
        <f t="shared" si="11"/>
        <v>0</v>
      </c>
      <c r="N29" s="328">
        <f t="shared" si="11"/>
        <v>0</v>
      </c>
      <c r="O29" s="328">
        <f t="shared" si="11"/>
        <v>0</v>
      </c>
      <c r="P29" s="328">
        <f t="shared" si="11"/>
        <v>0</v>
      </c>
      <c r="Q29" s="328">
        <f t="shared" si="11"/>
        <v>0</v>
      </c>
      <c r="R29" s="328">
        <f t="shared" si="11"/>
        <v>0</v>
      </c>
      <c r="S29" s="328">
        <f t="shared" si="11"/>
        <v>0</v>
      </c>
      <c r="T29" s="328">
        <f t="shared" si="11"/>
        <v>0</v>
      </c>
      <c r="U29" s="328">
        <f t="shared" si="11"/>
        <v>0</v>
      </c>
    </row>
    <row r="30" spans="3:21" ht="15" customHeight="1" x14ac:dyDescent="0.3">
      <c r="C30" s="202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</row>
    <row r="31" spans="3:21" ht="15" customHeight="1" x14ac:dyDescent="0.3">
      <c r="C31" s="316" t="s">
        <v>775</v>
      </c>
      <c r="D31" s="316"/>
      <c r="E31" s="316"/>
      <c r="F31" s="316"/>
      <c r="G31" s="316"/>
      <c r="H31" s="316"/>
      <c r="I31" s="316"/>
      <c r="J31" s="316"/>
      <c r="K31" s="316"/>
      <c r="L31" s="316"/>
      <c r="M31" s="316"/>
      <c r="N31" s="316"/>
      <c r="O31" s="316"/>
      <c r="P31" s="316"/>
      <c r="Q31" s="316"/>
      <c r="R31" s="316"/>
      <c r="S31" s="316"/>
      <c r="T31" s="316"/>
      <c r="U31" s="316"/>
    </row>
    <row r="32" spans="3:21" ht="15" customHeight="1" x14ac:dyDescent="0.3">
      <c r="C32" s="383" t="s">
        <v>512</v>
      </c>
      <c r="D32" s="383"/>
      <c r="E32" s="389" t="s">
        <v>70</v>
      </c>
      <c r="F32" s="322">
        <f>SUM(G32:U32)</f>
        <v>-195739.7937181255</v>
      </c>
      <c r="G32" s="323">
        <f t="shared" ref="G32:U32" si="12">-G21</f>
        <v>0</v>
      </c>
      <c r="H32" s="323">
        <f t="shared" si="12"/>
        <v>-1510.7814260880996</v>
      </c>
      <c r="I32" s="323">
        <f t="shared" si="12"/>
        <v>-29024.615425486398</v>
      </c>
      <c r="J32" s="323">
        <f t="shared" si="12"/>
        <v>-68789.772969111509</v>
      </c>
      <c r="K32" s="323">
        <f t="shared" si="12"/>
        <v>-80088.966511533232</v>
      </c>
      <c r="L32" s="323">
        <f t="shared" si="12"/>
        <v>-16325.657385906276</v>
      </c>
      <c r="M32" s="323">
        <f t="shared" si="12"/>
        <v>0</v>
      </c>
      <c r="N32" s="323">
        <f t="shared" si="12"/>
        <v>0</v>
      </c>
      <c r="O32" s="323">
        <f t="shared" si="12"/>
        <v>0</v>
      </c>
      <c r="P32" s="323">
        <f t="shared" si="12"/>
        <v>0</v>
      </c>
      <c r="Q32" s="323">
        <f t="shared" si="12"/>
        <v>0</v>
      </c>
      <c r="R32" s="323">
        <f t="shared" si="12"/>
        <v>0</v>
      </c>
      <c r="S32" s="323">
        <f t="shared" si="12"/>
        <v>0</v>
      </c>
      <c r="T32" s="323">
        <f t="shared" si="12"/>
        <v>0</v>
      </c>
      <c r="U32" s="323">
        <f t="shared" si="12"/>
        <v>0</v>
      </c>
    </row>
    <row r="33" spans="3:21" ht="15" customHeight="1" x14ac:dyDescent="0.3">
      <c r="C33" s="447" t="s">
        <v>513</v>
      </c>
      <c r="D33" s="447"/>
      <c r="E33" s="448" t="s">
        <v>70</v>
      </c>
      <c r="F33" s="449">
        <f>SUM(G33:U33)</f>
        <v>195739.79371812553</v>
      </c>
      <c r="G33" s="445">
        <f t="shared" ref="G33:U33" si="13">G27</f>
        <v>0</v>
      </c>
      <c r="H33" s="445">
        <f t="shared" si="13"/>
        <v>0</v>
      </c>
      <c r="I33" s="445">
        <f t="shared" si="13"/>
        <v>0</v>
      </c>
      <c r="J33" s="445">
        <f t="shared" si="13"/>
        <v>0</v>
      </c>
      <c r="K33" s="445">
        <f t="shared" si="13"/>
        <v>0</v>
      </c>
      <c r="L33" s="445">
        <f t="shared" si="13"/>
        <v>195739.79371812553</v>
      </c>
      <c r="M33" s="445">
        <f t="shared" si="13"/>
        <v>0</v>
      </c>
      <c r="N33" s="445">
        <f t="shared" si="13"/>
        <v>0</v>
      </c>
      <c r="O33" s="445">
        <f t="shared" si="13"/>
        <v>0</v>
      </c>
      <c r="P33" s="445">
        <f t="shared" si="13"/>
        <v>0</v>
      </c>
      <c r="Q33" s="445">
        <f t="shared" si="13"/>
        <v>0</v>
      </c>
      <c r="R33" s="445">
        <f t="shared" si="13"/>
        <v>0</v>
      </c>
      <c r="S33" s="445">
        <f t="shared" si="13"/>
        <v>0</v>
      </c>
      <c r="T33" s="445">
        <f t="shared" si="13"/>
        <v>0</v>
      </c>
      <c r="U33" s="445">
        <f t="shared" si="13"/>
        <v>0</v>
      </c>
    </row>
    <row r="34" spans="3:21" ht="15" customHeight="1" x14ac:dyDescent="0.3">
      <c r="C34" s="72" t="s">
        <v>514</v>
      </c>
      <c r="D34" s="72"/>
      <c r="E34" s="217" t="s">
        <v>70</v>
      </c>
      <c r="F34" s="320">
        <f>SUM(G34:U34)</f>
        <v>2.9103830456733704E-11</v>
      </c>
      <c r="G34" s="320">
        <f t="shared" ref="G34:U34" si="14">G32+G33</f>
        <v>0</v>
      </c>
      <c r="H34" s="320">
        <f t="shared" si="14"/>
        <v>-1510.7814260880996</v>
      </c>
      <c r="I34" s="320">
        <f t="shared" si="14"/>
        <v>-29024.615425486398</v>
      </c>
      <c r="J34" s="320">
        <f t="shared" si="14"/>
        <v>-68789.772969111509</v>
      </c>
      <c r="K34" s="320">
        <f t="shared" si="14"/>
        <v>-80088.966511533232</v>
      </c>
      <c r="L34" s="320">
        <f t="shared" si="14"/>
        <v>179414.13633221926</v>
      </c>
      <c r="M34" s="320">
        <f t="shared" si="14"/>
        <v>0</v>
      </c>
      <c r="N34" s="320">
        <f t="shared" si="14"/>
        <v>0</v>
      </c>
      <c r="O34" s="320">
        <f t="shared" si="14"/>
        <v>0</v>
      </c>
      <c r="P34" s="320">
        <f t="shared" si="14"/>
        <v>0</v>
      </c>
      <c r="Q34" s="320">
        <f t="shared" si="14"/>
        <v>0</v>
      </c>
      <c r="R34" s="320">
        <f t="shared" si="14"/>
        <v>0</v>
      </c>
      <c r="S34" s="320">
        <f t="shared" si="14"/>
        <v>0</v>
      </c>
      <c r="T34" s="320">
        <f t="shared" si="14"/>
        <v>0</v>
      </c>
      <c r="U34" s="320">
        <f t="shared" si="14"/>
        <v>0</v>
      </c>
    </row>
    <row r="35" spans="3:21" ht="15" customHeight="1" x14ac:dyDescent="0.3">
      <c r="C35" s="251" t="s">
        <v>531</v>
      </c>
      <c r="D35" s="251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</row>
    <row r="36" spans="3:21" ht="15" customHeight="1" x14ac:dyDescent="0.3"/>
    <row r="37" spans="3:21" ht="15" customHeight="1" x14ac:dyDescent="0.3">
      <c r="C37" s="21" t="s">
        <v>193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</row>
    <row r="38" spans="3:21" ht="15" customHeight="1" x14ac:dyDescent="0.3"/>
    <row r="39" spans="3:21" ht="15" customHeight="1" x14ac:dyDescent="0.3"/>
    <row r="40" spans="3:21" ht="15" customHeight="1" x14ac:dyDescent="0.3"/>
    <row r="41" spans="3:21" ht="15" customHeight="1" x14ac:dyDescent="0.3"/>
    <row r="42" spans="3:21" ht="15" customHeight="1" x14ac:dyDescent="0.3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0ADA-89CF-492F-B6D0-9AF60047A1B6}">
  <dimension ref="A1:L49"/>
  <sheetViews>
    <sheetView showGridLines="0" zoomScaleNormal="100" workbookViewId="0">
      <selection activeCell="F13" sqref="F13"/>
    </sheetView>
  </sheetViews>
  <sheetFormatPr defaultRowHeight="12.6" x14ac:dyDescent="0.25"/>
  <cols>
    <col min="1" max="1" width="2.77734375" style="341" customWidth="1"/>
    <col min="2" max="2" width="3.44140625" style="341" customWidth="1"/>
    <col min="3" max="3" width="48.109375" style="341" customWidth="1"/>
    <col min="4" max="4" width="13" style="341" customWidth="1"/>
    <col min="5" max="5" width="20.33203125" style="341" customWidth="1"/>
    <col min="6" max="7" width="24.109375" style="341" customWidth="1"/>
    <col min="8" max="9" width="33.33203125" style="341" customWidth="1"/>
    <col min="10" max="10" width="24.109375" style="341" customWidth="1"/>
    <col min="11" max="11" width="37" style="341" customWidth="1"/>
    <col min="12" max="16384" width="8.88671875" style="341"/>
  </cols>
  <sheetData>
    <row r="1" spans="1:12" ht="22.05" customHeight="1" x14ac:dyDescent="0.3">
      <c r="A1" s="343"/>
      <c r="B1" s="358" t="s">
        <v>664</v>
      </c>
      <c r="C1" s="343"/>
      <c r="D1" s="343"/>
      <c r="E1" s="343"/>
      <c r="F1" s="343"/>
      <c r="G1" s="343"/>
      <c r="H1" s="343"/>
      <c r="I1" s="343"/>
    </row>
    <row r="2" spans="1:12" x14ac:dyDescent="0.25">
      <c r="A2" s="343"/>
      <c r="B2" s="346" t="s">
        <v>672</v>
      </c>
      <c r="C2" s="343"/>
      <c r="D2" s="343"/>
      <c r="E2" s="343"/>
      <c r="F2" s="343"/>
      <c r="G2" s="343"/>
      <c r="H2" s="343"/>
      <c r="I2" s="343"/>
    </row>
    <row r="3" spans="1:12" x14ac:dyDescent="0.25">
      <c r="A3" s="343"/>
      <c r="B3" s="346" t="s">
        <v>673</v>
      </c>
      <c r="C3" s="343"/>
      <c r="D3" s="343"/>
      <c r="E3" s="343"/>
      <c r="F3" s="343"/>
      <c r="G3" s="343"/>
      <c r="H3" s="343"/>
      <c r="I3" s="343"/>
    </row>
    <row r="4" spans="1:12" x14ac:dyDescent="0.25">
      <c r="A4" s="343"/>
      <c r="B4" s="343"/>
      <c r="C4" s="343"/>
      <c r="D4" s="343"/>
      <c r="E4" s="343"/>
      <c r="F4" s="343"/>
      <c r="G4" s="343"/>
      <c r="H4" s="343"/>
      <c r="I4" s="343"/>
    </row>
    <row r="5" spans="1:12" x14ac:dyDescent="0.25">
      <c r="A5" s="343"/>
      <c r="B5" s="345" t="s">
        <v>694</v>
      </c>
      <c r="C5" s="343"/>
      <c r="D5" s="343"/>
      <c r="E5" s="343"/>
      <c r="F5" s="343"/>
      <c r="G5" s="343"/>
      <c r="H5" s="343"/>
      <c r="I5" s="343"/>
    </row>
    <row r="6" spans="1:12" x14ac:dyDescent="0.25">
      <c r="A6" s="343"/>
      <c r="B6" s="342" t="s">
        <v>674</v>
      </c>
      <c r="C6" s="342"/>
      <c r="D6" s="342"/>
      <c r="E6" s="342"/>
      <c r="F6" s="342"/>
      <c r="G6" s="342"/>
      <c r="H6" s="342"/>
      <c r="I6" s="342"/>
    </row>
    <row r="7" spans="1:12" x14ac:dyDescent="0.25">
      <c r="A7" s="343"/>
      <c r="B7" s="362"/>
      <c r="C7" s="347" t="s">
        <v>668</v>
      </c>
      <c r="D7" s="347" t="s">
        <v>43</v>
      </c>
      <c r="E7" s="347" t="s">
        <v>669</v>
      </c>
      <c r="F7" s="347" t="s">
        <v>675</v>
      </c>
      <c r="G7" s="347" t="s">
        <v>691</v>
      </c>
      <c r="H7" s="347" t="s">
        <v>676</v>
      </c>
      <c r="I7" s="347" t="s">
        <v>677</v>
      </c>
    </row>
    <row r="8" spans="1:12" x14ac:dyDescent="0.25">
      <c r="A8" s="343"/>
      <c r="B8" s="359" t="s">
        <v>665</v>
      </c>
      <c r="C8" s="359"/>
      <c r="D8" s="359"/>
      <c r="E8" s="360"/>
      <c r="F8" s="361"/>
      <c r="G8" s="361"/>
      <c r="H8" s="359"/>
      <c r="I8" s="359"/>
      <c r="J8" s="343"/>
      <c r="K8" s="343"/>
      <c r="L8" s="343"/>
    </row>
    <row r="9" spans="1:12" x14ac:dyDescent="0.25">
      <c r="A9" s="343"/>
      <c r="B9" s="351"/>
      <c r="C9" s="351" t="s">
        <v>12</v>
      </c>
      <c r="D9" s="351" t="s">
        <v>670</v>
      </c>
      <c r="E9" s="356">
        <v>463.83499999999998</v>
      </c>
      <c r="F9" s="356">
        <v>152200</v>
      </c>
      <c r="G9" s="354">
        <f>E9*F9/1000</f>
        <v>70595.687000000005</v>
      </c>
      <c r="H9" s="357" t="s">
        <v>678</v>
      </c>
      <c r="I9" s="357" t="s">
        <v>679</v>
      </c>
    </row>
    <row r="10" spans="1:12" x14ac:dyDescent="0.25">
      <c r="A10" s="343"/>
      <c r="B10" s="351"/>
      <c r="C10" s="351" t="s">
        <v>13</v>
      </c>
      <c r="D10" s="351" t="s">
        <v>671</v>
      </c>
      <c r="E10" s="356">
        <v>232.26</v>
      </c>
      <c r="F10" s="356">
        <v>152200</v>
      </c>
      <c r="G10" s="354">
        <f t="shared" ref="G10:G18" si="0">E10*F10/1000</f>
        <v>35349.972000000002</v>
      </c>
      <c r="H10" s="357" t="s">
        <v>680</v>
      </c>
      <c r="I10" s="357" t="s">
        <v>681</v>
      </c>
    </row>
    <row r="11" spans="1:12" x14ac:dyDescent="0.25">
      <c r="A11" s="343"/>
      <c r="B11" s="351"/>
      <c r="C11" s="351" t="s">
        <v>695</v>
      </c>
      <c r="D11" s="351" t="s">
        <v>657</v>
      </c>
      <c r="E11" s="356">
        <v>0</v>
      </c>
      <c r="F11" s="356">
        <v>0</v>
      </c>
      <c r="G11" s="354">
        <f t="shared" si="0"/>
        <v>0</v>
      </c>
      <c r="H11" s="357" t="s">
        <v>696</v>
      </c>
      <c r="I11" s="357" t="s">
        <v>697</v>
      </c>
    </row>
    <row r="12" spans="1:12" x14ac:dyDescent="0.25">
      <c r="A12" s="343"/>
      <c r="B12" s="359" t="s">
        <v>666</v>
      </c>
      <c r="C12" s="359"/>
      <c r="D12" s="359"/>
      <c r="E12" s="360"/>
      <c r="F12" s="361"/>
      <c r="G12" s="361"/>
      <c r="H12" s="359"/>
      <c r="I12" s="359"/>
    </row>
    <row r="13" spans="1:12" x14ac:dyDescent="0.25">
      <c r="A13" s="343"/>
      <c r="B13" s="351"/>
      <c r="C13" s="351" t="s">
        <v>1</v>
      </c>
      <c r="D13" s="351" t="s">
        <v>670</v>
      </c>
      <c r="E13" s="356">
        <v>5718.4129999999996</v>
      </c>
      <c r="F13" s="356">
        <v>98450.587</v>
      </c>
      <c r="G13" s="354">
        <f t="shared" si="0"/>
        <v>562981.11655843095</v>
      </c>
      <c r="H13" s="357" t="s">
        <v>682</v>
      </c>
      <c r="I13" s="357" t="s">
        <v>683</v>
      </c>
    </row>
    <row r="14" spans="1:12" x14ac:dyDescent="0.25">
      <c r="A14" s="343"/>
      <c r="B14" s="351"/>
      <c r="C14" s="351" t="s">
        <v>2</v>
      </c>
      <c r="D14" s="351" t="s">
        <v>671</v>
      </c>
      <c r="E14" s="356">
        <v>6813.7370000000001</v>
      </c>
      <c r="F14" s="356">
        <v>152200</v>
      </c>
      <c r="G14" s="354">
        <f t="shared" si="0"/>
        <v>1037050.7714</v>
      </c>
      <c r="H14" s="357" t="s">
        <v>684</v>
      </c>
      <c r="I14" s="357" t="s">
        <v>685</v>
      </c>
    </row>
    <row r="15" spans="1:12" x14ac:dyDescent="0.25">
      <c r="A15" s="343"/>
      <c r="B15" s="359" t="s">
        <v>667</v>
      </c>
      <c r="C15" s="359"/>
      <c r="D15" s="359"/>
      <c r="E15" s="360"/>
      <c r="F15" s="361"/>
      <c r="G15" s="361"/>
      <c r="H15" s="359"/>
      <c r="I15" s="359"/>
    </row>
    <row r="16" spans="1:12" x14ac:dyDescent="0.25">
      <c r="A16" s="343"/>
      <c r="B16" s="351"/>
      <c r="C16" s="351" t="s">
        <v>7</v>
      </c>
      <c r="D16" s="351" t="s">
        <v>670</v>
      </c>
      <c r="E16" s="356">
        <v>2088.9</v>
      </c>
      <c r="F16" s="356">
        <v>98450.587</v>
      </c>
      <c r="G16" s="354">
        <f t="shared" si="0"/>
        <v>205653.43118430002</v>
      </c>
      <c r="H16" s="357" t="s">
        <v>686</v>
      </c>
      <c r="I16" s="357" t="s">
        <v>687</v>
      </c>
    </row>
    <row r="17" spans="1:12" x14ac:dyDescent="0.25">
      <c r="A17" s="343"/>
      <c r="B17" s="351"/>
      <c r="C17" s="351" t="s">
        <v>8</v>
      </c>
      <c r="D17" s="351" t="s">
        <v>670</v>
      </c>
      <c r="E17" s="356">
        <v>1030.8499999999999</v>
      </c>
      <c r="F17" s="356">
        <v>98450.587</v>
      </c>
      <c r="G17" s="354">
        <f t="shared" si="0"/>
        <v>101487.78760894999</v>
      </c>
      <c r="H17" s="357" t="s">
        <v>688</v>
      </c>
      <c r="I17" s="357" t="s">
        <v>689</v>
      </c>
    </row>
    <row r="18" spans="1:12" x14ac:dyDescent="0.25">
      <c r="A18" s="343"/>
      <c r="B18" s="351"/>
      <c r="C18" s="351" t="s">
        <v>6</v>
      </c>
      <c r="D18" s="351" t="s">
        <v>657</v>
      </c>
      <c r="E18" s="356">
        <v>0</v>
      </c>
      <c r="F18" s="356">
        <v>0</v>
      </c>
      <c r="G18" s="354">
        <f t="shared" si="0"/>
        <v>0</v>
      </c>
      <c r="H18" s="357" t="s">
        <v>698</v>
      </c>
      <c r="I18" s="357" t="s">
        <v>699</v>
      </c>
    </row>
    <row r="19" spans="1:12" x14ac:dyDescent="0.25">
      <c r="A19" s="343"/>
      <c r="B19" s="348" t="s">
        <v>23</v>
      </c>
      <c r="C19" s="348"/>
      <c r="D19" s="348"/>
      <c r="E19" s="353">
        <f>SUM(E9:E18)</f>
        <v>16347.994999999999</v>
      </c>
      <c r="F19" s="349"/>
      <c r="G19" s="355">
        <f>SUM(G9:G17)</f>
        <v>2013118.7657516808</v>
      </c>
      <c r="H19" s="348"/>
      <c r="I19" s="348"/>
    </row>
    <row r="20" spans="1:12" x14ac:dyDescent="0.25">
      <c r="A20" s="343"/>
      <c r="B20" s="343"/>
      <c r="C20" s="343"/>
      <c r="D20" s="343"/>
      <c r="E20" s="343"/>
      <c r="F20" s="343"/>
      <c r="G20" s="343"/>
      <c r="H20" s="343"/>
      <c r="I20" s="343"/>
    </row>
    <row r="21" spans="1:12" x14ac:dyDescent="0.25">
      <c r="A21" s="343"/>
      <c r="B21" s="342" t="s">
        <v>690</v>
      </c>
      <c r="C21" s="342"/>
      <c r="D21" s="342"/>
      <c r="E21" s="342"/>
      <c r="F21" s="342"/>
      <c r="G21" s="342"/>
      <c r="H21" s="342"/>
      <c r="I21" s="342"/>
    </row>
    <row r="22" spans="1:12" x14ac:dyDescent="0.25">
      <c r="A22" s="343"/>
      <c r="B22" s="362" t="s">
        <v>43</v>
      </c>
      <c r="C22" s="347"/>
      <c r="D22" s="347"/>
      <c r="E22" s="347" t="s">
        <v>669</v>
      </c>
      <c r="F22" s="347"/>
      <c r="G22" s="347" t="s">
        <v>691</v>
      </c>
      <c r="H22" s="347" t="s">
        <v>692</v>
      </c>
      <c r="I22" s="347"/>
    </row>
    <row r="23" spans="1:12" x14ac:dyDescent="0.25">
      <c r="A23" s="343"/>
      <c r="C23" s="351" t="s">
        <v>657</v>
      </c>
      <c r="D23" s="343"/>
      <c r="E23" s="352">
        <f>SUMIF($D$9:$D$17,$C23,E$9:E$17)</f>
        <v>0</v>
      </c>
      <c r="G23" s="354">
        <f>SUMIF($D$9:$D$17,$C23,G$9:G$17)</f>
        <v>0</v>
      </c>
      <c r="H23" s="344">
        <f>IFERROR(G23/$G$26,0)</f>
        <v>0</v>
      </c>
      <c r="I23" s="343"/>
    </row>
    <row r="24" spans="1:12" x14ac:dyDescent="0.25">
      <c r="A24" s="343"/>
      <c r="C24" s="351" t="s">
        <v>670</v>
      </c>
      <c r="D24" s="343"/>
      <c r="E24" s="352">
        <f>SUMIF($D$9:$D$17,$C24,E$9:E$17)</f>
        <v>9301.9979999999996</v>
      </c>
      <c r="G24" s="354">
        <f>SUMIF($D$9:$D$17,$C24,G$9:G$17)</f>
        <v>940718.02235168102</v>
      </c>
      <c r="H24" s="344">
        <f>IFERROR(G24/$G$26,0)</f>
        <v>0.46729385188579525</v>
      </c>
      <c r="I24" s="343"/>
    </row>
    <row r="25" spans="1:12" x14ac:dyDescent="0.25">
      <c r="A25" s="343"/>
      <c r="C25" s="351" t="s">
        <v>671</v>
      </c>
      <c r="D25" s="343"/>
      <c r="E25" s="352">
        <f>SUMIF($D$9:$D$17,$C25,E$9:E$17)</f>
        <v>7045.9970000000003</v>
      </c>
      <c r="G25" s="354">
        <f>SUMIF($D$9:$D$17,$C25,G$9:G$17)</f>
        <v>1072400.7434</v>
      </c>
      <c r="H25" s="344">
        <f>IFERROR(G25/$G$26,0)</f>
        <v>0.53270614811420469</v>
      </c>
      <c r="I25" s="343"/>
    </row>
    <row r="26" spans="1:12" x14ac:dyDescent="0.25">
      <c r="A26" s="343"/>
      <c r="B26" s="348" t="s">
        <v>23</v>
      </c>
      <c r="C26" s="348"/>
      <c r="D26" s="348"/>
      <c r="E26" s="353">
        <f>SUM(E23:E25)</f>
        <v>16347.994999999999</v>
      </c>
      <c r="F26" s="355"/>
      <c r="G26" s="355">
        <f>SUM(G23:G25)</f>
        <v>2013118.7657516811</v>
      </c>
      <c r="H26" s="350">
        <f>SUM(H23:H25)</f>
        <v>1</v>
      </c>
      <c r="I26" s="348"/>
    </row>
    <row r="27" spans="1:12" x14ac:dyDescent="0.25">
      <c r="A27" s="343"/>
      <c r="B27" s="343"/>
      <c r="C27" s="343"/>
      <c r="D27" s="343"/>
      <c r="E27" s="343"/>
      <c r="F27" s="343"/>
      <c r="G27" s="343"/>
      <c r="H27" s="343"/>
      <c r="I27" s="343"/>
      <c r="J27" s="343"/>
      <c r="K27" s="343"/>
    </row>
    <row r="28" spans="1:12" x14ac:dyDescent="0.25">
      <c r="A28" s="343"/>
      <c r="B28" s="345" t="s">
        <v>693</v>
      </c>
      <c r="C28" s="343"/>
      <c r="D28" s="343"/>
      <c r="E28" s="343"/>
      <c r="F28" s="343"/>
      <c r="G28" s="343"/>
      <c r="H28" s="343"/>
      <c r="I28" s="343"/>
      <c r="J28" s="343"/>
      <c r="K28" s="343"/>
    </row>
    <row r="29" spans="1:12" x14ac:dyDescent="0.25">
      <c r="A29" s="343"/>
      <c r="B29" s="342" t="s">
        <v>674</v>
      </c>
      <c r="C29" s="342"/>
      <c r="D29" s="342"/>
      <c r="E29" s="342"/>
      <c r="F29" s="342"/>
      <c r="G29" s="342"/>
      <c r="H29" s="342"/>
      <c r="I29" s="342"/>
    </row>
    <row r="30" spans="1:12" x14ac:dyDescent="0.25">
      <c r="A30" s="343"/>
      <c r="B30" s="362"/>
      <c r="C30" s="347" t="s">
        <v>668</v>
      </c>
      <c r="D30" s="347" t="s">
        <v>43</v>
      </c>
      <c r="E30" s="347" t="s">
        <v>669</v>
      </c>
      <c r="F30" s="347" t="s">
        <v>675</v>
      </c>
      <c r="G30" s="347" t="s">
        <v>691</v>
      </c>
      <c r="H30" s="347" t="s">
        <v>676</v>
      </c>
      <c r="I30" s="347" t="s">
        <v>677</v>
      </c>
    </row>
    <row r="31" spans="1:12" x14ac:dyDescent="0.25">
      <c r="A31" s="343"/>
      <c r="B31" s="359" t="s">
        <v>665</v>
      </c>
      <c r="C31" s="359"/>
      <c r="D31" s="359"/>
      <c r="E31" s="360"/>
      <c r="F31" s="361"/>
      <c r="G31" s="361"/>
      <c r="H31" s="359"/>
      <c r="I31" s="359"/>
      <c r="J31" s="343"/>
      <c r="K31" s="343"/>
      <c r="L31" s="343"/>
    </row>
    <row r="32" spans="1:12" x14ac:dyDescent="0.25">
      <c r="B32" s="351"/>
      <c r="C32" s="351" t="str">
        <f t="shared" ref="C32:E34" si="1">C9</f>
        <v>Support Retail (Phase 2)</v>
      </c>
      <c r="D32" s="351" t="str">
        <f t="shared" si="1"/>
        <v>Phase 2</v>
      </c>
      <c r="E32" s="356">
        <f t="shared" si="1"/>
        <v>463.83499999999998</v>
      </c>
      <c r="F32" s="356">
        <v>98450.587000129512</v>
      </c>
      <c r="G32" s="354">
        <f>E32*F32/1000</f>
        <v>45664.828021205067</v>
      </c>
      <c r="H32" s="357" t="s">
        <v>678</v>
      </c>
      <c r="I32" s="357" t="s">
        <v>700</v>
      </c>
    </row>
    <row r="33" spans="2:9" x14ac:dyDescent="0.25">
      <c r="B33" s="351"/>
      <c r="C33" s="351" t="str">
        <f t="shared" si="1"/>
        <v>Support Retail (Phase 3)</v>
      </c>
      <c r="D33" s="351" t="str">
        <f t="shared" si="1"/>
        <v>Phase 3</v>
      </c>
      <c r="E33" s="356">
        <f t="shared" si="1"/>
        <v>232.26</v>
      </c>
      <c r="F33" s="356">
        <v>61722.245199742873</v>
      </c>
      <c r="G33" s="354">
        <f>E33*F33/1000</f>
        <v>14335.608670092279</v>
      </c>
      <c r="H33" s="357" t="s">
        <v>680</v>
      </c>
      <c r="I33" s="357" t="s">
        <v>701</v>
      </c>
    </row>
    <row r="34" spans="2:9" x14ac:dyDescent="0.25">
      <c r="B34" s="351"/>
      <c r="C34" s="351" t="str">
        <f t="shared" si="1"/>
        <v>Support Retail (Phase 1)</v>
      </c>
      <c r="D34" s="351" t="str">
        <f t="shared" si="1"/>
        <v>Phase 1</v>
      </c>
      <c r="E34" s="356">
        <f t="shared" si="1"/>
        <v>0</v>
      </c>
      <c r="F34" s="356">
        <v>0</v>
      </c>
      <c r="G34" s="354">
        <f>E34*F34/1000</f>
        <v>0</v>
      </c>
      <c r="H34" s="357" t="s">
        <v>696</v>
      </c>
      <c r="I34" s="357" t="s">
        <v>697</v>
      </c>
    </row>
    <row r="35" spans="2:9" x14ac:dyDescent="0.25">
      <c r="B35" s="359" t="s">
        <v>666</v>
      </c>
      <c r="C35" s="359"/>
      <c r="D35" s="359"/>
      <c r="E35" s="360"/>
      <c r="F35" s="361"/>
      <c r="G35" s="361"/>
      <c r="H35" s="359"/>
      <c r="I35" s="359"/>
    </row>
    <row r="36" spans="2:9" x14ac:dyDescent="0.25">
      <c r="B36" s="351"/>
      <c r="C36" s="351" t="str">
        <f>C13</f>
        <v>Branded Apartments T2 &amp; T3 (Phase 2)</v>
      </c>
      <c r="D36" s="351" t="str">
        <f>D13</f>
        <v>Phase 2</v>
      </c>
      <c r="E36" s="356">
        <f>E13</f>
        <v>5718.4129999999996</v>
      </c>
      <c r="F36" s="356">
        <v>98450.587000129512</v>
      </c>
      <c r="G36" s="354">
        <f>E36*F36/1000</f>
        <v>562981.11655917158</v>
      </c>
      <c r="H36" s="357" t="s">
        <v>682</v>
      </c>
      <c r="I36" s="357" t="s">
        <v>683</v>
      </c>
    </row>
    <row r="37" spans="2:9" x14ac:dyDescent="0.25">
      <c r="B37" s="351"/>
      <c r="C37" s="351" t="str">
        <f>C14</f>
        <v>Branded Apartments T4 &amp; T5 (Phase 3)</v>
      </c>
      <c r="D37" s="351" t="str">
        <f t="shared" ref="D37:E41" si="2">D14</f>
        <v>Phase 3</v>
      </c>
      <c r="E37" s="356">
        <f t="shared" si="2"/>
        <v>6813.7370000000001</v>
      </c>
      <c r="F37" s="356">
        <v>61722.245199742873</v>
      </c>
      <c r="G37" s="354">
        <f>E37*F37/1000</f>
        <v>420559.14584056038</v>
      </c>
      <c r="H37" s="357" t="s">
        <v>684</v>
      </c>
      <c r="I37" s="357" t="s">
        <v>702</v>
      </c>
    </row>
    <row r="38" spans="2:9" x14ac:dyDescent="0.25">
      <c r="B38" s="359" t="s">
        <v>667</v>
      </c>
      <c r="C38" s="359"/>
      <c r="D38" s="359"/>
      <c r="E38" s="360"/>
      <c r="F38" s="361"/>
      <c r="G38" s="361"/>
      <c r="H38" s="359"/>
      <c r="I38" s="359"/>
    </row>
    <row r="39" spans="2:9" x14ac:dyDescent="0.25">
      <c r="B39" s="351"/>
      <c r="C39" s="351" t="str">
        <f>C16</f>
        <v>Residential Tower 01 (Phase 2)</v>
      </c>
      <c r="D39" s="351" t="str">
        <f t="shared" si="2"/>
        <v>Phase 2</v>
      </c>
      <c r="E39" s="356">
        <f>E16</f>
        <v>2088.9</v>
      </c>
      <c r="F39" s="356">
        <v>98450.587000129512</v>
      </c>
      <c r="G39" s="354">
        <f>E39*F39/1000</f>
        <v>205653.43118457054</v>
      </c>
      <c r="H39" s="357" t="s">
        <v>686</v>
      </c>
      <c r="I39" s="357" t="s">
        <v>687</v>
      </c>
    </row>
    <row r="40" spans="2:9" x14ac:dyDescent="0.25">
      <c r="B40" s="351"/>
      <c r="C40" s="351" t="str">
        <f>C17</f>
        <v>Hotel 01 - 336 Keys (Phase 2)</v>
      </c>
      <c r="D40" s="351" t="str">
        <f t="shared" si="2"/>
        <v>Phase 2</v>
      </c>
      <c r="E40" s="356">
        <f>E17</f>
        <v>1030.8499999999999</v>
      </c>
      <c r="F40" s="356">
        <v>98450.587000129512</v>
      </c>
      <c r="G40" s="354">
        <f>E40*F40/1000</f>
        <v>101487.78760908351</v>
      </c>
      <c r="H40" s="357" t="s">
        <v>688</v>
      </c>
      <c r="I40" s="357" t="s">
        <v>689</v>
      </c>
    </row>
    <row r="41" spans="2:9" x14ac:dyDescent="0.25">
      <c r="B41" s="351"/>
      <c r="C41" s="351" t="str">
        <f>C18</f>
        <v>VOCO Hotel (Phase 1)</v>
      </c>
      <c r="D41" s="351" t="str">
        <f t="shared" si="2"/>
        <v>Phase 1</v>
      </c>
      <c r="E41" s="356">
        <f>E18</f>
        <v>0</v>
      </c>
      <c r="F41" s="356">
        <v>0</v>
      </c>
      <c r="G41" s="354">
        <f>E41*F41/1000</f>
        <v>0</v>
      </c>
      <c r="H41" s="357" t="s">
        <v>698</v>
      </c>
      <c r="I41" s="357" t="s">
        <v>699</v>
      </c>
    </row>
    <row r="42" spans="2:9" x14ac:dyDescent="0.25">
      <c r="B42" s="348" t="s">
        <v>23</v>
      </c>
      <c r="C42" s="348"/>
      <c r="D42" s="348"/>
      <c r="E42" s="353">
        <f>SUM(E32:E41)</f>
        <v>16347.994999999999</v>
      </c>
      <c r="F42" s="349"/>
      <c r="G42" s="355">
        <f>SUM(G32:G40)</f>
        <v>1350681.9178846835</v>
      </c>
      <c r="H42" s="348"/>
      <c r="I42" s="348"/>
    </row>
    <row r="43" spans="2:9" x14ac:dyDescent="0.25">
      <c r="B43" s="343"/>
      <c r="C43" s="343"/>
      <c r="D43" s="343"/>
      <c r="E43" s="343"/>
      <c r="F43" s="343"/>
      <c r="G43" s="343"/>
      <c r="H43" s="343"/>
      <c r="I43" s="343"/>
    </row>
    <row r="44" spans="2:9" x14ac:dyDescent="0.25">
      <c r="B44" s="342" t="s">
        <v>690</v>
      </c>
      <c r="C44" s="342"/>
      <c r="D44" s="342"/>
      <c r="E44" s="342"/>
      <c r="F44" s="342"/>
      <c r="G44" s="342"/>
      <c r="H44" s="342"/>
      <c r="I44" s="342"/>
    </row>
    <row r="45" spans="2:9" x14ac:dyDescent="0.25">
      <c r="B45" s="362" t="s">
        <v>43</v>
      </c>
      <c r="C45" s="347"/>
      <c r="D45" s="347"/>
      <c r="E45" s="347" t="s">
        <v>669</v>
      </c>
      <c r="F45" s="347"/>
      <c r="G45" s="347" t="s">
        <v>691</v>
      </c>
      <c r="H45" s="347" t="s">
        <v>692</v>
      </c>
      <c r="I45" s="347"/>
    </row>
    <row r="46" spans="2:9" x14ac:dyDescent="0.25">
      <c r="C46" s="351" t="s">
        <v>657</v>
      </c>
      <c r="D46" s="343"/>
      <c r="E46" s="352">
        <f>SUMIF($D$32:$D$40,$C46,E$32:E$40)</f>
        <v>0</v>
      </c>
      <c r="F46" s="352"/>
      <c r="G46" s="352">
        <f>SUMIF($D$32:$D$40,$C46,G$32:G$40)</f>
        <v>0</v>
      </c>
      <c r="H46" s="344">
        <f>IFERROR(G46/$G$26,0)</f>
        <v>0</v>
      </c>
      <c r="I46" s="343"/>
    </row>
    <row r="47" spans="2:9" x14ac:dyDescent="0.25">
      <c r="C47" s="351" t="s">
        <v>670</v>
      </c>
      <c r="D47" s="343"/>
      <c r="E47" s="352">
        <f>SUMIF($D$32:$D$40,$C47,E$32:E$40)</f>
        <v>9301.9979999999996</v>
      </c>
      <c r="F47" s="352"/>
      <c r="G47" s="352">
        <f>SUMIF($D$32:$D$40,$C47,G$32:G$40)</f>
        <v>915787.16337403061</v>
      </c>
      <c r="H47" s="344">
        <f>IFERROR(G47/$G$26,0)</f>
        <v>0.45490965508539366</v>
      </c>
      <c r="I47" s="343"/>
    </row>
    <row r="48" spans="2:9" x14ac:dyDescent="0.25">
      <c r="C48" s="351" t="s">
        <v>671</v>
      </c>
      <c r="D48" s="343"/>
      <c r="E48" s="352">
        <f>SUMIF($D$32:$D$40,$C48,E$32:E$40)</f>
        <v>7045.9970000000003</v>
      </c>
      <c r="F48" s="352"/>
      <c r="G48" s="352">
        <f>SUMIF($D$32:$D$40,$C48,G$32:G$40)</f>
        <v>434894.75451065268</v>
      </c>
      <c r="H48" s="344">
        <f>IFERROR(G48/$G$26,0)</f>
        <v>0.21603035146725025</v>
      </c>
      <c r="I48" s="343"/>
    </row>
    <row r="49" spans="2:9" x14ac:dyDescent="0.25">
      <c r="B49" s="348" t="s">
        <v>23</v>
      </c>
      <c r="C49" s="348"/>
      <c r="D49" s="348"/>
      <c r="E49" s="353">
        <f>SUM(E46:E48)</f>
        <v>16347.994999999999</v>
      </c>
      <c r="F49" s="353"/>
      <c r="G49" s="353">
        <f>SUM(G46:G48)</f>
        <v>1350681.9178846832</v>
      </c>
      <c r="H49" s="350">
        <f>SUM(H46:H48)</f>
        <v>0.67094000655264385</v>
      </c>
      <c r="I49" s="34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2D1E8-BD6C-4EBD-BE7D-5EB2600C109D}">
  <dimension ref="B1:F55"/>
  <sheetViews>
    <sheetView showGridLines="0" zoomScale="80" zoomScaleNormal="80" workbookViewId="0">
      <selection activeCell="D20" sqref="D20"/>
    </sheetView>
  </sheetViews>
  <sheetFormatPr defaultRowHeight="14.4" x14ac:dyDescent="0.3"/>
  <cols>
    <col min="1" max="1" width="2.77734375" style="12" customWidth="1"/>
    <col min="2" max="2" width="56.109375" style="12" customWidth="1"/>
    <col min="3" max="3" width="12.77734375" style="12" customWidth="1"/>
    <col min="4" max="4" width="14.44140625" style="12" customWidth="1"/>
    <col min="5" max="5" width="12.77734375" style="12" customWidth="1"/>
    <col min="6" max="6" width="102.33203125" style="12" bestFit="1" customWidth="1"/>
    <col min="7" max="16384" width="8.88671875" style="12"/>
  </cols>
  <sheetData>
    <row r="1" spans="2:5" ht="15" customHeight="1" x14ac:dyDescent="0.3">
      <c r="B1" s="15" t="s">
        <v>614</v>
      </c>
    </row>
    <row r="2" spans="2:5" ht="15" customHeight="1" x14ac:dyDescent="0.3">
      <c r="B2" s="71" t="s">
        <v>564</v>
      </c>
    </row>
    <row r="3" spans="2:5" ht="15" customHeight="1" x14ac:dyDescent="0.3">
      <c r="B3" s="71" t="s">
        <v>424</v>
      </c>
    </row>
    <row r="4" spans="2:5" ht="15" customHeight="1" x14ac:dyDescent="0.3">
      <c r="B4" s="72" t="s">
        <v>615</v>
      </c>
      <c r="C4" s="154"/>
      <c r="D4" s="154"/>
    </row>
    <row r="5" spans="2:5" ht="15" customHeight="1" x14ac:dyDescent="0.3">
      <c r="B5" s="155" t="s">
        <v>310</v>
      </c>
      <c r="C5" s="156" t="s">
        <v>272</v>
      </c>
      <c r="D5" s="157" t="s">
        <v>311</v>
      </c>
    </row>
    <row r="6" spans="2:5" ht="15" customHeight="1" x14ac:dyDescent="0.3">
      <c r="B6" s="9" t="s">
        <v>312</v>
      </c>
      <c r="C6" s="319">
        <f>CF!E21</f>
        <v>14527965.262984239</v>
      </c>
      <c r="D6" s="318" t="s">
        <v>717</v>
      </c>
    </row>
    <row r="7" spans="2:5" ht="15" customHeight="1" x14ac:dyDescent="0.3">
      <c r="B7" s="9" t="s">
        <v>314</v>
      </c>
      <c r="C7" s="319">
        <f>SUM(CF!E8:E12)</f>
        <v>6318675.8494751621</v>
      </c>
      <c r="D7" s="318" t="s">
        <v>718</v>
      </c>
    </row>
    <row r="8" spans="2:5" ht="15" customHeight="1" x14ac:dyDescent="0.3">
      <c r="B8" s="9" t="s">
        <v>315</v>
      </c>
      <c r="C8" s="319">
        <f>SUM(CF!E15:E17)</f>
        <v>7782977.715114614</v>
      </c>
      <c r="D8" s="318" t="s">
        <v>719</v>
      </c>
    </row>
    <row r="9" spans="2:5" ht="15" customHeight="1" x14ac:dyDescent="0.3">
      <c r="B9" s="9" t="s">
        <v>316</v>
      </c>
      <c r="C9" s="319">
        <f>SUM(CF!E19:E20)</f>
        <v>336010.49839446053</v>
      </c>
      <c r="D9" s="318" t="s">
        <v>720</v>
      </c>
    </row>
    <row r="10" spans="2:5" ht="15" customHeight="1" x14ac:dyDescent="0.3">
      <c r="B10" s="9" t="s">
        <v>317</v>
      </c>
      <c r="C10" s="319">
        <f ca="1">CF!E37</f>
        <v>-4506729.4916184852</v>
      </c>
      <c r="D10" s="318" t="s">
        <v>721</v>
      </c>
    </row>
    <row r="11" spans="2:5" ht="15" customHeight="1" x14ac:dyDescent="0.3">
      <c r="B11" s="9" t="s">
        <v>318</v>
      </c>
      <c r="C11" s="319">
        <f ca="1">CF!T39</f>
        <v>4996382.7041905588</v>
      </c>
      <c r="D11" s="318" t="s">
        <v>722</v>
      </c>
    </row>
    <row r="12" spans="2:5" ht="15" customHeight="1" x14ac:dyDescent="0.3">
      <c r="B12" s="158" t="s">
        <v>319</v>
      </c>
      <c r="C12" s="406" t="e">
        <f>'P&amp;L'!#REF!</f>
        <v>#REF!</v>
      </c>
      <c r="D12" s="405" t="s">
        <v>555</v>
      </c>
    </row>
    <row r="13" spans="2:5" ht="15" customHeight="1" x14ac:dyDescent="0.3">
      <c r="B13" s="158" t="s">
        <v>320</v>
      </c>
      <c r="C13" s="406">
        <f ca="1">CF!E69</f>
        <v>8672431.1535657812</v>
      </c>
      <c r="D13" s="405" t="s">
        <v>723</v>
      </c>
    </row>
    <row r="14" spans="2:5" ht="15" customHeight="1" x14ac:dyDescent="0.3">
      <c r="B14" s="158" t="s">
        <v>321</v>
      </c>
      <c r="C14" s="406">
        <f ca="1">CF!T71</f>
        <v>7870265.1074645901</v>
      </c>
      <c r="D14" s="405" t="s">
        <v>724</v>
      </c>
    </row>
    <row r="15" spans="2:5" ht="15" customHeight="1" x14ac:dyDescent="0.3"/>
    <row r="16" spans="2:5" ht="15" customHeight="1" x14ac:dyDescent="0.3">
      <c r="B16" s="72" t="s">
        <v>616</v>
      </c>
      <c r="C16" s="154"/>
      <c r="D16" s="154"/>
      <c r="E16" s="154"/>
    </row>
    <row r="17" spans="2:6" ht="15" customHeight="1" x14ac:dyDescent="0.3">
      <c r="B17" s="155" t="s">
        <v>322</v>
      </c>
      <c r="C17" s="156" t="s">
        <v>323</v>
      </c>
      <c r="D17" s="156" t="s">
        <v>132</v>
      </c>
      <c r="E17" s="156" t="s">
        <v>324</v>
      </c>
    </row>
    <row r="18" spans="2:6" ht="15" customHeight="1" x14ac:dyDescent="0.3">
      <c r="B18" s="9" t="s">
        <v>1</v>
      </c>
      <c r="C18" s="319">
        <f>Capex!K189</f>
        <v>1313606.6147425999</v>
      </c>
      <c r="D18" s="319">
        <f>Capex!K202</f>
        <v>562981.11655917158</v>
      </c>
      <c r="E18" s="222">
        <f>SUM(C18:D18)</f>
        <v>1876587.7313017715</v>
      </c>
    </row>
    <row r="19" spans="2:6" ht="15" customHeight="1" x14ac:dyDescent="0.3">
      <c r="B19" s="9" t="s">
        <v>2</v>
      </c>
      <c r="C19" s="319">
        <f>Capex!K190</f>
        <v>1447096.1598745862</v>
      </c>
      <c r="D19" s="319">
        <f>Capex!K203</f>
        <v>420559.14584056038</v>
      </c>
      <c r="E19" s="222">
        <f t="shared" ref="E19:E24" si="0">SUM(C19:D19)</f>
        <v>1867655.3057151465</v>
      </c>
    </row>
    <row r="20" spans="2:6" ht="15" customHeight="1" x14ac:dyDescent="0.3">
      <c r="B20" s="9" t="s">
        <v>7</v>
      </c>
      <c r="C20" s="319">
        <f>Capex!K191</f>
        <v>443418.29399397696</v>
      </c>
      <c r="D20" s="319">
        <f>Capex!K204</f>
        <v>205653.43118457054</v>
      </c>
      <c r="E20" s="222">
        <f t="shared" si="0"/>
        <v>649071.72517854744</v>
      </c>
    </row>
    <row r="21" spans="2:6" ht="15" customHeight="1" x14ac:dyDescent="0.3">
      <c r="B21" s="9" t="s">
        <v>8</v>
      </c>
      <c r="C21" s="319">
        <f>Capex!K193</f>
        <v>245218.49779314047</v>
      </c>
      <c r="D21" s="319">
        <f>Capex!K206</f>
        <v>101487.78760908351</v>
      </c>
      <c r="E21" s="222">
        <f t="shared" si="0"/>
        <v>346706.28540222399</v>
      </c>
    </row>
    <row r="22" spans="2:6" ht="15" customHeight="1" x14ac:dyDescent="0.3">
      <c r="B22" s="9" t="s">
        <v>12</v>
      </c>
      <c r="C22" s="319">
        <f>Capex!K195</f>
        <v>76409.112704468105</v>
      </c>
      <c r="D22" s="319">
        <f>Capex!K208</f>
        <v>45664.828021205067</v>
      </c>
      <c r="E22" s="222">
        <f t="shared" si="0"/>
        <v>122073.94072567316</v>
      </c>
    </row>
    <row r="23" spans="2:6" ht="15" customHeight="1" x14ac:dyDescent="0.3">
      <c r="B23" s="9" t="s">
        <v>13</v>
      </c>
      <c r="C23" s="319">
        <f>Capex!K196</f>
        <v>35715.818376663599</v>
      </c>
      <c r="D23" s="319">
        <f>Capex!K209</f>
        <v>14335.608670092279</v>
      </c>
      <c r="E23" s="222">
        <f t="shared" si="0"/>
        <v>50051.427046755882</v>
      </c>
    </row>
    <row r="24" spans="2:6" ht="15" customHeight="1" x14ac:dyDescent="0.3">
      <c r="B24" s="158" t="s">
        <v>325</v>
      </c>
      <c r="C24" s="404">
        <f>SUM(C18:C23)</f>
        <v>3561464.4974854346</v>
      </c>
      <c r="D24" s="404">
        <f>SUM(D18:D23)</f>
        <v>1350681.9178846832</v>
      </c>
      <c r="E24" s="404">
        <f t="shared" si="0"/>
        <v>4912146.4153701179</v>
      </c>
    </row>
    <row r="25" spans="2:6" ht="15" customHeight="1" x14ac:dyDescent="0.3"/>
    <row r="26" spans="2:6" ht="15" customHeight="1" x14ac:dyDescent="0.3">
      <c r="B26" s="159" t="s">
        <v>740</v>
      </c>
      <c r="C26" s="154"/>
      <c r="D26" s="154"/>
      <c r="E26" s="154"/>
      <c r="F26" s="154"/>
    </row>
    <row r="27" spans="2:6" ht="15" customHeight="1" x14ac:dyDescent="0.3"/>
    <row r="28" spans="2:6" x14ac:dyDescent="0.3">
      <c r="B28" s="403" t="s">
        <v>327</v>
      </c>
      <c r="C28" s="426" t="s">
        <v>726</v>
      </c>
      <c r="D28" s="426" t="s">
        <v>328</v>
      </c>
      <c r="E28" s="426" t="s">
        <v>329</v>
      </c>
      <c r="F28" s="259" t="s">
        <v>727</v>
      </c>
    </row>
    <row r="29" spans="2:6" x14ac:dyDescent="0.3">
      <c r="B29" s="425" t="s">
        <v>732</v>
      </c>
      <c r="C29" s="427"/>
      <c r="D29" s="427"/>
      <c r="E29" s="428"/>
      <c r="F29" s="427"/>
    </row>
    <row r="30" spans="2:6" ht="15" customHeight="1" x14ac:dyDescent="0.3">
      <c r="B30" s="429" t="s">
        <v>728</v>
      </c>
      <c r="C30" s="11">
        <f>SUM(C31:C32)</f>
        <v>3132080</v>
      </c>
      <c r="D30" s="430">
        <f t="shared" ref="D30" ca="1" si="1">SUM(D31:D32)</f>
        <v>2781060.6775545562</v>
      </c>
      <c r="E30" s="11">
        <f t="shared" ref="E30:E36" ca="1" si="2">D30-C30</f>
        <v>-351019.32244544383</v>
      </c>
      <c r="F30" s="431" t="s">
        <v>802</v>
      </c>
    </row>
    <row r="31" spans="2:6" x14ac:dyDescent="0.3">
      <c r="B31" s="432" t="s">
        <v>730</v>
      </c>
      <c r="C31" s="433">
        <v>2400000</v>
      </c>
      <c r="D31" s="434">
        <f>Debt!F15</f>
        <v>2400000</v>
      </c>
      <c r="E31" s="10">
        <f t="shared" si="2"/>
        <v>0</v>
      </c>
      <c r="F31" s="431" t="s">
        <v>780</v>
      </c>
    </row>
    <row r="32" spans="2:6" x14ac:dyDescent="0.3">
      <c r="B32" s="432" t="s">
        <v>733</v>
      </c>
      <c r="C32" s="433">
        <v>732080</v>
      </c>
      <c r="D32" s="434">
        <f ca="1">Debt!F89</f>
        <v>381060.67755455611</v>
      </c>
      <c r="E32" s="10">
        <f t="shared" ca="1" si="2"/>
        <v>-351019.32244544389</v>
      </c>
      <c r="F32" s="431" t="s">
        <v>781</v>
      </c>
    </row>
    <row r="33" spans="2:6" x14ac:dyDescent="0.3">
      <c r="B33" s="429" t="s">
        <v>283</v>
      </c>
      <c r="C33" s="11">
        <f ca="1">SUM(C34:C35)</f>
        <v>689869</v>
      </c>
      <c r="D33" s="11">
        <f ca="1">SUM(D34:D35)</f>
        <v>1282051.0191153171</v>
      </c>
      <c r="E33" s="11">
        <f t="shared" ca="1" si="2"/>
        <v>592182.01911531715</v>
      </c>
      <c r="F33" s="431" t="s">
        <v>782</v>
      </c>
    </row>
    <row r="34" spans="2:6" x14ac:dyDescent="0.3">
      <c r="B34" s="432" t="s">
        <v>731</v>
      </c>
      <c r="C34" s="433">
        <v>0</v>
      </c>
      <c r="D34" s="434">
        <f>Debt!F141</f>
        <v>1282051.0191153171</v>
      </c>
      <c r="E34" s="10">
        <f t="shared" si="2"/>
        <v>1282051.0191153171</v>
      </c>
      <c r="F34" s="431" t="s">
        <v>783</v>
      </c>
    </row>
    <row r="35" spans="2:6" x14ac:dyDescent="0.3">
      <c r="B35" s="432" t="s">
        <v>734</v>
      </c>
      <c r="C35" s="433">
        <f ca="1">C33</f>
        <v>689869</v>
      </c>
      <c r="D35" s="434">
        <f ca="1">Debt!F142</f>
        <v>0</v>
      </c>
      <c r="E35" s="10">
        <f t="shared" ca="1" si="2"/>
        <v>-689869</v>
      </c>
      <c r="F35" s="431" t="s">
        <v>784</v>
      </c>
    </row>
    <row r="36" spans="2:6" x14ac:dyDescent="0.3">
      <c r="B36" s="432" t="s">
        <v>330</v>
      </c>
      <c r="C36" s="435">
        <f>Debt!F158</f>
        <v>3132080</v>
      </c>
      <c r="D36" s="436">
        <f ca="1">Debt!F159</f>
        <v>2781060.6775545562</v>
      </c>
      <c r="E36" s="10">
        <f t="shared" ca="1" si="2"/>
        <v>-351019.32244544383</v>
      </c>
      <c r="F36" s="431" t="s">
        <v>803</v>
      </c>
    </row>
    <row r="37" spans="2:6" x14ac:dyDescent="0.3">
      <c r="B37" s="437" t="s">
        <v>735</v>
      </c>
      <c r="C37" s="427"/>
      <c r="D37" s="427"/>
      <c r="E37" s="438"/>
      <c r="F37" s="427"/>
    </row>
    <row r="38" spans="2:6" x14ac:dyDescent="0.3">
      <c r="B38" s="432" t="s">
        <v>736</v>
      </c>
      <c r="C38" s="435">
        <f>Debt!F148</f>
        <v>1172631</v>
      </c>
      <c r="D38" s="436">
        <f ca="1">Debt!F149</f>
        <v>1087047.605195482</v>
      </c>
      <c r="E38" s="10">
        <f t="shared" ref="E38:E44" ca="1" si="3">D38-C38</f>
        <v>-85583.394804517971</v>
      </c>
      <c r="F38" s="431" t="s">
        <v>785</v>
      </c>
    </row>
    <row r="39" spans="2:6" x14ac:dyDescent="0.3">
      <c r="B39" s="432" t="s">
        <v>415</v>
      </c>
      <c r="C39" s="435">
        <v>-3977330.19</v>
      </c>
      <c r="D39" s="436">
        <f>Costs!H106</f>
        <v>-4397016.386924522</v>
      </c>
      <c r="E39" s="10">
        <f t="shared" si="3"/>
        <v>-419686.19692452205</v>
      </c>
      <c r="F39" s="431" t="s">
        <v>786</v>
      </c>
    </row>
    <row r="40" spans="2:6" x14ac:dyDescent="0.3">
      <c r="B40" s="432" t="s">
        <v>729</v>
      </c>
      <c r="C40" s="435">
        <v>-3591847</v>
      </c>
      <c r="D40" s="436">
        <f>-Capex!K197</f>
        <v>-3561464.4974854346</v>
      </c>
      <c r="E40" s="10">
        <f t="shared" si="3"/>
        <v>30382.502514565364</v>
      </c>
      <c r="F40" s="431" t="s">
        <v>804</v>
      </c>
    </row>
    <row r="41" spans="2:6" x14ac:dyDescent="0.3">
      <c r="B41" s="432" t="s">
        <v>751</v>
      </c>
      <c r="C41" s="435">
        <f>-Costs!H185</f>
        <v>-3234509.8536087978</v>
      </c>
      <c r="D41" s="436">
        <f ca="1">-Costs!H177</f>
        <v>-4393314.7621954661</v>
      </c>
      <c r="E41" s="10">
        <f t="shared" ca="1" si="3"/>
        <v>-1158804.9085866683</v>
      </c>
      <c r="F41" s="431" t="s">
        <v>787</v>
      </c>
    </row>
    <row r="42" spans="2:6" x14ac:dyDescent="0.3">
      <c r="B42" s="432" t="s">
        <v>617</v>
      </c>
      <c r="C42" s="435">
        <f>Capex!L303</f>
        <v>-310577.06413129659</v>
      </c>
      <c r="D42" s="436">
        <f ca="1">Capex!L304</f>
        <v>-227484.89980563871</v>
      </c>
      <c r="E42" s="10">
        <f t="shared" ca="1" si="3"/>
        <v>83092.164325657883</v>
      </c>
      <c r="F42" s="431" t="s">
        <v>788</v>
      </c>
    </row>
    <row r="43" spans="2:6" x14ac:dyDescent="0.3">
      <c r="B43" s="432" t="s">
        <v>618</v>
      </c>
      <c r="C43" s="435">
        <f>Capex!L308*-1</f>
        <v>167641.35904653062</v>
      </c>
      <c r="D43" s="436">
        <f ca="1">Capex!L309*-1</f>
        <v>98841.265410900713</v>
      </c>
      <c r="E43" s="10">
        <f t="shared" ca="1" si="3"/>
        <v>-68800.093635629906</v>
      </c>
      <c r="F43" s="431" t="s">
        <v>789</v>
      </c>
    </row>
    <row r="44" spans="2:6" x14ac:dyDescent="0.3">
      <c r="B44" s="432" t="s">
        <v>593</v>
      </c>
      <c r="C44" s="435">
        <v>0</v>
      </c>
      <c r="D44" s="436">
        <f>'Wafi Escrow'!F21</f>
        <v>195739.7937181255</v>
      </c>
      <c r="E44" s="10">
        <f t="shared" si="3"/>
        <v>195739.7937181255</v>
      </c>
      <c r="F44" s="431" t="s">
        <v>790</v>
      </c>
    </row>
    <row r="45" spans="2:6" x14ac:dyDescent="0.3">
      <c r="B45" s="437" t="s">
        <v>737</v>
      </c>
      <c r="C45" s="427"/>
      <c r="D45" s="427"/>
      <c r="E45" s="438"/>
      <c r="F45" s="427"/>
    </row>
    <row r="46" spans="2:6" x14ac:dyDescent="0.3">
      <c r="B46" s="432" t="s">
        <v>738</v>
      </c>
      <c r="C46" s="435">
        <f>Capex!L313</f>
        <v>147128.6</v>
      </c>
      <c r="D46" s="436">
        <f>Capex!L314</f>
        <v>156939.83858760991</v>
      </c>
      <c r="E46" s="10">
        <f>D46-C46</f>
        <v>9811.2385876098997</v>
      </c>
      <c r="F46" s="431" t="s">
        <v>791</v>
      </c>
    </row>
    <row r="47" spans="2:6" x14ac:dyDescent="0.3">
      <c r="B47" s="432" t="s">
        <v>739</v>
      </c>
      <c r="C47" s="435">
        <f>Capex!L318</f>
        <v>67274.960000000006</v>
      </c>
      <c r="D47" s="436">
        <f>Capex!L319</f>
        <v>71759.955891924285</v>
      </c>
      <c r="E47" s="10">
        <f>D47-C47</f>
        <v>4484.9958919242781</v>
      </c>
      <c r="F47" s="431" t="s">
        <v>792</v>
      </c>
    </row>
    <row r="48" spans="2:6" x14ac:dyDescent="0.3">
      <c r="B48" s="432" t="s">
        <v>619</v>
      </c>
      <c r="C48" s="435">
        <v>0</v>
      </c>
      <c r="D48" s="436">
        <f>Capex!L323</f>
        <v>161488.22430038085</v>
      </c>
      <c r="E48" s="10">
        <f>D48-C48</f>
        <v>161488.22430038085</v>
      </c>
      <c r="F48" s="431" t="s">
        <v>793</v>
      </c>
    </row>
    <row r="50" spans="2:6" x14ac:dyDescent="0.3">
      <c r="B50" s="457" t="s">
        <v>776</v>
      </c>
      <c r="C50" s="457"/>
      <c r="D50" s="457"/>
      <c r="E50" s="457"/>
      <c r="F50" s="457"/>
    </row>
    <row r="51" spans="2:6" x14ac:dyDescent="0.3">
      <c r="B51" s="458" t="s">
        <v>666</v>
      </c>
      <c r="C51" s="460">
        <v>2.5000000000000001E-2</v>
      </c>
      <c r="D51" s="461">
        <v>0</v>
      </c>
      <c r="E51" s="462">
        <f>D51-C51</f>
        <v>-2.5000000000000001E-2</v>
      </c>
      <c r="F51" s="459" t="s">
        <v>794</v>
      </c>
    </row>
    <row r="52" spans="2:6" x14ac:dyDescent="0.3">
      <c r="B52" s="458" t="s">
        <v>667</v>
      </c>
      <c r="C52" s="460">
        <v>0.03</v>
      </c>
      <c r="D52" s="461">
        <v>0.03</v>
      </c>
      <c r="E52" s="462">
        <f>D52-C52</f>
        <v>0</v>
      </c>
      <c r="F52" s="459" t="s">
        <v>795</v>
      </c>
    </row>
    <row r="53" spans="2:6" x14ac:dyDescent="0.3">
      <c r="B53" s="458" t="s">
        <v>91</v>
      </c>
      <c r="C53" s="460">
        <v>0.1</v>
      </c>
      <c r="D53" s="461">
        <v>0</v>
      </c>
      <c r="E53" s="462">
        <f t="shared" ref="E53" si="4">C53-D53</f>
        <v>0.1</v>
      </c>
      <c r="F53" s="459" t="s">
        <v>796</v>
      </c>
    </row>
    <row r="55" spans="2:6" x14ac:dyDescent="0.3">
      <c r="B55" s="439" t="s">
        <v>193</v>
      </c>
      <c r="C55" s="440"/>
      <c r="D55" s="440"/>
      <c r="E55" s="440"/>
      <c r="F55" s="4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</vt:i4>
      </vt:variant>
    </vt:vector>
  </HeadingPairs>
  <TitlesOfParts>
    <vt:vector size="17" baseType="lpstr">
      <vt:lpstr>Cover</vt:lpstr>
      <vt:lpstr>Revenue</vt:lpstr>
      <vt:lpstr>Costs</vt:lpstr>
      <vt:lpstr>Capex</vt:lpstr>
      <vt:lpstr>Sheet1</vt:lpstr>
      <vt:lpstr>Capex Allocation</vt:lpstr>
      <vt:lpstr>Debt</vt:lpstr>
      <vt:lpstr>P&amp;L</vt:lpstr>
      <vt:lpstr>CF</vt:lpstr>
      <vt:lpstr>WACC</vt:lpstr>
      <vt:lpstr>Wafi Escrow</vt:lpstr>
      <vt:lpstr>Land Summary</vt:lpstr>
      <vt:lpstr>Review Summary</vt:lpstr>
      <vt:lpstr>CF!Print_Area</vt:lpstr>
      <vt:lpstr>'P&amp;L'!Print_Area</vt:lpstr>
      <vt:lpstr>CF!Print_Titles</vt:lpstr>
      <vt:lpstr>'P&amp;L'!Print_Titles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ahmad.din@sfaresearch.com</dc:creator>
  <dc:description/>
  <cp:lastModifiedBy>Ahmad Din</cp:lastModifiedBy>
  <cp:revision>0</cp:revision>
  <cp:lastPrinted>2026-04-27T12:42:39Z</cp:lastPrinted>
  <dcterms:created xsi:type="dcterms:W3CDTF">2026-04-27T09:26:47Z</dcterms:created>
  <dcterms:modified xsi:type="dcterms:W3CDTF">2026-05-05T11:41:24Z</dcterms:modified>
  <dc:language>en-US</dc:language>
</cp:coreProperties>
</file>